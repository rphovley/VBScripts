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zra\Desktop\"/>
    </mc:Choice>
  </mc:AlternateContent>
  <bookViews>
    <workbookView xWindow="0" yWindow="0" windowWidth="24000" windowHeight="9435" tabRatio="666"/>
  </bookViews>
  <sheets>
    <sheet name="Historical" sheetId="7" r:id="rId1"/>
    <sheet name="Testing" sheetId="10" r:id="rId2"/>
    <sheet name="Debug" sheetId="11" r:id="rId3"/>
    <sheet name="Wayne'sWorld" sheetId="12" r:id="rId4"/>
    <sheet name="Nate's Evolution" sheetId="13" r:id="rId5"/>
    <sheet name="Docs Signed Input" sheetId="1" r:id="rId6"/>
    <sheet name="Master Input" sheetId="2" r:id="rId7"/>
    <sheet name="RepID.PayScale.Status " sheetId="9" r:id="rId8"/>
    <sheet name="Marketing" sheetId="6" r:id="rId9"/>
    <sheet name="Payscales" sheetId="4" r:id="rId10"/>
  </sheets>
  <definedNames>
    <definedName name="_xlnm._FilterDatabase" localSheetId="5" hidden="1">'Docs Signed Input'!#REF!</definedName>
    <definedName name="_xlnm._FilterDatabase" localSheetId="0" hidden="1">Historical!$F$1:$F$743</definedName>
    <definedName name="_xlnm._FilterDatabase" localSheetId="6" hidden="1">'Master Input'!$A$1:$W$5080</definedName>
    <definedName name="_xlnm._FilterDatabase" localSheetId="4" hidden="1">'Nate''s Evolution'!$A$1:$Y$748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2" i="13"/>
  <c r="P2" i="7" l="1"/>
  <c r="P3" i="7"/>
  <c r="P4" i="7"/>
  <c r="P5" i="7"/>
  <c r="P6" i="7"/>
  <c r="P55" i="7"/>
  <c r="P52" i="7"/>
  <c r="P53" i="7"/>
  <c r="P54" i="7"/>
  <c r="P57" i="7"/>
  <c r="O52" i="7"/>
  <c r="O53" i="7"/>
  <c r="O54" i="7"/>
  <c r="O57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O55" i="7"/>
</calcChain>
</file>

<file path=xl/comments1.xml><?xml version="1.0" encoding="utf-8"?>
<comments xmlns="http://schemas.openxmlformats.org/spreadsheetml/2006/main">
  <authors>
    <author>Bobby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Uses Reps Name (NOT REP ID) from Docs Signed 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<sst xmlns="http://schemas.openxmlformats.org/spreadsheetml/2006/main" count="65743" uniqueCount="13936">
  <si>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</si>
  <si>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</si>
  <si>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</si>
  <si>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</si>
  <si>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</si>
  <si>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</si>
  <si>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</si>
  <si>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</si>
  <si>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</si>
  <si>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</si>
  <si>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</si>
  <si>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</si>
  <si>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</si>
  <si>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</si>
  <si>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</si>
  <si>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</si>
  <si>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</si>
  <si>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</si>
  <si>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</si>
  <si>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</si>
  <si>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</si>
  <si>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</si>
  <si>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</si>
  <si>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</si>
  <si>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</si>
  <si>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</si>
  <si>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</si>
  <si>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</si>
  <si>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</si>
  <si>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</si>
  <si>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</si>
  <si>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</si>
  <si>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</si>
  <si>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</si>
  <si>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</si>
  <si>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</si>
  <si>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</si>
  <si>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</si>
  <si>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</si>
  <si>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</si>
  <si>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</si>
  <si>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</si>
  <si>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</si>
  <si>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</si>
  <si>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</si>
  <si>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</si>
  <si>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</si>
  <si>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</si>
  <si>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</si>
  <si>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</si>
  <si>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</si>
  <si>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</si>
  <si>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</si>
  <si>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</si>
  <si>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</si>
  <si>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</si>
  <si>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</si>
  <si>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</si>
  <si>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</si>
  <si>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</si>
  <si>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</si>
  <si>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</si>
  <si>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</si>
  <si>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</si>
  <si>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</si>
  <si>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</si>
  <si>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</si>
  <si>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</si>
  <si>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</si>
  <si>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</si>
  <si>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</si>
  <si>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</si>
  <si>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</si>
  <si>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</si>
  <si>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</si>
  <si>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</si>
  <si>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</si>
  <si>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</si>
  <si>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</si>
  <si>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</si>
  <si>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</si>
  <si>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</si>
  <si>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</si>
  <si>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</si>
  <si>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</si>
  <si>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</si>
  <si>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</si>
  <si>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</si>
  <si>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</si>
  <si>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</si>
  <si>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</si>
  <si>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</si>
  <si>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</si>
  <si>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</si>
  <si>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</si>
  <si>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</si>
  <si>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</si>
  <si>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</si>
  <si>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</si>
  <si>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</si>
  <si>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</si>
  <si>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</si>
  <si>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</si>
  <si>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</si>
  <si>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</si>
  <si>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</si>
  <si>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</si>
  <si>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</si>
  <si>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</si>
  <si>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</si>
  <si>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</si>
  <si>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</si>
  <si>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</si>
  <si>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</si>
  <si>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</si>
  <si>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</si>
  <si>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</si>
  <si>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</si>
  <si>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</si>
  <si>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</si>
  <si>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</si>
  <si>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</si>
  <si>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</si>
  <si>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</si>
  <si>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</si>
  <si>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</si>
  <si>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</si>
  <si>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</si>
  <si>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</si>
  <si>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</si>
  <si>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</si>
  <si>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</si>
  <si>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</si>
  <si>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</si>
  <si>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</si>
  <si>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</si>
  <si>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</si>
  <si>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</si>
  <si>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</si>
  <si>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</si>
  <si>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</si>
  <si>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</si>
  <si>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</si>
  <si>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</si>
  <si>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</si>
  <si>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</si>
  <si>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</si>
  <si>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</si>
  <si>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</si>
  <si>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</si>
  <si>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</si>
  <si>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</si>
  <si>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</si>
  <si>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</si>
  <si>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</si>
  <si>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</si>
  <si>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</si>
  <si>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</si>
  <si>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</si>
  <si>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</si>
  <si>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</si>
  <si>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</si>
  <si>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</si>
  <si>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</si>
  <si>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</si>
  <si>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</si>
  <si>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</si>
  <si>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</si>
  <si>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</si>
  <si>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</si>
  <si>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</si>
  <si>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</si>
  <si>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</si>
  <si>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</si>
  <si>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</si>
  <si>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</si>
  <si>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</si>
  <si>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</si>
  <si>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</si>
  <si>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</si>
  <si>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</si>
  <si>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</si>
  <si>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</si>
  <si>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</si>
  <si>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</si>
  <si>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</si>
  <si>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</si>
  <si>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</si>
  <si>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</si>
  <si>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</si>
  <si>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</si>
  <si>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</si>
  <si>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</si>
  <si>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</si>
  <si>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</si>
  <si>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</si>
  <si>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</si>
  <si>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</si>
  <si>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</si>
  <si>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</si>
  <si>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</si>
  <si>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</si>
  <si>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</si>
  <si>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</si>
  <si>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</si>
  <si>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</si>
  <si>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</si>
  <si>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</si>
  <si>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</si>
  <si>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</si>
  <si>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</si>
  <si>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</si>
  <si>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</si>
  <si>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</si>
  <si>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</si>
  <si>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</si>
  <si>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</si>
  <si>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</si>
  <si>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</si>
  <si>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</si>
  <si>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</si>
  <si>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</si>
  <si>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</si>
  <si>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</si>
  <si>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</si>
  <si>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</si>
  <si>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</si>
  <si>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</si>
  <si>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</si>
  <si>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</si>
  <si>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</si>
  <si>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</si>
  <si>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</si>
  <si>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</si>
  <si>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</si>
  <si>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</si>
  <si>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</si>
  <si>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</si>
  <si>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</si>
  <si>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</si>
  <si>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</si>
  <si>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</si>
  <si>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</si>
  <si>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</si>
  <si>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</si>
  <si>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</si>
  <si>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</si>
  <si>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</si>
  <si>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</si>
  <si>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</si>
  <si>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</si>
  <si>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</si>
  <si>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</si>
  <si>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</si>
  <si>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</si>
  <si>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</si>
  <si>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</si>
  <si>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</si>
  <si>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</si>
  <si>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</si>
  <si>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</si>
  <si>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</si>
  <si>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</si>
  <si>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</si>
  <si>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</si>
  <si>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</si>
  <si>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</si>
  <si>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</si>
  <si>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</si>
  <si>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</si>
  <si>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</si>
  <si>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</si>
  <si>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</si>
  <si>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</si>
  <si>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</si>
  <si>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</si>
  <si>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</si>
  <si>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</si>
  <si>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</si>
  <si>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</si>
  <si>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</si>
  <si>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</si>
  <si>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</si>
  <si>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</si>
  <si>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</si>
  <si>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</si>
  <si>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</si>
  <si>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</si>
  <si>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</si>
  <si>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</si>
  <si>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</si>
  <si>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</si>
  <si>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</si>
  <si>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</si>
  <si>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</si>
  <si>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</si>
  <si>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</si>
  <si>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</si>
  <si>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</si>
  <si>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</si>
  <si>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</si>
  <si>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</si>
  <si>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</si>
  <si>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</si>
  <si>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</si>
  <si>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</si>
  <si>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</si>
  <si>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</si>
  <si>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</si>
  <si>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</si>
  <si>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</si>
  <si>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</si>
  <si>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</si>
  <si>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</si>
  <si>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</si>
  <si>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</si>
  <si>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</si>
  <si>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</si>
  <si>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</si>
  <si>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</si>
  <si>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</si>
  <si>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</si>
  <si>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</si>
  <si>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</si>
  <si>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</si>
  <si>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</si>
  <si>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</si>
  <si>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</si>
  <si>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</si>
  <si>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</si>
  <si>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</si>
  <si>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</si>
  <si>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</si>
  <si>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</si>
  <si>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</si>
  <si>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</si>
  <si>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</si>
  <si>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</si>
  <si>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</si>
  <si>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</si>
  <si>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</si>
  <si>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</si>
  <si>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</si>
  <si>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</si>
  <si>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</si>
  <si>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</si>
  <si>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</si>
  <si>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</si>
  <si>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</si>
  <si>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</si>
  <si>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</si>
  <si>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</si>
  <si>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</si>
  <si>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</si>
  <si>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</si>
  <si>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</si>
  <si>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</si>
  <si>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</si>
  <si>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</si>
  <si>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</si>
  <si>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</si>
  <si>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</si>
  <si>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</si>
  <si>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</si>
  <si>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</si>
  <si>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</si>
  <si>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</si>
  <si>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</si>
  <si>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</si>
  <si>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</si>
  <si>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</si>
  <si>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</si>
  <si>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</si>
  <si>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</si>
  <si>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</si>
  <si>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</si>
  <si>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</si>
  <si>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</si>
  <si>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</si>
  <si>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</si>
  <si>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</si>
  <si>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</si>
  <si>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</si>
  <si>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</si>
  <si>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</si>
  <si>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</si>
  <si>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</si>
  <si>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</si>
  <si>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</si>
  <si>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</si>
  <si>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</si>
  <si>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</si>
  <si>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</si>
  <si>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</si>
  <si>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</si>
  <si>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</si>
  <si>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</si>
  <si>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</si>
  <si>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</si>
  <si>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</si>
  <si>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</si>
  <si>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</si>
  <si>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</si>
  <si>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</si>
  <si>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</si>
  <si>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</si>
  <si>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</si>
  <si>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</si>
  <si>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</si>
  <si>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</si>
  <si>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</si>
  <si>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</si>
  <si>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</si>
  <si>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</si>
  <si>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</si>
  <si>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</si>
  <si>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</si>
  <si>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</si>
  <si>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</si>
  <si>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</si>
  <si>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</si>
  <si>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</si>
  <si>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</si>
  <si>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</si>
  <si>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</si>
  <si>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</si>
  <si>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</si>
  <si>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</si>
  <si>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</si>
  <si>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</si>
  <si>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</si>
  <si>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</si>
  <si>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</si>
  <si>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</si>
  <si>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</si>
  <si>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</si>
  <si>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</si>
  <si>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</si>
  <si>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</si>
  <si>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</si>
  <si>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</si>
  <si>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</si>
  <si>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</si>
  <si>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</si>
  <si>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</si>
  <si>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</si>
  <si>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</si>
  <si>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</si>
  <si>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</si>
  <si>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</si>
  <si>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</si>
  <si>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</si>
  <si>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</si>
  <si>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</si>
  <si>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</si>
  <si>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</si>
  <si>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</si>
  <si>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</si>
  <si>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</si>
  <si>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</si>
  <si>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</si>
  <si>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</si>
  <si>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</si>
  <si>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</si>
  <si>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</si>
  <si>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</si>
  <si>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</si>
  <si>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</si>
  <si>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</si>
  <si>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</si>
  <si>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</si>
  <si>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</si>
  <si>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</si>
  <si>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</si>
  <si>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</si>
  <si>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</si>
  <si>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</si>
  <si>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</si>
  <si>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</si>
  <si>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</si>
  <si>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</si>
  <si>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</si>
  <si>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</si>
  <si>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</si>
  <si>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</si>
  <si>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</si>
  <si>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</si>
  <si>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</si>
  <si>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</si>
  <si>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</si>
  <si>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</si>
  <si>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</si>
  <si>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</si>
  <si>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</si>
  <si>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</si>
  <si>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</si>
  <si>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</si>
  <si>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</si>
  <si>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</si>
  <si>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</si>
  <si>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</si>
  <si>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</si>
  <si>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</si>
  <si>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</si>
  <si>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</si>
  <si>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</si>
  <si>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</si>
  <si>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</si>
  <si>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</si>
  <si>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</si>
  <si>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</si>
  <si>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</si>
  <si>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</si>
  <si>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</si>
  <si>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</si>
  <si>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</si>
  <si>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</si>
  <si>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</si>
  <si>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</si>
  <si>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</si>
  <si>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</si>
  <si>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</si>
  <si>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</si>
  <si>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</si>
  <si>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</si>
  <si>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</si>
  <si>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</si>
  <si>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</si>
  <si>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</si>
  <si>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</si>
  <si>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</si>
  <si>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</si>
  <si>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</si>
  <si>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</si>
  <si>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</si>
  <si>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</si>
  <si>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</si>
  <si>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</si>
  <si>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</si>
  <si>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</si>
  <si>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</si>
  <si>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</si>
  <si>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</si>
  <si>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</si>
  <si>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</si>
  <si>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</si>
  <si>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</si>
  <si>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</si>
  <si>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</si>
  <si>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</si>
  <si>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</si>
  <si>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</si>
  <si>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</si>
  <si>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</si>
  <si>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</si>
  <si>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</si>
  <si>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</si>
  <si>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</si>
  <si>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</si>
  <si>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</si>
  <si>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</si>
  <si>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</si>
  <si>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</si>
  <si>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</si>
  <si>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</si>
  <si>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</si>
  <si>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</si>
  <si>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</si>
  <si>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</si>
  <si>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</si>
  <si>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</si>
  <si>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</si>
  <si>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</si>
  <si>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</si>
  <si>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</si>
  <si>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</si>
  <si>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</si>
  <si>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</si>
  <si>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</si>
  <si>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</si>
  <si>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</si>
  <si>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</si>
  <si>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</si>
  <si>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</si>
  <si>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</si>
  <si>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</si>
  <si>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</si>
  <si>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</si>
  <si>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</si>
  <si>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</si>
  <si>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</si>
  <si>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</si>
  <si>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</si>
  <si>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</si>
  <si>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</si>
  <si>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</si>
  <si>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</si>
  <si>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</si>
  <si>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</si>
  <si>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</si>
  <si>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</si>
  <si>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</si>
  <si>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</si>
  <si>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</si>
  <si>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</si>
  <si>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</si>
  <si>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</si>
  <si>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</si>
  <si>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</si>
  <si>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</si>
  <si>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</si>
  <si>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</si>
  <si>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</si>
  <si>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</si>
  <si>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</si>
  <si>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</si>
  <si>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</si>
  <si>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</si>
  <si>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</si>
  <si>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</si>
  <si>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</si>
  <si>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</si>
  <si>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</si>
  <si>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</si>
  <si>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</si>
  <si>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</si>
  <si>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</si>
  <si>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</si>
  <si>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</si>
  <si>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</si>
  <si>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</si>
  <si>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</si>
  <si>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</si>
  <si>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</si>
  <si>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</si>
  <si>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</si>
  <si>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</si>
  <si>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</si>
  <si>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</si>
  <si>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</si>
  <si>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</si>
  <si>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</si>
  <si>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</si>
  <si>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</si>
  <si>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</si>
  <si>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</si>
  <si>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</si>
  <si>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</si>
  <si>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</si>
  <si>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</si>
  <si>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</si>
  <si>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</si>
  <si>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</si>
  <si>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</si>
  <si>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</si>
  <si>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</si>
  <si>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</si>
  <si>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</si>
  <si>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</si>
  <si>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</si>
  <si>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</si>
  <si>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</si>
  <si>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</si>
  <si>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</si>
  <si>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</si>
  <si>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</si>
  <si>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</si>
  <si>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</si>
  <si>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</si>
  <si>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</si>
  <si>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</si>
  <si>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</si>
  <si>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</si>
  <si>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</si>
  <si>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</si>
  <si>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</si>
  <si>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</si>
  <si>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</si>
  <si>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</si>
  <si>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</si>
  <si>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</si>
  <si>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</si>
  <si>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</si>
  <si>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</si>
  <si>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</si>
  <si>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</si>
  <si>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</si>
  <si>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</si>
  <si>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</si>
  <si>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</si>
  <si>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</si>
  <si>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</si>
  <si>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</si>
  <si>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</si>
  <si>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</si>
  <si>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</si>
  <si>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</si>
  <si>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</si>
  <si>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</si>
  <si>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</si>
  <si>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</si>
  <si>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</si>
  <si>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</si>
  <si>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</si>
  <si>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</si>
  <si>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</si>
  <si>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</si>
  <si>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</si>
  <si>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</si>
  <si>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</si>
  <si>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</si>
  <si>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</si>
  <si>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</si>
  <si>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</si>
  <si>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</si>
  <si>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</si>
  <si>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</si>
  <si>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</si>
  <si>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</si>
  <si>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</si>
  <si>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</si>
  <si>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</si>
  <si>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</si>
  <si>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</si>
  <si>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</si>
  <si>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</si>
  <si>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</si>
  <si>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</si>
  <si>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</si>
  <si>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</si>
  <si>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</si>
  <si>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</si>
  <si>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</si>
  <si>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</si>
  <si>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</si>
  <si>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</si>
  <si>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</si>
  <si>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</si>
  <si>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</si>
  <si>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</si>
  <si>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</si>
  <si>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</si>
  <si>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</si>
  <si>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</si>
  <si>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</si>
  <si>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</si>
  <si>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</si>
  <si>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</si>
  <si>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</si>
  <si>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</si>
  <si>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</si>
  <si>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</si>
  <si>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</si>
  <si>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</si>
  <si>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</si>
  <si>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</si>
  <si>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</si>
  <si>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</si>
  <si>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</si>
  <si>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</si>
  <si>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</si>
  <si>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</si>
  <si>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</si>
  <si>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</si>
  <si>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</si>
  <si>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</si>
  <si>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</si>
  <si>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</si>
  <si>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</si>
  <si>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</si>
  <si>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</si>
  <si>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</si>
  <si>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</si>
  <si>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</si>
  <si>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</si>
  <si>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</si>
  <si>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</si>
  <si>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</si>
  <si>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</si>
  <si>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</si>
  <si>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</si>
  <si>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</si>
  <si>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</si>
  <si>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</si>
  <si>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</si>
  <si>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</si>
  <si>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</si>
  <si>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</si>
  <si>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</si>
  <si>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</si>
  <si>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</si>
  <si>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</si>
  <si>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</si>
  <si>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</si>
  <si>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</si>
  <si>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</si>
  <si>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</si>
  <si>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</si>
  <si>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</si>
  <si>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</si>
  <si>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</si>
  <si>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</si>
  <si>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</si>
  <si>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</si>
  <si>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</si>
  <si>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</si>
  <si>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</si>
  <si>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</si>
  <si>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</si>
  <si>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</si>
  <si>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</si>
  <si>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</si>
  <si>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</si>
  <si>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</si>
  <si>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</si>
  <si>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</si>
  <si>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</si>
  <si>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</si>
  <si>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</si>
  <si>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</si>
  <si>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</si>
  <si>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</si>
  <si>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</si>
  <si>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</si>
  <si>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</si>
  <si>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</si>
  <si>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</si>
  <si>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</si>
  <si>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</si>
  <si>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</si>
  <si>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</si>
  <si>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</si>
  <si>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</si>
  <si>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</si>
  <si>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</si>
  <si>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</si>
  <si>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</si>
  <si>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</si>
  <si>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</si>
  <si>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</si>
  <si>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</si>
  <si>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</si>
  <si>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</si>
  <si>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</si>
  <si>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</si>
  <si>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</si>
  <si>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</si>
  <si>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</si>
  <si>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</si>
  <si>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</si>
  <si>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</si>
  <si>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</si>
  <si>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</si>
  <si>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</si>
  <si>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</si>
  <si>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</si>
  <si>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</si>
  <si>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</si>
  <si>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</si>
  <si>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</si>
  <si>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</si>
  <si>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</si>
  <si>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</si>
  <si>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</si>
  <si>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</si>
  <si>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</si>
  <si>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</si>
  <si>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</si>
  <si>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</si>
  <si>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</si>
  <si>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</si>
  <si>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</si>
  <si>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</si>
  <si>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</si>
  <si>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</si>
  <si>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</si>
  <si>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</si>
  <si>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</si>
  <si>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</si>
  <si>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</si>
  <si>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</si>
  <si>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</si>
  <si>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</si>
  <si>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</si>
  <si>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</si>
  <si>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</si>
  <si>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</si>
  <si>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</si>
  <si>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</si>
  <si>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</si>
  <si>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</si>
  <si>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</si>
  <si>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</si>
  <si>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</si>
  <si>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</si>
  <si>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</si>
  <si>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</si>
  <si>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</si>
  <si>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</si>
  <si>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</si>
  <si>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</si>
  <si>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</si>
  <si>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</si>
  <si>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</si>
  <si>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</si>
  <si>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</si>
  <si>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</si>
  <si>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</si>
  <si>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</si>
  <si>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</si>
  <si>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</si>
  <si>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</si>
  <si>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</si>
  <si>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</si>
  <si>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</si>
  <si>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</si>
  <si>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</si>
  <si>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</si>
  <si>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</si>
  <si>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</si>
  <si>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</si>
  <si>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</si>
  <si>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</si>
  <si>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</si>
  <si>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</si>
  <si>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</si>
  <si>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</si>
  <si>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</si>
  <si>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</si>
  <si>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</si>
  <si>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</si>
  <si>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</si>
  <si>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</si>
  <si>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</si>
  <si>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</si>
  <si>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</si>
  <si>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</si>
  <si>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</si>
  <si>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</si>
  <si>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</si>
  <si>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</si>
  <si>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</si>
  <si>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</si>
  <si>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</si>
  <si>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</si>
  <si>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</si>
  <si>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</si>
  <si>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</si>
  <si>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</si>
  <si>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</si>
  <si>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</si>
  <si>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</si>
  <si>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</si>
  <si>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</si>
  <si>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</si>
  <si>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</si>
  <si>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</si>
  <si>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</si>
  <si>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</si>
  <si>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</si>
  <si>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</si>
  <si>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</si>
  <si>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</si>
  <si>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</si>
  <si>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</si>
  <si>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</si>
  <si>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</si>
  <si>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</si>
  <si>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</si>
  <si>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</si>
  <si>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</si>
  <si>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</si>
  <si>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</si>
  <si>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</si>
  <si>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</si>
  <si>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</si>
  <si>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</si>
  <si>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</si>
  <si>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</si>
  <si>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</si>
  <si>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</si>
  <si>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</si>
  <si>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</si>
  <si>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</si>
  <si>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</si>
  <si>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</si>
  <si>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</si>
  <si>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</si>
  <si>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</si>
  <si>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</si>
  <si>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</si>
  <si>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</si>
  <si>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</si>
  <si>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</si>
  <si>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</si>
  <si>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</si>
  <si>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</si>
  <si>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</si>
  <si>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</si>
  <si>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</si>
  <si>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</si>
  <si>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</si>
  <si>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</si>
  <si>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</si>
  <si>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</si>
  <si>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</si>
  <si>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</si>
  <si>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</si>
  <si>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</si>
  <si>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</si>
  <si>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</si>
  <si>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</si>
  <si>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</si>
  <si>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</si>
  <si>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</si>
  <si>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</si>
  <si>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</si>
  <si>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</si>
  <si>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</si>
  <si>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</si>
  <si>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</si>
  <si>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</si>
  <si>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</si>
  <si>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</si>
  <si>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</si>
  <si>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</si>
  <si>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</si>
  <si>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</si>
  <si>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</si>
  <si>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</si>
  <si>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</si>
  <si>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</si>
  <si>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</si>
  <si>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</si>
  <si>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</si>
  <si>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</si>
  <si>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</si>
  <si>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</si>
  <si>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</si>
  <si>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</si>
  <si>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</si>
  <si>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</si>
  <si>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</si>
  <si>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</si>
  <si>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</si>
  <si>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</si>
  <si>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</si>
  <si>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</si>
  <si>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</si>
  <si>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</si>
  <si>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</si>
  <si>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</si>
  <si>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</si>
  <si>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</si>
  <si>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</si>
  <si>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</si>
  <si>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</si>
  <si>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</si>
  <si>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</si>
  <si>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</si>
  <si>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</si>
  <si>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</si>
  <si>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</si>
  <si>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</si>
  <si>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</si>
  <si>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</si>
  <si>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</si>
  <si>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</si>
  <si>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</si>
  <si>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</si>
  <si>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</si>
  <si>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</si>
  <si>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</si>
  <si>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</si>
  <si>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</si>
  <si>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</si>
  <si>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</si>
  <si>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</si>
  <si>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</si>
  <si>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</si>
  <si>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</si>
  <si>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</si>
  <si>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</si>
  <si>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</si>
  <si>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</si>
  <si>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</si>
  <si>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</si>
  <si>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</si>
  <si>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</si>
  <si>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</si>
  <si>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</si>
  <si>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</si>
  <si>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</si>
  <si>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</si>
  <si>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</si>
  <si>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</si>
  <si>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</si>
  <si>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</si>
  <si>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</si>
  <si>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</si>
  <si>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</si>
  <si>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</si>
  <si>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</si>
  <si>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</si>
  <si>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</si>
  <si>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</si>
  <si>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</si>
  <si>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</si>
  <si>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</si>
  <si>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</si>
  <si>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</si>
  <si>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</si>
  <si>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</si>
  <si>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</si>
  <si>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</si>
  <si>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</si>
  <si>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</si>
  <si>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</si>
  <si>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</si>
  <si>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</si>
  <si>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</si>
  <si>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</si>
  <si>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</si>
  <si>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</si>
  <si>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</si>
  <si>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</si>
  <si>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</si>
  <si>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</si>
  <si>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</si>
  <si>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</si>
  <si>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</si>
  <si>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</si>
  <si>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</si>
  <si>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</si>
  <si>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</si>
  <si>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</si>
  <si>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</si>
  <si>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</si>
  <si>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</si>
  <si>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</si>
  <si>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</si>
  <si>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</si>
  <si>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</si>
  <si>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</si>
  <si>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</si>
  <si>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</si>
  <si>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</si>
  <si>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</si>
  <si>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</si>
  <si>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</si>
  <si>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</si>
  <si>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</si>
  <si>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</si>
  <si>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</si>
  <si>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</si>
  <si>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</si>
  <si>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</si>
  <si>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</si>
  <si>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</si>
  <si>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</si>
  <si>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</si>
  <si>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</si>
  <si>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</si>
  <si>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</si>
  <si>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</si>
  <si>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</si>
  <si>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</si>
  <si>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</si>
  <si>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</si>
  <si>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</si>
  <si>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</si>
  <si>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</si>
  <si>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</si>
  <si>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</si>
  <si>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</si>
  <si>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</si>
  <si>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</si>
  <si>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</si>
  <si>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</si>
  <si>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</si>
  <si>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</si>
  <si>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</si>
  <si>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</si>
  <si>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</si>
  <si>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</si>
  <si>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</si>
  <si>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</si>
  <si>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</si>
  <si>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</si>
  <si>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</si>
  <si>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</si>
  <si>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</si>
  <si>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</si>
  <si>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</si>
  <si>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</si>
  <si>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</si>
  <si>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</si>
  <si>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</si>
  <si>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</si>
  <si>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</si>
  <si>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</si>
  <si>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</si>
  <si>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</si>
  <si>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</si>
  <si>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</si>
  <si>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</si>
  <si>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</si>
  <si>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</si>
  <si>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</si>
  <si>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</si>
  <si>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</si>
  <si>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</si>
  <si>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</si>
  <si>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</si>
  <si>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</si>
  <si>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</si>
  <si>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</si>
  <si>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</si>
  <si>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</si>
  <si>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</si>
  <si>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</si>
  <si>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</si>
  <si>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</si>
  <si>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</si>
  <si>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</si>
  <si>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</si>
  <si>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</si>
  <si>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</si>
  <si>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</si>
  <si>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</si>
  <si>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</si>
  <si>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</si>
  <si>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</si>
  <si>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</si>
  <si>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</si>
  <si>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</si>
  <si>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</si>
  <si>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</si>
  <si>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</si>
  <si>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</si>
  <si>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</si>
  <si>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</si>
  <si>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</si>
  <si>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</si>
  <si>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</si>
  <si>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</si>
  <si>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</si>
  <si>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</si>
  <si>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</si>
  <si>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</si>
  <si>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</si>
  <si>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</si>
  <si>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</si>
  <si>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</si>
  <si>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</si>
  <si>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</si>
  <si>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</si>
  <si>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</si>
  <si>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</si>
  <si>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</si>
  <si>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</si>
  <si>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</si>
  <si>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</si>
  <si>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</si>
  <si>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</si>
  <si>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</si>
  <si>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</si>
  <si>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</si>
  <si>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</si>
  <si>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</si>
  <si>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</si>
  <si>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</si>
  <si>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</si>
  <si>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</si>
  <si>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</si>
  <si>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</si>
  <si>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</si>
  <si>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</si>
  <si>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</si>
  <si>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</si>
  <si>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</si>
  <si>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</si>
  <si>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</si>
  <si>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</si>
  <si>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</si>
  <si>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</si>
  <si>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</si>
  <si>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</si>
  <si>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</si>
  <si>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</si>
  <si>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</si>
  <si>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</si>
  <si>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</si>
  <si>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</si>
  <si>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</si>
  <si>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</si>
  <si>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</si>
  <si>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</si>
  <si>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</si>
  <si>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</si>
  <si>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</si>
  <si>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</si>
  <si>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</si>
  <si>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</si>
  <si>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</si>
  <si>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</si>
  <si>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</si>
  <si>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</si>
  <si>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</si>
  <si>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</si>
  <si>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</si>
  <si>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</si>
  <si>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</si>
  <si>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</si>
  <si>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</si>
  <si>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</si>
  <si>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</si>
  <si>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</si>
  <si>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</si>
  <si>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</si>
  <si>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</si>
  <si>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</si>
  <si>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</si>
  <si>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</si>
  <si>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</si>
  <si>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</si>
  <si>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</si>
  <si>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</si>
  <si>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</si>
  <si>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</si>
  <si>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</si>
  <si>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</si>
  <si>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</si>
  <si>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</si>
  <si>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</si>
  <si>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</si>
  <si>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</si>
  <si>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</si>
  <si>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</si>
  <si>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</si>
  <si>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</si>
  <si>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</si>
  <si>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</si>
  <si>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</si>
  <si>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</si>
  <si>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</si>
  <si>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</si>
  <si>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</si>
  <si>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</si>
  <si>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</si>
  <si>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</si>
  <si>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</si>
  <si>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</si>
  <si>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</si>
  <si>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</si>
  <si>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</si>
  <si>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</si>
  <si>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</si>
  <si>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</si>
  <si>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</si>
  <si>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</si>
  <si>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</si>
  <si>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</si>
  <si>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</si>
  <si>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</si>
  <si>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</si>
  <si>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</si>
  <si>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</si>
  <si>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</si>
  <si>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</si>
  <si>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</si>
  <si>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</si>
  <si>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</si>
  <si>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</si>
  <si>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</si>
  <si>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</si>
  <si>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</si>
  <si>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</si>
  <si>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</si>
  <si>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</si>
  <si>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</si>
  <si>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</si>
  <si>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</si>
  <si>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</si>
  <si>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</si>
  <si>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</si>
  <si>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</si>
  <si>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</si>
  <si>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</si>
  <si>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</si>
  <si>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</si>
  <si>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</si>
  <si>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</si>
  <si>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</si>
  <si>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</si>
  <si>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</si>
  <si>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</si>
  <si>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</si>
  <si>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</si>
  <si>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</si>
  <si>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</si>
  <si>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</si>
  <si>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</si>
  <si>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</si>
  <si>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</si>
  <si>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</si>
  <si>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</si>
  <si>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</si>
  <si>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</si>
  <si>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</si>
  <si>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</si>
  <si>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</si>
  <si>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</si>
  <si>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</si>
  <si>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</si>
  <si>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</si>
  <si>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</si>
  <si>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</si>
  <si>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</si>
  <si>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</si>
  <si>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</si>
  <si>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</si>
  <si>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</si>
  <si>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</si>
  <si>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</si>
  <si>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</si>
  <si>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</si>
  <si>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</si>
  <si>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</si>
  <si>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</si>
  <si>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</si>
  <si>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</si>
  <si>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</si>
  <si>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</si>
  <si>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</si>
  <si>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</si>
  <si>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</si>
  <si>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</si>
  <si>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</si>
  <si>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</si>
  <si>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</si>
  <si>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</si>
  <si>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</si>
  <si>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</si>
  <si>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</si>
  <si>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</si>
  <si>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</si>
  <si>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</si>
  <si>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</si>
  <si>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</si>
  <si>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</si>
  <si>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</si>
  <si>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</si>
  <si>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</si>
  <si>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</si>
  <si>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</si>
  <si>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</si>
  <si>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</si>
  <si>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</si>
  <si>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</si>
  <si>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</si>
  <si>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</si>
  <si>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</si>
  <si>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</si>
  <si>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</si>
  <si>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</si>
  <si>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</si>
  <si>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</si>
  <si>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</si>
  <si>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</si>
  <si>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</si>
  <si>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</si>
  <si>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</si>
  <si>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</si>
  <si>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</si>
  <si>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</si>
  <si>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</si>
  <si>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</si>
  <si>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</si>
  <si>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</si>
  <si>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</si>
  <si>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</si>
  <si>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</si>
  <si>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</si>
  <si>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</si>
  <si>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</si>
  <si>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</si>
  <si>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</si>
  <si>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</si>
  <si>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</si>
  <si>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</si>
  <si>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</si>
  <si>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</si>
  <si>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</si>
  <si>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</si>
  <si>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</si>
  <si>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</si>
  <si>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</si>
  <si>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</si>
  <si>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</si>
  <si>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</si>
  <si>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</si>
  <si>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</si>
  <si>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</si>
  <si>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</si>
  <si>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</si>
  <si>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</si>
  <si>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</si>
  <si>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</si>
  <si>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</si>
  <si>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</si>
  <si>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</si>
  <si>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</si>
  <si>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</si>
  <si>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</si>
  <si>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</si>
  <si>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</si>
  <si>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</si>
  <si>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</si>
  <si>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</si>
  <si>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</si>
  <si>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</si>
  <si>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</si>
  <si>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</si>
  <si>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</si>
  <si>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</si>
  <si>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</si>
  <si>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</si>
  <si>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</si>
  <si>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</si>
  <si>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</si>
  <si>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</si>
  <si>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</si>
  <si>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</si>
  <si>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</si>
  <si>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</si>
  <si>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</si>
  <si>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</si>
  <si>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</si>
  <si>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</si>
  <si>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</si>
  <si>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</si>
  <si>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</si>
  <si>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</si>
  <si>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</si>
  <si>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</si>
  <si>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</si>
  <si>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</si>
  <si>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</si>
  <si>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</si>
  <si>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</si>
  <si>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</si>
  <si>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</si>
  <si>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</si>
  <si>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</si>
  <si>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</si>
  <si>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</si>
  <si>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</si>
  <si>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</si>
  <si>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</si>
  <si>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</si>
  <si>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</si>
  <si>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</si>
  <si>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</si>
  <si>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</si>
  <si>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</si>
  <si>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</si>
  <si>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</si>
  <si>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</si>
  <si>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</si>
  <si>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</si>
  <si>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</si>
  <si>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</si>
  <si>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</si>
  <si>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</si>
  <si>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</si>
  <si>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</si>
  <si>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</si>
  <si>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</si>
  <si>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</si>
  <si>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</si>
  <si>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</si>
  <si>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</si>
  <si>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</si>
  <si>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</si>
  <si>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</si>
  <si>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</si>
  <si>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</si>
  <si>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</si>
  <si>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</si>
  <si>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</si>
  <si>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</si>
  <si>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</si>
  <si>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</si>
  <si>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</si>
  <si>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</si>
  <si>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</si>
  <si>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</si>
  <si>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</si>
  <si>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</si>
  <si>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</si>
  <si>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</si>
  <si>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</si>
  <si>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</si>
  <si>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</si>
  <si>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</si>
  <si>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</si>
  <si>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</si>
  <si>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</si>
  <si>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</si>
  <si>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</si>
  <si>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</si>
  <si>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</si>
  <si>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</si>
  <si>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</si>
  <si>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</si>
  <si>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</si>
  <si>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</si>
  <si>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</si>
  <si>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</si>
  <si>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</si>
  <si>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</si>
  <si>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</si>
  <si>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</si>
  <si>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</si>
  <si>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</si>
  <si>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</si>
  <si>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</si>
  <si>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</si>
  <si>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</si>
  <si>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</si>
  <si>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</si>
  <si>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</si>
  <si>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</si>
  <si>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</si>
  <si>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</si>
  <si>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</si>
  <si>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</si>
  <si>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</si>
  <si>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</si>
  <si>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</si>
  <si>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</si>
  <si>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</si>
  <si>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</si>
  <si>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</si>
  <si>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</si>
  <si>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</si>
  <si>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</si>
  <si>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</si>
  <si>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</si>
  <si>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</si>
  <si>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</si>
  <si>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</si>
  <si>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</si>
  <si>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</si>
  <si>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</si>
  <si>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</si>
  <si>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</si>
  <si>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</si>
  <si>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</si>
  <si>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</si>
  <si>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</si>
  <si>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</si>
  <si>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</si>
  <si>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</si>
  <si>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</si>
  <si>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</si>
  <si>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</si>
  <si>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</si>
  <si>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</si>
  <si>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</si>
  <si>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</si>
  <si>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</si>
  <si>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</si>
  <si>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</si>
  <si>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</si>
  <si>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</si>
  <si>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</si>
  <si>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</si>
  <si>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</si>
  <si>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</si>
  <si>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</si>
  <si>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</si>
  <si>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</si>
  <si>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</si>
  <si>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</si>
  <si>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</si>
  <si>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</si>
  <si>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</si>
  <si>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</si>
  <si>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</si>
  <si>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</si>
  <si>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</si>
  <si>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</si>
  <si>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</si>
  <si>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</si>
  <si>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</si>
  <si>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</si>
  <si>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</si>
  <si>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</si>
  <si>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</si>
  <si>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</si>
  <si>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</si>
  <si>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</si>
  <si>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</si>
  <si>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</si>
  <si>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</si>
  <si>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</si>
  <si>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</si>
  <si>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</si>
  <si>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</si>
  <si>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</si>
  <si>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</si>
  <si>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</si>
  <si>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</si>
  <si>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</si>
  <si>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</si>
  <si>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</si>
  <si>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</si>
  <si>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</si>
  <si>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</si>
  <si>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</si>
  <si>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</si>
  <si>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</si>
  <si>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</si>
  <si>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</si>
  <si>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</si>
  <si>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</si>
  <si>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</si>
  <si>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</si>
  <si>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</si>
  <si>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</si>
  <si>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</si>
  <si>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</si>
  <si>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</si>
  <si>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</si>
  <si>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</si>
  <si>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</si>
  <si>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</si>
  <si>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</si>
  <si>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</si>
  <si>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</si>
  <si>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</si>
  <si>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</si>
  <si>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</si>
  <si>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</si>
  <si>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</si>
  <si>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</si>
  <si>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</si>
  <si>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</si>
  <si>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</si>
  <si>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</si>
  <si>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</si>
  <si>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</si>
  <si>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</si>
  <si>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</si>
  <si>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</si>
  <si>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</si>
  <si>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</si>
  <si>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</si>
  <si>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</si>
  <si>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</si>
  <si>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</si>
  <si>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</si>
  <si>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</si>
  <si>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</si>
  <si>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</si>
  <si>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</si>
  <si>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</si>
  <si>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</si>
  <si>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</si>
  <si>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</si>
  <si>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</si>
  <si>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</si>
  <si>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</si>
  <si>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</si>
  <si>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</si>
  <si>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</si>
  <si>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</si>
  <si>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</si>
  <si>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</si>
  <si>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</si>
  <si>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</si>
  <si>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</si>
  <si>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</si>
  <si>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</si>
  <si>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</si>
  <si>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</si>
  <si>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</si>
  <si>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</si>
  <si>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</si>
  <si>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</si>
  <si>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</si>
  <si>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</si>
  <si>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</si>
  <si>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</si>
  <si>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</si>
  <si>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</si>
  <si>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</si>
  <si>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</si>
  <si>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</si>
  <si>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</si>
  <si>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</si>
  <si>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</si>
  <si>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</si>
  <si>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</si>
  <si>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</si>
  <si>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</si>
  <si>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</si>
  <si>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</si>
  <si>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</si>
  <si>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</si>
  <si>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</si>
  <si>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</si>
  <si>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</si>
  <si>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</si>
  <si>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</si>
  <si>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</si>
  <si>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</si>
  <si>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</si>
  <si>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</si>
  <si>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</si>
  <si>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</si>
  <si>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</si>
  <si>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</si>
  <si>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</si>
  <si>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</si>
  <si>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</si>
  <si>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</si>
  <si>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</si>
  <si>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</si>
  <si>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</si>
  <si>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</si>
  <si>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</si>
  <si>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</si>
  <si>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</si>
  <si>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</si>
  <si>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</si>
  <si>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</si>
  <si>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</si>
  <si>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</si>
  <si>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</si>
  <si>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</si>
  <si>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</si>
  <si>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</si>
  <si>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</si>
  <si>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</si>
  <si>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</si>
  <si>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</si>
  <si>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</si>
  <si>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</si>
  <si>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</si>
  <si>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</si>
  <si>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</si>
  <si>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</si>
  <si>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</si>
  <si>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</si>
  <si>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</si>
  <si>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</si>
  <si>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</si>
  <si>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</si>
  <si>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</si>
  <si>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</si>
  <si>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</si>
  <si>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</si>
  <si>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</si>
  <si>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</si>
  <si>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</si>
  <si>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</si>
  <si>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</si>
  <si>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</si>
  <si>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</si>
  <si>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</si>
  <si>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</si>
  <si>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</si>
  <si>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</si>
  <si>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</si>
  <si>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</si>
  <si>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</si>
  <si>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</si>
  <si>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</si>
  <si>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</si>
  <si>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</si>
  <si>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</si>
  <si>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</si>
  <si>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</si>
  <si>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</si>
  <si>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</si>
  <si>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</si>
  <si>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</si>
  <si>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</si>
  <si>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</si>
  <si>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</si>
  <si>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</si>
  <si>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</si>
  <si>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</si>
  <si>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</si>
  <si>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</si>
  <si>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</si>
  <si>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</si>
  <si>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</si>
  <si>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</si>
  <si>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</si>
  <si>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</si>
  <si>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</si>
  <si>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</si>
  <si>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</si>
  <si>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</si>
  <si>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</si>
  <si>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</si>
  <si>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</si>
  <si>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</si>
  <si>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</si>
  <si>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</si>
  <si>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</si>
  <si>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</si>
  <si>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</si>
  <si>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</si>
  <si>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</si>
  <si>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</si>
  <si>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</si>
  <si>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</si>
  <si>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</si>
  <si>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</si>
  <si>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</si>
  <si>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</si>
  <si>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</si>
  <si>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</si>
  <si>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</si>
  <si>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</si>
  <si>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</si>
  <si>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</si>
  <si>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</si>
  <si>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</si>
  <si>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</si>
  <si>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</si>
  <si>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</si>
  <si>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</si>
  <si>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</si>
  <si>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</si>
  <si>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</si>
  <si>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</si>
  <si>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</si>
  <si>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</si>
  <si>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</si>
  <si>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</si>
  <si>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</si>
  <si>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</si>
  <si>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</si>
  <si>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</si>
  <si>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</si>
  <si>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</si>
  <si>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</si>
  <si>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</si>
  <si>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</si>
  <si>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</si>
  <si>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</si>
  <si>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</si>
  <si>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</si>
  <si>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</si>
  <si>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</si>
  <si>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</si>
  <si>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</si>
  <si>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</si>
  <si>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</si>
  <si>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</si>
  <si>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</si>
  <si>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</si>
  <si>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</si>
  <si>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</si>
  <si>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</si>
  <si>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</si>
  <si>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</si>
  <si>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</si>
  <si>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</si>
  <si>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</si>
  <si>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</si>
  <si>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</si>
  <si>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</si>
  <si>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</si>
  <si>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</si>
  <si>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</si>
  <si>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</si>
  <si>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</si>
  <si>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</si>
  <si>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</si>
  <si>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</si>
  <si>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</si>
  <si>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</si>
  <si>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</si>
  <si>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</si>
  <si>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</si>
  <si>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</si>
  <si>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</si>
  <si>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</si>
  <si>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</si>
  <si>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</si>
  <si>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</si>
  <si>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</si>
  <si>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</si>
  <si>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</si>
  <si>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</si>
  <si>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</si>
  <si>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</si>
  <si>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</si>
  <si>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</si>
  <si>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</si>
  <si>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</si>
  <si>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</si>
  <si>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</si>
  <si>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</si>
  <si>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</si>
  <si>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</si>
  <si>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</si>
  <si>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</si>
  <si>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</si>
  <si>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</si>
  <si>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</si>
  <si>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</si>
  <si>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</si>
  <si>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</si>
  <si>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</si>
  <si>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</si>
  <si>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</si>
  <si>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</si>
  <si>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</si>
  <si>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</si>
  <si>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</si>
  <si>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</si>
  <si>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</si>
  <si>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</si>
  <si>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</si>
  <si>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</si>
  <si>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</si>
  <si>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</si>
  <si>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</si>
  <si>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</si>
  <si>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</si>
  <si>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</si>
  <si>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</si>
  <si>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</si>
  <si>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</si>
  <si>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</si>
  <si>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</si>
  <si>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</si>
  <si>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</si>
  <si>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</si>
  <si>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</si>
  <si>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</si>
  <si>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</si>
  <si>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</si>
  <si>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</si>
  <si>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</si>
  <si>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</si>
  <si>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</si>
  <si>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</si>
  <si>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</si>
  <si>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</si>
  <si>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</si>
  <si>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</si>
  <si>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</si>
  <si>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</si>
  <si>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</si>
  <si>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</si>
  <si>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</si>
  <si>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</si>
  <si>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</si>
  <si>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</si>
  <si>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</si>
  <si>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</si>
  <si>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</si>
  <si>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</si>
  <si>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</si>
  <si>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</si>
  <si>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</si>
  <si>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</si>
  <si>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</si>
  <si>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</si>
  <si>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</si>
  <si>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</si>
  <si>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</si>
  <si>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</si>
  <si>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</si>
  <si>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</si>
  <si>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</si>
  <si>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</si>
  <si>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</si>
  <si>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</si>
  <si>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</si>
  <si>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</si>
  <si>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</si>
  <si>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</si>
  <si>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</si>
  <si>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</si>
  <si>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</si>
  <si>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</si>
  <si>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</si>
  <si>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</si>
  <si>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</si>
  <si>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</si>
  <si>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</si>
  <si>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</si>
  <si>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</si>
  <si>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</si>
  <si>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</si>
  <si>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</si>
  <si>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</si>
  <si>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</si>
  <si>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</si>
  <si>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</si>
  <si>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</si>
  <si>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</si>
  <si>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</si>
  <si>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</si>
  <si>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</si>
  <si>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</si>
  <si>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</si>
  <si>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</si>
  <si>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</si>
  <si>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</si>
  <si>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</si>
  <si>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</si>
  <si>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</si>
  <si>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</si>
  <si>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</si>
  <si>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</si>
  <si>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</si>
  <si>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</si>
  <si>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</si>
  <si>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</si>
  <si>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</si>
  <si>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</si>
  <si>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</si>
  <si>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</si>
  <si>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</si>
  <si>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</si>
  <si>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</si>
  <si>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</si>
  <si>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</si>
  <si>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</si>
  <si>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</si>
  <si>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</si>
  <si>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</si>
  <si>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</si>
  <si>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</si>
  <si>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</si>
  <si>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</si>
  <si>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</si>
  <si>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</si>
  <si>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</si>
  <si>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</si>
  <si>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</si>
  <si>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</si>
  <si>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</si>
  <si>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</si>
  <si>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</si>
  <si>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</si>
  <si>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</si>
  <si>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</si>
  <si>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</si>
  <si>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</si>
  <si>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</si>
  <si>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</si>
  <si>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</si>
  <si>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</si>
  <si>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</si>
  <si>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</si>
  <si>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</si>
  <si>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</si>
  <si>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</si>
  <si>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</si>
  <si>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</si>
  <si>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</si>
  <si>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</si>
  <si>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</si>
  <si>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</si>
  <si>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</si>
  <si>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</si>
  <si>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</si>
  <si>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</si>
  <si>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</si>
  <si>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</si>
  <si>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</si>
  <si>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</si>
  <si>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</si>
  <si>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</si>
  <si>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</si>
  <si>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</si>
  <si>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</si>
  <si>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</si>
  <si>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</si>
  <si>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</si>
  <si>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</si>
  <si>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</si>
  <si>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</si>
  <si>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</si>
  <si>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</si>
  <si>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</si>
  <si>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</si>
  <si>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</si>
  <si>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</si>
  <si>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</si>
  <si>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</si>
  <si>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</si>
  <si>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</si>
  <si>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</si>
  <si>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</si>
  <si>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</si>
  <si>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</si>
  <si>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</si>
  <si>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</si>
  <si>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</si>
  <si>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</si>
  <si>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</si>
  <si>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</si>
  <si>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</si>
  <si>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</si>
  <si>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</si>
  <si>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</si>
  <si>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</si>
  <si>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</si>
  <si>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</si>
  <si>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</si>
  <si>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</si>
  <si>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</si>
  <si>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</si>
  <si>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</si>
  <si>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</si>
  <si>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</si>
  <si>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</si>
  <si>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</si>
  <si>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</si>
  <si>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</si>
  <si>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</si>
  <si>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</si>
  <si>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</si>
  <si>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</si>
  <si>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</si>
  <si>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</si>
  <si>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</si>
  <si>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</si>
  <si>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</si>
  <si>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</si>
  <si>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</si>
  <si>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</si>
  <si>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</si>
  <si>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</si>
  <si>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</si>
  <si>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</si>
  <si>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</si>
  <si>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</si>
  <si>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</si>
  <si>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</si>
  <si>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</si>
  <si>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</si>
  <si>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</si>
  <si>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</si>
  <si>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</si>
  <si>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</si>
  <si>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</si>
  <si>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</si>
  <si>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</si>
  <si>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</si>
  <si>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</si>
  <si>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</si>
  <si>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</si>
  <si>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</si>
  <si>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</si>
  <si>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</si>
  <si>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</si>
  <si>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</si>
  <si>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</si>
  <si>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</si>
  <si>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</si>
  <si>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</si>
  <si>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</si>
  <si>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</si>
  <si>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</si>
  <si>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</si>
  <si>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</si>
  <si>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</si>
  <si>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</si>
  <si>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</si>
  <si>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</si>
  <si>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</si>
  <si>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</si>
  <si>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</si>
  <si>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</si>
  <si>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</si>
  <si>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</si>
  <si>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</si>
  <si>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</si>
  <si>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</si>
  <si>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</si>
  <si>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</si>
  <si>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</si>
  <si>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</si>
  <si>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</si>
  <si>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</si>
  <si>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</si>
  <si>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</si>
  <si>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</si>
  <si>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</si>
  <si>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</si>
  <si>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</si>
  <si>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</si>
  <si>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</si>
  <si>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</si>
  <si>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</si>
  <si>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</si>
  <si>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</si>
  <si>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</si>
  <si>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</si>
  <si>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</si>
  <si>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</si>
  <si>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</si>
  <si>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</si>
  <si>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</si>
  <si>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</si>
  <si>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</si>
  <si>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</si>
  <si>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</si>
  <si>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</si>
  <si>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</si>
  <si>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</si>
  <si>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</si>
  <si>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</si>
  <si>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</si>
  <si>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</si>
  <si>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</si>
  <si>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</si>
  <si>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</si>
  <si>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</si>
  <si>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</si>
  <si>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</si>
  <si>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</si>
  <si>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</si>
  <si>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</si>
  <si>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</si>
  <si>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</si>
  <si>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</si>
  <si>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</si>
  <si>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</si>
  <si>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</si>
  <si>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</si>
  <si>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</si>
  <si>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</si>
  <si>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</si>
  <si>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</si>
  <si>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</si>
  <si>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</si>
  <si>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</si>
  <si>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</si>
  <si>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</si>
  <si>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</si>
  <si>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</si>
  <si>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</si>
  <si>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</si>
  <si>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</si>
  <si>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</si>
  <si>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</si>
  <si>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</si>
  <si>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</si>
  <si>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</si>
  <si>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</si>
  <si>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</si>
  <si>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</si>
  <si>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</si>
  <si>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</si>
  <si>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</si>
  <si>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</si>
  <si>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</si>
  <si>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</si>
  <si>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</si>
  <si>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</si>
  <si>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</si>
  <si>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</si>
  <si>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</si>
  <si>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</si>
  <si>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</si>
  <si>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</si>
  <si>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</si>
  <si>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</si>
  <si>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</si>
  <si>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</si>
  <si>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</si>
  <si>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</si>
  <si>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</si>
  <si>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</si>
  <si>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</si>
  <si>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</si>
  <si>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</si>
  <si>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</si>
  <si>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</si>
  <si>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</si>
  <si>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</si>
  <si>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</si>
  <si>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</si>
  <si>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</si>
  <si>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</si>
  <si>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</si>
  <si>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</si>
  <si>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</si>
  <si>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</si>
  <si>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</si>
  <si>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</si>
  <si>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</si>
  <si>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</si>
  <si>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</si>
  <si>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</si>
  <si>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</si>
  <si>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</si>
  <si>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</si>
  <si>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</si>
  <si>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</si>
  <si>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</si>
  <si>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</si>
  <si>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</si>
  <si>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</si>
  <si>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</si>
  <si>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</si>
  <si>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</si>
  <si>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</si>
  <si>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</si>
  <si>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</si>
  <si>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</si>
  <si>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</si>
  <si>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</si>
  <si>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</si>
  <si>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</si>
  <si>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</si>
  <si>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</si>
  <si>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</si>
  <si>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</si>
  <si>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</si>
  <si>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</si>
  <si>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</si>
  <si>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</si>
  <si>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</si>
  <si>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</si>
  <si>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</si>
  <si>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</si>
  <si>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</si>
  <si>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</si>
  <si>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</si>
  <si>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</si>
  <si>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</si>
  <si>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</si>
  <si>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</si>
  <si>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</si>
  <si>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</si>
  <si>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</si>
  <si>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</si>
  <si>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</si>
  <si>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</si>
  <si>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</si>
  <si>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</si>
  <si>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</si>
  <si>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</si>
  <si>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</si>
  <si>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</si>
  <si>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</si>
  <si>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</si>
  <si>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</si>
  <si>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</si>
  <si>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</si>
  <si>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</si>
  <si>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</si>
  <si>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</si>
  <si>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</si>
  <si>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</si>
  <si>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</si>
  <si>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</si>
  <si>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</si>
  <si>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</si>
  <si>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</si>
  <si>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</si>
  <si>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</si>
  <si>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</si>
  <si>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</si>
  <si>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</si>
  <si>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</si>
  <si>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</si>
  <si>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</si>
  <si>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</si>
  <si>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</si>
  <si>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</si>
  <si>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</si>
  <si>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</si>
  <si>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</si>
  <si>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</si>
  <si>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</si>
  <si>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</si>
  <si>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</si>
  <si>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</si>
  <si>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</si>
  <si>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</si>
  <si>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</si>
  <si>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</si>
  <si>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</si>
  <si>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</si>
  <si>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</si>
  <si>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</si>
  <si>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</si>
  <si>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</si>
  <si>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</si>
  <si>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</si>
  <si>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</si>
  <si>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</si>
  <si>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</si>
  <si>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</si>
  <si>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</si>
  <si>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</si>
  <si>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</si>
  <si>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</si>
  <si>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</si>
  <si>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</si>
  <si>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</si>
  <si>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</si>
  <si>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</si>
  <si>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</si>
  <si>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</si>
  <si>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</si>
  <si>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</si>
  <si>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</si>
  <si>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</si>
  <si>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</si>
  <si>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</si>
  <si>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</si>
  <si>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</si>
  <si>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</si>
  <si>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</si>
  <si>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</si>
  <si>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</si>
  <si>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</si>
  <si>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</si>
  <si>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</si>
  <si>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</si>
  <si>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</si>
  <si>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</si>
  <si>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</si>
  <si>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</si>
  <si>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</si>
  <si>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</si>
  <si>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</si>
  <si>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</si>
  <si>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</si>
  <si>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</si>
  <si>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</si>
  <si>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</si>
  <si>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</si>
  <si>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</si>
  <si>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</si>
  <si>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</si>
  <si>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</si>
  <si>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</si>
  <si>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</si>
  <si>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</si>
  <si>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</si>
  <si>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</si>
  <si>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</si>
  <si>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</si>
  <si>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</si>
  <si>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</si>
  <si>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</si>
  <si>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</si>
  <si>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</si>
  <si>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</si>
  <si>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</si>
  <si>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</si>
  <si>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</si>
  <si>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</si>
  <si>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</si>
  <si>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</si>
  <si>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</si>
  <si>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</si>
  <si>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</si>
  <si>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</si>
  <si>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</si>
  <si>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</si>
  <si>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</si>
  <si>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</si>
  <si>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</si>
  <si>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</si>
  <si>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</si>
  <si>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</si>
  <si>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</si>
  <si>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</si>
  <si>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</si>
  <si>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</si>
  <si>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</si>
  <si>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</si>
  <si>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</si>
  <si>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</si>
  <si>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</si>
  <si>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</si>
  <si>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</si>
  <si>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</si>
  <si>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</si>
  <si>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</si>
  <si>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</si>
  <si>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</si>
  <si>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</si>
  <si>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</si>
  <si>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</si>
  <si>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</si>
  <si>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</si>
  <si>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</si>
  <si>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</si>
  <si>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</si>
  <si>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</si>
  <si>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</si>
  <si>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</si>
  <si>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</si>
  <si>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</si>
  <si>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</si>
  <si>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</si>
  <si>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</si>
  <si>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</si>
  <si>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</si>
  <si>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</si>
  <si>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</si>
  <si>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</si>
  <si>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</si>
  <si>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</si>
  <si>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</si>
  <si>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</si>
  <si>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</si>
  <si>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</si>
  <si>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</si>
  <si>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</si>
  <si>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</si>
  <si>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</si>
  <si>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</si>
  <si>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</si>
  <si>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</si>
  <si>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</si>
  <si>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</si>
  <si>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</si>
  <si>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</si>
  <si>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</si>
  <si>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</si>
  <si>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</si>
  <si>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</si>
  <si>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</si>
  <si>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</si>
  <si>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</si>
  <si>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</si>
  <si>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</si>
  <si>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</si>
  <si>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</si>
  <si>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</si>
  <si>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</si>
  <si>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</si>
  <si>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</si>
  <si>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</si>
  <si>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</si>
  <si>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</si>
  <si>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</si>
  <si>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</si>
  <si>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</si>
  <si>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</si>
  <si>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</si>
  <si>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</si>
  <si>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</si>
  <si>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</si>
  <si>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</si>
  <si>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</si>
  <si>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</si>
  <si>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</si>
  <si>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</si>
  <si>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</si>
  <si>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</si>
  <si>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</si>
  <si>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</si>
  <si>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</si>
  <si>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</si>
  <si>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</si>
  <si>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</si>
  <si>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</si>
  <si>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</si>
  <si>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</si>
  <si>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</si>
  <si>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</si>
  <si>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</si>
  <si>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</si>
  <si>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</si>
  <si>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</si>
  <si>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</si>
  <si>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</si>
  <si>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</si>
  <si>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</si>
  <si>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</si>
  <si>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</si>
  <si>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</si>
  <si>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</si>
  <si>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</si>
  <si>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</si>
  <si>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</si>
  <si>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</si>
  <si>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</si>
  <si>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</si>
  <si>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</si>
  <si>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</si>
  <si>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</si>
  <si>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</si>
  <si>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</si>
  <si>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</si>
  <si>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</si>
  <si>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</si>
  <si>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</si>
  <si>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</si>
  <si>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</si>
  <si>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</si>
  <si>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</si>
  <si>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</si>
  <si>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</si>
  <si>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</si>
  <si>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</si>
  <si>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</si>
  <si>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</si>
  <si>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</si>
  <si>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</si>
  <si>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</si>
  <si>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</si>
  <si>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</si>
  <si>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</si>
  <si>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</si>
  <si>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</si>
  <si>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</si>
  <si>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</si>
  <si>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</si>
  <si>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</si>
  <si>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</si>
  <si>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</si>
  <si>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</si>
  <si>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</si>
  <si>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</si>
  <si>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</si>
  <si>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</si>
  <si>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</si>
  <si>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</si>
  <si>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</si>
  <si>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</si>
  <si>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</si>
  <si>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</si>
  <si>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</si>
  <si>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</si>
  <si>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</si>
  <si>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</si>
  <si>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</si>
  <si>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</si>
  <si>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</si>
  <si>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</si>
  <si>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</si>
  <si>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</si>
  <si>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</si>
  <si>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</si>
  <si>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</si>
  <si>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</si>
  <si>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</si>
  <si>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</si>
  <si>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</si>
  <si>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</si>
  <si>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</si>
  <si>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</si>
  <si>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</si>
  <si>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</si>
  <si>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</si>
  <si>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</si>
  <si>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</si>
  <si>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</si>
  <si>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</si>
  <si>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</si>
  <si>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</si>
  <si>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</si>
  <si>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</si>
  <si>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</si>
  <si>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</si>
  <si>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</si>
  <si>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</si>
  <si>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</si>
  <si>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</si>
  <si>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</si>
  <si>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</si>
  <si>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</si>
  <si>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</si>
  <si>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</si>
  <si>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</si>
  <si>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</si>
  <si>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</si>
  <si>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</si>
  <si>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</si>
  <si>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</si>
  <si>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</si>
  <si>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</si>
  <si>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</si>
  <si>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</si>
  <si>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</si>
  <si>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</si>
  <si>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</si>
  <si>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</si>
  <si>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</si>
  <si>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</si>
  <si>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</si>
  <si>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</si>
  <si>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</si>
  <si>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</si>
  <si>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</si>
  <si>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</si>
  <si>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</si>
  <si>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</si>
  <si>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</si>
  <si>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</si>
  <si>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</si>
  <si>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</si>
  <si>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</si>
  <si>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</si>
  <si>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</si>
  <si>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</si>
  <si>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</si>
  <si>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</si>
  <si>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</si>
  <si>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</si>
  <si>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</si>
  <si>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</si>
  <si>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</si>
  <si>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</si>
  <si>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</si>
  <si>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</si>
  <si>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</si>
  <si>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</si>
  <si>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</si>
  <si>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</si>
  <si>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</si>
  <si>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</si>
  <si>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</si>
  <si>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</si>
  <si>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</si>
  <si>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</si>
  <si>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</si>
  <si>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</si>
  <si>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</si>
  <si>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</si>
  <si>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</si>
  <si>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</si>
  <si>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</si>
  <si>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</si>
  <si>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</si>
  <si>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</si>
  <si>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</si>
  <si>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</si>
  <si>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</si>
  <si>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</si>
  <si>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</si>
  <si>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</si>
  <si>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</si>
  <si>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</si>
  <si>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</si>
  <si>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</si>
  <si>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</si>
  <si>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</si>
  <si>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</si>
  <si>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</si>
  <si>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</si>
  <si>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</si>
  <si>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</si>
  <si>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</si>
  <si>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</si>
  <si>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</si>
  <si>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</si>
  <si>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</si>
  <si>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</si>
  <si>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</si>
  <si>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</si>
  <si>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</si>
  <si>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</si>
  <si>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</si>
  <si>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</si>
  <si>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</si>
  <si>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</si>
  <si>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</si>
  <si>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</si>
  <si>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</si>
  <si>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</si>
  <si>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</si>
  <si>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</si>
  <si>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</si>
  <si>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</si>
  <si>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</si>
  <si>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</si>
  <si>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</si>
  <si>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</si>
  <si>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</si>
  <si>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</si>
  <si>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</si>
  <si>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</si>
  <si>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</si>
  <si>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</si>
  <si>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</si>
  <si>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</si>
  <si>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</si>
  <si>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</si>
  <si>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</si>
  <si>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</si>
  <si>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</si>
  <si>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</si>
  <si>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</si>
  <si>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</si>
  <si>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</si>
  <si>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</si>
  <si>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</si>
  <si>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</si>
  <si>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</si>
  <si>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</si>
  <si>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</si>
  <si>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</si>
  <si>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</si>
  <si>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</si>
  <si>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</si>
  <si>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</si>
  <si>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</si>
  <si>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</si>
  <si>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</si>
  <si>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</si>
  <si>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</si>
  <si>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</si>
  <si>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</si>
  <si>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</si>
  <si>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</si>
  <si>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</si>
  <si>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</si>
  <si>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</si>
  <si>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</si>
  <si>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</si>
  <si>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</si>
  <si>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</si>
  <si>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</si>
  <si>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</si>
  <si>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</si>
  <si>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</si>
  <si>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</si>
  <si>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</si>
  <si>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</si>
  <si>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</si>
  <si>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</si>
  <si>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</si>
  <si>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</si>
  <si>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</si>
  <si>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</si>
  <si>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</si>
  <si>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</si>
  <si>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</si>
  <si>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</si>
  <si>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</si>
  <si>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</si>
  <si>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</si>
  <si>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</si>
  <si>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</si>
  <si>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</si>
  <si>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</si>
  <si>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</si>
  <si>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</si>
  <si>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</si>
  <si>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</si>
  <si>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</si>
  <si>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</si>
  <si>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</si>
  <si>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</si>
  <si>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</si>
  <si>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</si>
  <si>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</si>
  <si>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</si>
  <si>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</si>
  <si>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</si>
  <si>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</si>
  <si>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</si>
  <si>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</si>
  <si>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</si>
  <si>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</si>
  <si>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</si>
  <si>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</si>
  <si>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</si>
  <si>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</si>
  <si>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</si>
  <si>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</si>
  <si>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</si>
  <si>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</si>
  <si>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</si>
  <si>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</si>
  <si>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</si>
  <si>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</si>
  <si>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</si>
  <si>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</si>
  <si>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</si>
  <si>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</si>
  <si>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</si>
  <si>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</si>
  <si>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</si>
  <si>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</si>
  <si>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</si>
  <si>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</si>
  <si>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</si>
  <si>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</si>
  <si>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</si>
  <si>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</si>
  <si>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</si>
  <si>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</si>
  <si>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</si>
  <si>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</si>
  <si>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</si>
  <si>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</si>
  <si>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</si>
  <si>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</si>
  <si>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</si>
  <si>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</si>
  <si>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</si>
  <si>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</si>
  <si>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</si>
  <si>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</si>
  <si>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</si>
  <si>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</si>
  <si>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</si>
  <si>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</si>
  <si>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</si>
  <si>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</si>
  <si>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</si>
  <si>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</si>
  <si>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</si>
  <si>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</si>
  <si>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</si>
  <si>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</si>
  <si>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</si>
  <si>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</si>
  <si>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</si>
  <si>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</si>
  <si>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</si>
  <si>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</si>
  <si>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</si>
  <si>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</si>
  <si>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</si>
  <si>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</si>
  <si>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</si>
  <si>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</si>
  <si>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</si>
  <si>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</si>
  <si>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</si>
  <si>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</si>
  <si>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</si>
  <si>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</si>
  <si>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</si>
  <si>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</si>
  <si>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</si>
  <si>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</si>
  <si>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</si>
  <si>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</si>
  <si>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</si>
  <si>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</si>
  <si>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</si>
  <si>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</si>
  <si>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</si>
  <si>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</si>
  <si>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</si>
  <si>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</si>
  <si>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</si>
  <si>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</si>
  <si>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</si>
  <si>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</si>
  <si>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</si>
  <si>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</si>
  <si>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</si>
  <si>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</si>
  <si>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</si>
  <si>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</si>
  <si>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</si>
  <si>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</si>
  <si>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</si>
  <si>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</si>
  <si>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</si>
  <si>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</si>
  <si>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</si>
  <si>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</si>
  <si>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</si>
  <si>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</si>
  <si>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</si>
  <si>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</si>
  <si>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</si>
  <si>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</si>
  <si>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</si>
  <si>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</si>
  <si>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</si>
  <si>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</si>
  <si>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</si>
  <si>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</si>
  <si>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</si>
  <si>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</si>
  <si>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</si>
  <si>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</si>
  <si>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</si>
  <si>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</si>
  <si>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</si>
  <si>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</si>
  <si>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</si>
  <si>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</si>
  <si>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</si>
  <si>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</si>
  <si>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</si>
  <si>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</si>
  <si>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</si>
  <si>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</si>
  <si>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</si>
  <si>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</si>
  <si>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</si>
  <si>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</si>
  <si>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</si>
  <si>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</si>
  <si>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</si>
  <si>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</si>
  <si>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</si>
  <si>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</si>
  <si>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</si>
  <si>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</si>
  <si>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</si>
  <si>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</si>
  <si>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</si>
  <si>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</si>
  <si>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</si>
  <si>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</si>
  <si>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</si>
  <si>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</si>
  <si>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</si>
  <si>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</si>
  <si>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</si>
  <si>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</si>
  <si>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</si>
  <si>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</si>
  <si>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</si>
  <si>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</si>
  <si>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</si>
  <si>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</si>
  <si>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</si>
  <si>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</si>
  <si>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</si>
  <si>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</si>
  <si>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</si>
  <si>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</si>
  <si>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</si>
  <si>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</si>
  <si>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</si>
  <si>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</si>
  <si>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</si>
  <si>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</si>
  <si>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</si>
  <si>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</si>
  <si>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</si>
  <si>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</si>
  <si>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</si>
  <si>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</si>
  <si>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</si>
  <si>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</si>
  <si>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</si>
  <si>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</si>
  <si>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</si>
  <si>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</si>
  <si>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</si>
  <si>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</si>
  <si>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</si>
  <si>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</si>
  <si>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</si>
  <si>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</si>
  <si>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</si>
  <si>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</si>
  <si>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</si>
  <si>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</si>
  <si>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</si>
  <si>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</si>
  <si>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</si>
  <si>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</si>
  <si>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</si>
  <si>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</si>
  <si>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</si>
  <si>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</si>
  <si>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</si>
  <si>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</si>
  <si>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</si>
  <si>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</si>
  <si>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</si>
  <si>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</si>
  <si>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</si>
  <si>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</si>
  <si>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</si>
  <si>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</si>
  <si>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</si>
  <si>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</si>
  <si>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</si>
  <si>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</si>
  <si>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</si>
  <si>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</si>
  <si>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</si>
  <si>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</si>
  <si>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</si>
  <si>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</si>
  <si>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</si>
  <si>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</si>
  <si>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</si>
  <si>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</si>
  <si>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</si>
  <si>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</si>
  <si>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</si>
  <si>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</si>
  <si>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</si>
  <si>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</si>
  <si>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</si>
  <si>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</si>
  <si>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</si>
  <si>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</si>
  <si>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</si>
  <si>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</si>
  <si>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</si>
  <si>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</si>
  <si>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</si>
  <si>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</si>
  <si>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</si>
  <si>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</si>
  <si>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</si>
  <si>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</si>
  <si>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</si>
  <si>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</si>
  <si>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</si>
  <si>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</si>
  <si>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</si>
  <si>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</si>
  <si>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</si>
  <si>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</si>
  <si>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</si>
  <si>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</si>
  <si>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</si>
  <si>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</si>
  <si>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</si>
  <si>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</si>
  <si>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</si>
  <si>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</si>
  <si>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</si>
  <si>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</si>
  <si>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</si>
  <si>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</si>
  <si>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</si>
  <si>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</si>
  <si>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</si>
  <si>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</si>
  <si>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</si>
  <si>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</si>
  <si>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</si>
  <si>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</si>
  <si>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</si>
  <si>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</si>
  <si>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</si>
  <si>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</si>
  <si>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</si>
  <si>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</si>
  <si>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</si>
  <si>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</si>
  <si>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</si>
  <si>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</si>
  <si>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</si>
  <si>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</si>
  <si>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</si>
  <si>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</si>
  <si>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</si>
  <si>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</si>
  <si>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</si>
  <si>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</si>
  <si>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</si>
  <si>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</si>
  <si>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</si>
  <si>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</si>
  <si>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</si>
  <si>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</si>
  <si>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</si>
  <si>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</si>
  <si>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</si>
  <si>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</si>
  <si>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</si>
  <si>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</si>
  <si>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</si>
  <si>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</si>
  <si>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</si>
  <si>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</si>
  <si>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</si>
  <si>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</si>
  <si>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</si>
  <si>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</si>
  <si>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</si>
  <si>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</si>
  <si>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</si>
  <si>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</si>
  <si>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</si>
  <si>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</si>
  <si>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</si>
  <si>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</si>
  <si>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</si>
  <si>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</si>
  <si>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</si>
  <si>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</si>
  <si>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</si>
  <si>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</si>
  <si>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</si>
  <si>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</si>
  <si>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</si>
  <si>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</si>
  <si>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</si>
  <si>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</si>
  <si>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</si>
  <si>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</si>
  <si>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</si>
  <si>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</si>
  <si>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</si>
  <si>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</si>
  <si>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</si>
  <si>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</si>
  <si>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</si>
  <si>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</si>
  <si>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</si>
  <si>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</si>
  <si>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</si>
  <si>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</si>
  <si>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</si>
  <si>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</si>
  <si>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</si>
  <si>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</si>
  <si>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</si>
  <si>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</si>
  <si>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</si>
  <si>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</si>
  <si>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</si>
  <si>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</si>
  <si>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</si>
  <si>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</si>
  <si>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</si>
  <si>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</si>
  <si>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</si>
  <si>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</si>
  <si>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</si>
  <si>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</si>
  <si>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</si>
  <si>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</si>
  <si>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</si>
  <si>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</si>
  <si>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</si>
  <si>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</si>
  <si>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</si>
  <si>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</si>
  <si>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</si>
  <si>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</si>
  <si>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</si>
  <si>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</si>
  <si>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</si>
  <si>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</si>
  <si>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</si>
  <si>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</si>
  <si>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</si>
  <si>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</si>
  <si>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</si>
  <si>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</si>
  <si>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</si>
  <si>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</si>
  <si>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</si>
  <si>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</si>
  <si>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</si>
  <si>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</si>
  <si>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</si>
  <si>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</si>
  <si>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</si>
  <si>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</si>
  <si>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</si>
  <si>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</si>
  <si>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</si>
  <si>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</si>
  <si>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</si>
  <si>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</si>
  <si>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</si>
  <si>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</si>
  <si>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</si>
  <si>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</si>
  <si>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</si>
  <si>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</si>
  <si>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</si>
  <si>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</si>
  <si>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</si>
  <si>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</si>
  <si>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</si>
  <si>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</si>
  <si>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</si>
  <si>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</si>
  <si>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</si>
  <si>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</si>
  <si>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</si>
  <si>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</si>
  <si>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</si>
  <si>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</si>
  <si>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</si>
  <si>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</si>
  <si>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</si>
  <si>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</si>
  <si>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</si>
  <si>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</si>
  <si>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</si>
  <si>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</si>
  <si>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</si>
  <si>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</si>
  <si>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</si>
  <si>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</si>
  <si>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</si>
  <si>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</si>
  <si>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</si>
  <si>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</si>
  <si>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</si>
  <si>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</si>
  <si>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</si>
  <si>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</si>
  <si>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</si>
  <si>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</si>
  <si>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</si>
  <si>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</si>
  <si>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</si>
  <si>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</si>
  <si>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</si>
  <si>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</si>
  <si>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</si>
  <si>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</si>
  <si>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</si>
  <si>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</si>
  <si>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</si>
  <si>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</si>
  <si>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</si>
  <si>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</si>
  <si>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</si>
  <si>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</si>
  <si>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</si>
  <si>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</si>
  <si>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</si>
  <si>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</si>
  <si>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</si>
  <si>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</si>
  <si>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</si>
  <si>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</si>
  <si>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</si>
  <si>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</si>
  <si>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</si>
  <si>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</si>
  <si>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</si>
  <si>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</si>
  <si>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</si>
  <si>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</si>
  <si>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</si>
  <si>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</si>
  <si>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</si>
  <si>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</si>
  <si>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</si>
  <si>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</si>
  <si>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</si>
  <si>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</si>
  <si>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</si>
  <si>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</si>
  <si>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</si>
  <si>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</si>
  <si>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</si>
  <si>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</si>
  <si>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</si>
  <si>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</si>
  <si>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</si>
  <si>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</si>
  <si>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</si>
  <si>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</si>
  <si>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</si>
  <si>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</si>
  <si>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</si>
  <si>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</si>
  <si>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</si>
  <si>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</si>
  <si>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</si>
  <si>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</si>
  <si>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</si>
  <si>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</si>
  <si>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</si>
  <si>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</si>
  <si>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</si>
  <si>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</si>
  <si>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</si>
  <si>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</si>
  <si>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</si>
  <si>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</si>
  <si>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</si>
  <si>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</si>
  <si>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</si>
  <si>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</si>
  <si>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</si>
  <si>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</si>
  <si>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</si>
  <si>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</si>
  <si>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</si>
  <si>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</si>
  <si>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</si>
  <si>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</si>
  <si>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</si>
  <si>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</si>
  <si>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</si>
  <si>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</si>
  <si>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</si>
  <si>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</si>
  <si>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</si>
  <si>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</si>
  <si>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</si>
  <si>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</si>
  <si>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</si>
  <si>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</si>
  <si>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</si>
  <si>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</si>
  <si>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</si>
  <si>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</si>
  <si>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</si>
  <si>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</si>
  <si>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</si>
  <si>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</si>
  <si>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</si>
  <si>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</si>
  <si>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</si>
  <si>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</si>
  <si>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</si>
  <si>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</si>
  <si>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</si>
  <si>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</si>
  <si>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</si>
  <si>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</si>
  <si>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</si>
  <si>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</si>
  <si>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</si>
  <si>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</si>
  <si>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</si>
  <si>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</si>
  <si>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</si>
  <si>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</si>
  <si>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</si>
  <si>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</si>
  <si>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</si>
  <si>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</si>
  <si>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</si>
  <si>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</si>
  <si>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</si>
  <si>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</si>
  <si>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</si>
  <si>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</si>
  <si>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</si>
  <si>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</si>
  <si>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</si>
  <si>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</si>
  <si>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</si>
  <si>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</si>
  <si>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</si>
  <si>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</si>
  <si>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</si>
  <si>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</si>
  <si>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</si>
  <si>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</si>
  <si>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</si>
  <si>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</si>
  <si>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</si>
  <si>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</si>
  <si>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</si>
  <si>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</si>
  <si>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</si>
  <si>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</si>
  <si>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</si>
  <si>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</si>
  <si>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</si>
  <si>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</si>
  <si>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</si>
  <si>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</si>
  <si>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</si>
  <si>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</si>
  <si>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</si>
  <si>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</si>
  <si>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</si>
  <si>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</si>
  <si>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</si>
  <si>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</si>
  <si>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</si>
  <si>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</si>
  <si>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</si>
  <si>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</si>
  <si>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</si>
  <si>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</si>
  <si>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</si>
  <si>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</si>
  <si>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</si>
  <si>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</si>
  <si>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</si>
  <si>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</si>
  <si>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</si>
  <si>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</si>
  <si>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</si>
  <si>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</si>
  <si>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</si>
  <si>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</si>
  <si>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</si>
  <si>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</si>
  <si>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</si>
  <si>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</si>
  <si>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</si>
  <si>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</si>
  <si>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</si>
  <si>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</si>
  <si>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</si>
  <si>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</si>
  <si>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</si>
  <si>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</si>
  <si>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</si>
  <si>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</si>
  <si>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</si>
  <si>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</si>
  <si>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</si>
  <si>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</si>
  <si>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</si>
  <si>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</si>
  <si>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</si>
  <si>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</si>
  <si>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</si>
  <si>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</si>
  <si>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</si>
  <si>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</si>
  <si>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</si>
  <si>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</si>
  <si>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</si>
  <si>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</si>
  <si>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</si>
  <si>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</si>
  <si>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</si>
  <si>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</si>
  <si>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</si>
  <si>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</si>
  <si>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</si>
  <si>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</si>
  <si>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</si>
  <si>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</si>
  <si>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</si>
  <si>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</si>
  <si>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</si>
  <si>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</si>
  <si>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</si>
  <si>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</si>
  <si>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</si>
  <si>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</si>
  <si>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</si>
  <si>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</si>
  <si>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</si>
  <si>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</si>
  <si>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</si>
  <si>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</si>
  <si>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</si>
  <si>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</si>
  <si>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</si>
  <si>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</si>
  <si>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</si>
  <si>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</si>
  <si>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</si>
  <si>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</si>
  <si>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</si>
  <si>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</si>
  <si>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</si>
  <si>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</si>
  <si>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</si>
  <si>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</si>
  <si>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</si>
  <si>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</si>
  <si>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</si>
  <si>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</si>
  <si>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</si>
  <si>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</si>
  <si>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</si>
  <si>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</si>
  <si>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</si>
  <si>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</si>
  <si>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</si>
  <si>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</si>
  <si>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</si>
  <si>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</si>
  <si>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</si>
  <si>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</si>
  <si>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</si>
  <si>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</si>
  <si>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</si>
  <si>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</si>
  <si>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</si>
  <si>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</si>
  <si>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</si>
  <si>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</si>
  <si>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</si>
  <si>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</si>
  <si>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</si>
  <si>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</si>
  <si>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</si>
  <si>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</si>
  <si>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</si>
  <si>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</si>
  <si>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</si>
  <si>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</si>
  <si>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</si>
  <si>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</si>
  <si>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</si>
  <si>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</si>
  <si>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</si>
  <si>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</si>
  <si>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</si>
  <si>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</si>
  <si>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</si>
  <si>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</si>
  <si>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</si>
  <si>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</si>
  <si>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</si>
  <si>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</si>
  <si>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</si>
  <si>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</si>
  <si>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</si>
  <si>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</si>
  <si>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</si>
  <si>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</si>
  <si>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</si>
  <si>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</si>
  <si>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</si>
  <si>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</si>
  <si>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</si>
  <si>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</si>
  <si>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</si>
  <si>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</si>
  <si>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</si>
  <si>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</si>
  <si>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</si>
  <si>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</si>
  <si>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</si>
  <si>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</si>
  <si>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</si>
  <si>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</si>
  <si>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</si>
  <si>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</si>
  <si>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</si>
  <si>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</si>
  <si>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</si>
  <si>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</si>
  <si>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</si>
  <si>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</si>
  <si>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</si>
  <si>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</si>
  <si>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</si>
  <si>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</si>
  <si>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</si>
  <si>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</si>
  <si>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</si>
  <si>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</si>
  <si>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</si>
  <si>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</si>
  <si>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</si>
  <si>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</si>
  <si>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</si>
  <si>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</si>
  <si>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</si>
  <si>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</si>
  <si>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</si>
  <si>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</si>
  <si>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</si>
  <si>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</si>
  <si>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</si>
  <si>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</si>
  <si>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</si>
  <si>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</si>
  <si>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</si>
  <si>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</si>
  <si>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</si>
  <si>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</si>
  <si>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</si>
  <si>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</si>
  <si>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</si>
  <si>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</si>
  <si>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</si>
  <si>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</si>
  <si>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</si>
  <si>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</si>
  <si>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</si>
  <si>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</si>
  <si>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</si>
  <si>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</si>
  <si>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</si>
  <si>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</si>
  <si>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</si>
  <si>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</si>
  <si>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</si>
  <si>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</si>
  <si>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</si>
  <si>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</si>
  <si>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</si>
  <si>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</si>
  <si>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</si>
  <si>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</si>
  <si>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</si>
  <si>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</si>
  <si>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</si>
  <si>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</si>
  <si>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</si>
  <si>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</si>
  <si>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</si>
  <si>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</si>
  <si>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</si>
  <si>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</si>
  <si>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</si>
  <si>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</si>
  <si>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</si>
  <si>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</si>
  <si>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</si>
  <si>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</si>
  <si>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</si>
  <si>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</si>
  <si>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</si>
  <si>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</si>
  <si>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</si>
  <si>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</si>
  <si>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</si>
  <si>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</si>
  <si>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</si>
  <si>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</si>
  <si>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</si>
  <si>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</si>
  <si>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</si>
  <si>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</si>
  <si>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</si>
  <si>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</si>
  <si>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</si>
  <si>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</si>
  <si>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</si>
  <si>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</si>
  <si>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</si>
  <si>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</si>
  <si>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</si>
  <si>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</si>
  <si>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</si>
  <si>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</si>
  <si>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</si>
  <si>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</si>
  <si>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</si>
  <si>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</si>
  <si>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</si>
  <si>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</si>
  <si>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</si>
  <si>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</si>
  <si>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</si>
  <si>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</si>
  <si>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</si>
  <si>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</si>
  <si>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</si>
  <si>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</si>
  <si>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</si>
  <si>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</si>
  <si>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</si>
  <si>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</si>
  <si>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</si>
  <si>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</si>
  <si>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</si>
  <si>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</si>
  <si>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</si>
  <si>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</si>
  <si>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</si>
  <si>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</si>
  <si>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</si>
  <si>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</si>
  <si>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</si>
  <si>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</si>
  <si>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</si>
  <si>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</si>
  <si>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</si>
  <si>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</si>
  <si>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</si>
  <si>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</si>
  <si>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</si>
  <si>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</si>
  <si>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</si>
  <si>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</si>
  <si>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</si>
  <si>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</si>
  <si>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</si>
  <si>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</si>
  <si>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</si>
  <si>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</si>
  <si>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</si>
  <si>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</si>
  <si>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</si>
  <si>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</si>
  <si>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</si>
  <si>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</si>
  <si>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</si>
  <si>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</si>
  <si>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</si>
  <si>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</si>
  <si>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</si>
  <si>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</si>
  <si>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</si>
  <si>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</si>
  <si>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</si>
  <si>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</si>
  <si>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</si>
  <si>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</si>
  <si>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</si>
  <si>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</si>
  <si>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</si>
  <si>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</si>
  <si>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</si>
  <si>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</si>
  <si>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</si>
  <si>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</si>
  <si>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</si>
  <si>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</si>
  <si>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</si>
  <si>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</si>
  <si>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</si>
  <si>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</si>
  <si>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</si>
  <si>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</si>
  <si>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</si>
  <si>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</si>
  <si>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</si>
  <si>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</si>
  <si>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</si>
  <si>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</si>
  <si>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</si>
  <si>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</si>
  <si>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</si>
  <si>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</si>
  <si>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</si>
  <si>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</si>
  <si>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</si>
  <si>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</si>
  <si>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</si>
  <si>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</si>
  <si>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</si>
  <si>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</si>
  <si>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</si>
  <si>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</si>
  <si>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</si>
  <si>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</si>
  <si>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</si>
  <si>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</si>
  <si>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</si>
  <si>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</si>
  <si>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</si>
  <si>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</si>
  <si>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</si>
  <si>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</si>
  <si>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</si>
  <si>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</si>
  <si>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</si>
  <si>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</si>
  <si>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</si>
  <si>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</si>
  <si>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</si>
  <si>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</si>
  <si>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</si>
  <si>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</si>
  <si>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</si>
  <si>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</si>
  <si>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</si>
  <si>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</si>
  <si>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</si>
  <si>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</si>
  <si>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</si>
  <si>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</si>
  <si>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</si>
  <si>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</si>
  <si>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</si>
  <si>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</si>
  <si>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</si>
  <si>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</si>
  <si>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</si>
  <si>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</si>
  <si>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</si>
  <si>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</si>
  <si>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</si>
  <si>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</si>
  <si>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</si>
  <si>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</si>
  <si>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</si>
  <si>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</si>
  <si>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</si>
  <si>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</si>
  <si>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</si>
  <si>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</si>
  <si>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</si>
  <si>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</si>
  <si>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</si>
  <si>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</si>
  <si>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</si>
  <si>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</si>
  <si>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</si>
  <si>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</si>
  <si>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</si>
  <si>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</si>
  <si>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</si>
  <si>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</si>
  <si>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</si>
  <si>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</si>
  <si>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</si>
  <si>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</si>
  <si>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</si>
  <si>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</si>
  <si>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</si>
  <si>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</si>
  <si>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</si>
  <si>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</si>
  <si>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</si>
  <si>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</si>
  <si>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</si>
  <si>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</si>
  <si>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</si>
  <si>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</si>
  <si>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</si>
  <si>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</si>
  <si>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</si>
  <si>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</si>
  <si>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</si>
  <si>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</si>
  <si>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</si>
  <si>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</si>
  <si>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</si>
  <si>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</si>
  <si>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</si>
  <si>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</si>
  <si>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</si>
  <si>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</si>
  <si>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</si>
  <si>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</si>
  <si>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</si>
  <si>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</si>
  <si>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</si>
  <si>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</si>
  <si>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</si>
  <si>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</si>
  <si>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</si>
  <si>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</si>
  <si>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</si>
  <si>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</si>
  <si>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</si>
  <si>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</si>
  <si>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</si>
  <si>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</si>
  <si>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</si>
  <si>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</si>
  <si>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</si>
  <si>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</si>
  <si>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</si>
  <si>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</si>
  <si>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</si>
  <si>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</si>
  <si>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</si>
  <si>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</si>
  <si>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</si>
  <si>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</si>
  <si>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</si>
  <si>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</si>
  <si>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</si>
  <si>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</si>
  <si>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</si>
  <si>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</si>
  <si>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</si>
  <si>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</si>
  <si>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</si>
  <si>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</si>
  <si>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</si>
  <si>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</si>
  <si>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</si>
  <si>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</si>
  <si>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</si>
  <si>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</si>
  <si>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</si>
  <si>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</si>
  <si>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</si>
  <si>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</si>
  <si>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</si>
  <si>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</si>
  <si>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</si>
  <si>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</si>
  <si>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</si>
  <si>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</si>
  <si>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</si>
  <si>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</si>
  <si>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</si>
  <si>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</si>
  <si>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</si>
  <si>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</si>
  <si>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</si>
  <si>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</si>
  <si>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</si>
  <si>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</si>
  <si>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</si>
  <si>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</si>
  <si>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</si>
  <si>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</si>
  <si>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</si>
  <si>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</si>
  <si>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</si>
  <si>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</si>
  <si>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</si>
  <si>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</si>
  <si>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</si>
  <si>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</si>
  <si>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</si>
  <si>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</si>
  <si>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</si>
  <si>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</si>
  <si>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</si>
  <si>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</si>
  <si>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</si>
  <si>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</si>
  <si>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</si>
  <si>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</si>
  <si>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</si>
  <si>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</si>
  <si>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</si>
  <si>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</si>
  <si>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</si>
  <si>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</si>
  <si>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</si>
  <si>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</si>
  <si>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</si>
  <si>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</si>
  <si>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</si>
  <si>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</si>
  <si>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</si>
  <si>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</si>
  <si>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</si>
  <si>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</si>
  <si>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</si>
  <si>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</si>
  <si>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</si>
  <si>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</si>
  <si>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</si>
  <si>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</si>
  <si>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</si>
  <si>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</si>
  <si>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</si>
  <si>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</si>
  <si>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</si>
  <si>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</si>
  <si>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</si>
  <si>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</si>
  <si>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</si>
  <si>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</si>
  <si>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</si>
  <si>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</si>
  <si>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</si>
  <si>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</si>
  <si>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</si>
  <si>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</si>
  <si>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</si>
  <si>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</si>
  <si>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</si>
  <si>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</si>
  <si>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</si>
  <si>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</si>
  <si>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</si>
  <si>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</si>
  <si>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</si>
  <si>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</si>
  <si>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</si>
  <si>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</si>
  <si>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</si>
  <si>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</si>
  <si>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</si>
  <si>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</si>
  <si>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</si>
  <si>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</si>
  <si>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</si>
  <si>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</si>
  <si>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</si>
  <si>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</si>
  <si>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</si>
  <si>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</si>
  <si>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</si>
  <si>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</si>
  <si>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</si>
  <si>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</si>
  <si>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</si>
  <si>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</si>
  <si>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</si>
  <si>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</si>
  <si>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</si>
  <si>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</si>
  <si>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</si>
  <si>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</si>
  <si>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</si>
  <si>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</si>
  <si>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</si>
  <si>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</si>
  <si>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</si>
  <si>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</si>
  <si>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</si>
  <si>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</si>
  <si>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</si>
  <si>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</si>
  <si>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</si>
  <si>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</si>
  <si>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</si>
  <si>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</si>
  <si>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</si>
  <si>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</si>
  <si>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</si>
  <si>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</si>
  <si>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</si>
  <si>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</si>
  <si>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</si>
  <si>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</si>
  <si>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</si>
  <si>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</si>
  <si>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</si>
  <si>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</si>
  <si>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</si>
  <si>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</si>
  <si>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</si>
  <si>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</si>
  <si>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</si>
  <si>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</si>
  <si>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</si>
  <si>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</si>
  <si>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</si>
  <si>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</si>
  <si>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</si>
  <si>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</si>
  <si>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</si>
  <si>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</si>
  <si>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</si>
  <si>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</si>
  <si>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</si>
  <si>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</si>
  <si>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</si>
  <si>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</si>
  <si>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</si>
  <si>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</si>
  <si>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</si>
  <si>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</si>
  <si>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</si>
  <si>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</si>
  <si>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</si>
  <si>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</si>
  <si>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</si>
  <si>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</si>
  <si>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</si>
  <si>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</si>
  <si>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</si>
  <si>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</si>
  <si>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</si>
  <si>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</si>
  <si>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</si>
  <si>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</si>
  <si>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</si>
  <si>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</si>
  <si>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</si>
  <si>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</si>
  <si>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</si>
  <si>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</si>
  <si>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</si>
  <si>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</si>
  <si>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</si>
  <si>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</si>
  <si>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</si>
  <si>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</si>
  <si>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</si>
  <si>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</si>
  <si>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</si>
  <si>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</si>
  <si>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</si>
  <si>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</si>
  <si>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</si>
  <si>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</si>
  <si>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</si>
  <si>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</si>
  <si>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</si>
  <si>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</si>
  <si>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</si>
  <si>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</si>
  <si>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</si>
  <si>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</si>
  <si>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</si>
  <si>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</si>
  <si>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</si>
  <si>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</si>
  <si>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</si>
  <si>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</si>
  <si>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</si>
  <si>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</si>
  <si>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</si>
  <si>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</si>
  <si>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</si>
  <si>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</si>
  <si>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</si>
  <si>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</si>
  <si>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</si>
  <si>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</si>
  <si>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</si>
  <si>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</si>
  <si>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</si>
  <si>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</si>
  <si>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</si>
  <si>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</si>
  <si>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</si>
  <si>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</si>
  <si>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</si>
  <si>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</si>
  <si>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</si>
  <si>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</si>
  <si>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</si>
  <si>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</si>
  <si>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</si>
  <si>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</si>
  <si>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</si>
  <si>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</si>
  <si>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</si>
  <si>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</si>
  <si>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</si>
  <si>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</si>
  <si>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</si>
  <si>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</si>
  <si>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</si>
  <si>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</si>
  <si>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</si>
  <si>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</si>
  <si>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</si>
  <si>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</si>
  <si>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</si>
  <si>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</si>
  <si>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</si>
  <si>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</si>
  <si>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</si>
  <si>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</si>
  <si>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</si>
  <si>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</si>
  <si>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</si>
  <si>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</si>
  <si>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</si>
  <si>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</si>
  <si>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</si>
  <si>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</si>
  <si>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</si>
  <si>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</si>
  <si>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</si>
  <si>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</si>
  <si>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</si>
  <si>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</si>
  <si>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</si>
  <si>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</si>
  <si>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</si>
  <si>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</si>
  <si>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</si>
  <si>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</si>
  <si>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</si>
  <si>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</si>
  <si>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</si>
  <si>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</si>
  <si>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</si>
  <si>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</si>
  <si>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</si>
  <si>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</si>
  <si>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</si>
  <si>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</si>
  <si>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</si>
  <si>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</si>
  <si>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</si>
  <si>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</si>
  <si>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</si>
  <si>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</si>
  <si>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</si>
  <si>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</si>
  <si>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</si>
  <si>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</si>
  <si>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</si>
  <si>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</si>
  <si>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</si>
  <si>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</si>
  <si>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</si>
  <si>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</si>
  <si>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</si>
  <si>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</si>
  <si>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</si>
  <si>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</si>
  <si>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</si>
  <si>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</si>
  <si>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</si>
  <si>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</si>
  <si>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</si>
  <si>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</si>
  <si>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</si>
  <si>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</si>
  <si>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</si>
  <si>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</si>
  <si>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</si>
  <si>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</si>
  <si>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</si>
  <si>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</si>
  <si>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</si>
  <si>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</si>
  <si>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</si>
  <si>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</si>
  <si>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</si>
  <si>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</si>
  <si>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</si>
  <si>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</si>
  <si>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</si>
  <si>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</si>
  <si>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</si>
  <si>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</si>
  <si>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</si>
  <si>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</si>
  <si>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</si>
  <si>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</si>
  <si>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</si>
  <si>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</si>
  <si>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</si>
  <si>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</si>
  <si>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</si>
  <si>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</si>
  <si>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</si>
  <si>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</si>
  <si>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</si>
  <si>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</si>
  <si>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</si>
  <si>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</si>
  <si>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</si>
  <si>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</si>
  <si>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</si>
  <si>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</si>
  <si>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</si>
  <si>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</si>
  <si>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</si>
  <si>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</si>
  <si>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</si>
  <si>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</si>
  <si>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</si>
  <si>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</si>
  <si>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</si>
  <si>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</si>
  <si>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</si>
  <si>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</si>
  <si>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</si>
  <si>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</si>
  <si>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</si>
  <si>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</si>
  <si>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</si>
  <si>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</si>
  <si>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</si>
  <si>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</si>
  <si>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</si>
  <si>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</si>
  <si>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</si>
  <si>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</si>
  <si>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</si>
  <si>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</si>
  <si>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</si>
  <si>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</si>
  <si>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</si>
  <si>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</si>
  <si>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</si>
  <si>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</si>
  <si>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</si>
  <si>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</si>
  <si>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</si>
  <si>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</si>
  <si>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</si>
  <si>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</si>
  <si>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</si>
  <si>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</si>
  <si>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</si>
  <si>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</si>
  <si>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</si>
  <si>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</si>
  <si>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</si>
  <si>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</si>
  <si>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</si>
  <si>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</si>
  <si>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</si>
  <si>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</si>
  <si>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</si>
  <si>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</si>
  <si>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</si>
  <si>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</si>
  <si>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</si>
  <si>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</si>
  <si>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</si>
  <si>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</si>
  <si>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</si>
  <si>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</si>
  <si>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</si>
  <si>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</si>
  <si>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</si>
  <si>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</si>
  <si>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</si>
  <si>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</si>
  <si>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</si>
  <si>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</si>
  <si>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</si>
  <si>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</si>
  <si>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</si>
  <si>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</si>
  <si>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</si>
  <si>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</si>
  <si>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</si>
  <si>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</si>
  <si>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</si>
  <si>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</si>
  <si>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</si>
  <si>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</si>
  <si>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</si>
  <si>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</si>
  <si>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</si>
  <si>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</si>
  <si>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</si>
  <si>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</si>
  <si>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</si>
  <si>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</si>
  <si>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</si>
  <si>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</si>
  <si>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</si>
  <si>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</si>
  <si>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</si>
  <si>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</si>
  <si>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</si>
  <si>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</si>
  <si>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</si>
  <si>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</si>
  <si>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</si>
  <si>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</si>
  <si>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</si>
  <si>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</si>
  <si>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</si>
  <si>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</si>
  <si>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</si>
  <si>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</si>
  <si>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</si>
  <si>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</si>
  <si>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</si>
  <si>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</si>
  <si>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</si>
  <si>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</si>
  <si>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</si>
  <si>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</si>
  <si>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</si>
  <si>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</si>
  <si>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</si>
  <si>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</si>
  <si>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</si>
  <si>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</si>
  <si>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</si>
  <si>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</si>
  <si>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</si>
  <si>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</si>
  <si>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</si>
  <si>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</si>
  <si>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</si>
  <si>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</si>
  <si>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</si>
  <si>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</si>
  <si>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</si>
  <si>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</si>
  <si>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</si>
  <si>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</si>
  <si>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</si>
  <si>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</si>
  <si>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</si>
  <si>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</si>
  <si>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</si>
  <si>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</si>
  <si>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</si>
  <si>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</si>
  <si>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</si>
  <si>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</si>
  <si>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</si>
  <si>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</si>
  <si>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</si>
  <si>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</si>
  <si>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</si>
  <si>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</si>
  <si>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</si>
  <si>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</si>
  <si>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</si>
  <si>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</si>
  <si>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</si>
  <si>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</si>
  <si>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</si>
  <si>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</si>
  <si>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</si>
  <si>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</si>
  <si>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</si>
  <si>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</si>
  <si>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</si>
  <si>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</si>
  <si>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</si>
  <si>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</si>
  <si>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</si>
  <si>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</si>
  <si>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</si>
  <si>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</si>
  <si>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</si>
  <si>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</si>
  <si>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</si>
  <si>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</si>
  <si>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</si>
  <si>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</si>
  <si>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</si>
  <si>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</si>
  <si>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</si>
  <si>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</si>
  <si>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</si>
  <si>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</si>
  <si>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</si>
  <si>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</si>
  <si>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</si>
  <si>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</si>
  <si>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</si>
  <si>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</si>
  <si>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</si>
  <si>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</si>
  <si>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</si>
  <si>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</si>
  <si>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</si>
  <si>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</si>
  <si>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</si>
  <si>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</si>
  <si>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</si>
  <si>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</si>
  <si>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</si>
  <si>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</si>
  <si>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</si>
  <si>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</si>
  <si>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</si>
  <si>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</si>
  <si>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</si>
  <si>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</si>
  <si>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</si>
  <si>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</si>
  <si>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</si>
  <si>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</si>
  <si>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</si>
  <si>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</si>
  <si>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</si>
  <si>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</si>
  <si>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</si>
  <si>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</si>
  <si>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</si>
  <si>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</si>
  <si>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</si>
  <si>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</si>
  <si>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</si>
  <si>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</si>
  <si>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</si>
  <si>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</si>
  <si>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</si>
  <si>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</si>
  <si>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</si>
  <si>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</si>
  <si>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</si>
  <si>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</si>
  <si>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</si>
  <si>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</si>
  <si>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</si>
  <si>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</si>
  <si>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</si>
  <si>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</si>
  <si>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</si>
  <si>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</si>
  <si>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</si>
  <si>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</si>
  <si>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</si>
  <si>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</si>
  <si>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</si>
  <si>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</si>
  <si>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</si>
  <si>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</si>
  <si>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</si>
  <si>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</si>
  <si>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</si>
  <si>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</si>
  <si>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</si>
  <si>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</si>
  <si>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</si>
  <si>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</si>
  <si>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</si>
  <si>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</si>
  <si>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</si>
  <si>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</si>
  <si>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</si>
  <si>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</si>
  <si>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</si>
  <si>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</si>
  <si>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</si>
  <si>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</si>
  <si>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</si>
  <si>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</si>
  <si>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</si>
  <si>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</si>
  <si>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</si>
  <si>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</si>
  <si>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</si>
  <si>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</si>
  <si>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</si>
  <si>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</si>
  <si>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</si>
  <si>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</si>
  <si>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</si>
  <si>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</si>
  <si>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</si>
  <si>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</si>
  <si>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</si>
  <si>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</si>
  <si>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</si>
  <si>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</si>
  <si>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</si>
  <si>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</si>
  <si>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</si>
  <si>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</si>
  <si>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</si>
  <si>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</si>
  <si>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</si>
  <si>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</si>
  <si>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</si>
  <si>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</si>
  <si>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</si>
  <si>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</si>
  <si>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</si>
  <si>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</si>
  <si>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</si>
  <si>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</si>
  <si>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</si>
  <si>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</si>
  <si>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</si>
  <si>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</si>
  <si>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</si>
  <si>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</si>
  <si>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</si>
  <si>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</si>
  <si>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</si>
  <si>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</si>
  <si>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</si>
  <si>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</si>
  <si>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</si>
  <si>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</si>
  <si>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</si>
  <si>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</si>
  <si>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</si>
  <si>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</si>
  <si>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</si>
  <si>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</si>
  <si>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</si>
  <si>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</si>
  <si>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</si>
  <si>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</si>
  <si>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</si>
  <si>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</si>
  <si>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</si>
  <si>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</si>
  <si>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</si>
  <si>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</si>
  <si>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</si>
  <si>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</si>
  <si>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</si>
  <si>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</si>
  <si>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</si>
  <si>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</si>
  <si>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</si>
  <si>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</si>
  <si>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</si>
  <si>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</si>
  <si>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</si>
  <si>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</si>
  <si>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</si>
  <si>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</si>
  <si>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</si>
  <si>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</si>
  <si>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</si>
  <si>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</si>
  <si>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</si>
  <si>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</si>
  <si>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</si>
  <si>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</si>
  <si>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</si>
  <si>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</si>
  <si>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</si>
  <si>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</si>
  <si>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</si>
  <si>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</si>
  <si>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</si>
  <si>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</si>
  <si>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</si>
  <si>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</si>
  <si>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</si>
  <si>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</si>
  <si>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</si>
  <si>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</si>
  <si>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</si>
  <si>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</si>
  <si>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</si>
  <si>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</si>
  <si>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</si>
  <si>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</si>
  <si>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</si>
  <si>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</si>
  <si>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</si>
  <si>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</si>
  <si>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</si>
  <si>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</si>
  <si>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</si>
  <si>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</si>
  <si>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</si>
  <si>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</si>
  <si>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</si>
  <si>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</si>
  <si>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</si>
  <si>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</si>
  <si>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</si>
  <si>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</si>
  <si>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</si>
  <si>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</si>
  <si>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</si>
  <si>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</si>
  <si>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</si>
  <si>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</si>
  <si>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</si>
  <si>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</si>
  <si>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</si>
  <si>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</si>
  <si>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</si>
  <si>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</si>
  <si>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</si>
  <si>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</si>
  <si>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</si>
  <si>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</si>
  <si>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</si>
  <si>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</si>
  <si>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</si>
  <si>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</si>
  <si>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</si>
  <si>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</si>
  <si>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</si>
  <si>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</si>
  <si>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</si>
  <si>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</si>
  <si>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</si>
  <si>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</si>
  <si>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</si>
  <si>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</si>
  <si>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</si>
  <si>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</si>
  <si>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</si>
  <si>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</si>
  <si>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</si>
  <si>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</si>
  <si>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</si>
  <si>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</si>
  <si>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</si>
  <si>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</si>
  <si>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</si>
  <si>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</si>
  <si>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</si>
  <si>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</si>
  <si>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</si>
  <si>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</si>
  <si>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</si>
  <si>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</si>
  <si>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</si>
  <si>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</si>
  <si>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</si>
  <si>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</si>
  <si>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</si>
  <si>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</si>
  <si>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</si>
  <si>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</si>
  <si>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</si>
  <si>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</si>
  <si>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</si>
  <si>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</si>
  <si>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</si>
  <si>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</si>
  <si>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</si>
  <si>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</si>
  <si>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</si>
  <si>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</si>
  <si>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</si>
  <si>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</si>
  <si>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</si>
  <si>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</si>
  <si>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</si>
  <si>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</si>
  <si>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</si>
  <si>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</si>
  <si>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</si>
  <si>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</si>
  <si>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</si>
  <si>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</si>
  <si>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</si>
  <si>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</si>
  <si>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</si>
  <si>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</si>
  <si>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</si>
  <si>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</si>
  <si>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</si>
  <si>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</si>
  <si>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</si>
  <si>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</si>
  <si>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</si>
  <si>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</si>
  <si>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</si>
  <si>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</si>
  <si>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</si>
  <si>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</si>
  <si>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</si>
  <si>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</si>
  <si>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</si>
  <si>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</si>
  <si>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</si>
  <si>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</si>
  <si>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</si>
  <si>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</si>
  <si>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</si>
  <si>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</si>
  <si>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</si>
  <si>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</si>
  <si>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</si>
  <si>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</si>
  <si>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</si>
  <si>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</si>
  <si>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</si>
  <si>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</si>
  <si>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</si>
  <si>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</si>
  <si>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</si>
  <si>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</si>
  <si>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</si>
  <si>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</si>
  <si>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</si>
  <si>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</si>
  <si>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</si>
  <si>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</si>
  <si>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</si>
  <si>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</si>
  <si>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</si>
  <si>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</si>
  <si>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</si>
  <si>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</si>
  <si>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</si>
  <si>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</si>
  <si>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</si>
  <si>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</si>
  <si>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</si>
  <si>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</si>
  <si>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</si>
  <si>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</si>
  <si>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</si>
  <si>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</si>
  <si>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</si>
  <si>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</si>
  <si>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</si>
  <si>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</si>
  <si>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</si>
  <si>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</si>
  <si>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</si>
  <si>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</si>
  <si>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</si>
  <si>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</si>
  <si>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</si>
  <si>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</si>
  <si>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</si>
  <si>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</si>
  <si>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</si>
  <si>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</si>
  <si>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</si>
  <si>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</si>
  <si>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</si>
  <si>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</si>
  <si>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</si>
  <si>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</si>
  <si>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</si>
  <si>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</si>
  <si>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</si>
  <si>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</si>
  <si>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</si>
  <si>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</si>
  <si>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</si>
  <si>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</si>
  <si>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</si>
  <si>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</si>
  <si>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</si>
  <si>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</si>
  <si>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</si>
  <si>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</si>
  <si>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</si>
  <si>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</si>
  <si>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</si>
  <si>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</si>
  <si>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</si>
  <si>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</si>
  <si>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</si>
  <si>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</si>
  <si>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</si>
  <si>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</si>
  <si>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</si>
  <si>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</si>
  <si>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</si>
  <si>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</si>
  <si>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</si>
  <si>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</si>
  <si>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</si>
  <si>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</si>
  <si>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</si>
  <si>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</si>
  <si>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</si>
  <si>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</si>
  <si>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</si>
  <si>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</si>
  <si>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</si>
  <si>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</si>
  <si>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</si>
  <si>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</si>
  <si>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</si>
  <si>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</si>
  <si>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</si>
  <si>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</si>
  <si>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</si>
  <si>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</si>
  <si>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</si>
  <si>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</si>
  <si>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</si>
  <si>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</si>
  <si>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</si>
  <si>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</si>
  <si>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</si>
  <si>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</si>
  <si>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</si>
  <si>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</si>
  <si>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</si>
  <si>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</si>
  <si>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</si>
  <si>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</si>
  <si>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</si>
  <si>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</si>
  <si>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</si>
  <si>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</si>
  <si>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</si>
  <si>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</si>
  <si>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</si>
  <si>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</si>
  <si>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</si>
  <si>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</si>
  <si>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</si>
  <si>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</si>
  <si>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</si>
  <si>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</si>
  <si>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</si>
  <si>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</si>
  <si>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</si>
  <si>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</si>
  <si>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</si>
  <si>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</si>
  <si>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</si>
  <si>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</si>
  <si>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</si>
  <si>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</si>
  <si>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</si>
  <si>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</si>
  <si>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</si>
  <si>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</si>
  <si>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</si>
  <si>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</si>
  <si>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</si>
  <si>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</si>
  <si>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</si>
  <si>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</si>
  <si>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</si>
  <si>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</si>
  <si>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</si>
  <si>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</si>
  <si>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</si>
  <si>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</si>
  <si>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</si>
  <si>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</si>
  <si>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</si>
  <si>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</si>
  <si>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</si>
  <si>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</si>
  <si>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</si>
  <si>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</si>
  <si>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</si>
  <si>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</si>
  <si>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</si>
  <si>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</si>
  <si>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</si>
  <si>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</si>
  <si>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</si>
  <si>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</si>
  <si>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</si>
  <si>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</si>
  <si>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</si>
  <si>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</si>
  <si>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</si>
  <si>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</si>
  <si>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</si>
  <si>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</si>
  <si>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</si>
  <si>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</si>
  <si>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</si>
  <si>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</si>
  <si>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</si>
  <si>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</si>
  <si>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</si>
  <si>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</si>
  <si>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</si>
  <si>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</si>
  <si>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</si>
  <si>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</si>
  <si>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</si>
  <si>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</si>
  <si>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</si>
  <si>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</si>
  <si>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</si>
  <si>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</si>
  <si>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</si>
  <si>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</si>
  <si>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</si>
  <si>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</si>
  <si>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</si>
  <si>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</si>
  <si>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</si>
  <si>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</si>
  <si>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</si>
  <si>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</si>
  <si>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</si>
  <si>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</si>
  <si>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</si>
  <si>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</si>
  <si>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</si>
  <si>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</si>
  <si>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</si>
  <si>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</si>
  <si>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</si>
  <si>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</si>
  <si>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</si>
  <si>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</si>
  <si>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</si>
  <si>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</si>
  <si>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</si>
  <si>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</si>
  <si>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</si>
  <si>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</si>
  <si>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</si>
  <si>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</si>
  <si>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</si>
  <si>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</si>
  <si>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</si>
  <si>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</si>
  <si>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</si>
  <si>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</si>
  <si>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</si>
  <si>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</si>
  <si>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</si>
  <si>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</si>
  <si>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</si>
  <si>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</si>
  <si>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</si>
  <si>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</si>
  <si>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</si>
  <si>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</si>
  <si>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</si>
  <si>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</si>
  <si>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</si>
  <si>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</si>
  <si>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</si>
  <si>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</si>
  <si>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</si>
  <si>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</si>
  <si>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</si>
  <si>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</si>
  <si>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</si>
  <si>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</si>
  <si>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</si>
  <si>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</si>
  <si>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</si>
  <si>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</si>
  <si>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</si>
  <si>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</si>
  <si>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</si>
  <si>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</si>
  <si>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</si>
  <si>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</si>
  <si>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</si>
  <si>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</si>
  <si>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</si>
  <si>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</si>
  <si>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</si>
  <si>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</si>
  <si>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</si>
  <si>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</si>
  <si>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</si>
  <si>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</si>
  <si>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</si>
  <si>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</si>
  <si>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</si>
  <si>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</si>
  <si>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</si>
  <si>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</si>
  <si>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</si>
  <si>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</si>
  <si>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</si>
  <si>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</si>
  <si>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</si>
  <si>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</si>
  <si>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</si>
  <si>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</si>
  <si>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</si>
  <si>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</si>
  <si>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</si>
  <si>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</si>
  <si>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</si>
  <si>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</si>
  <si>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</si>
  <si>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</si>
  <si>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</si>
  <si>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</si>
  <si>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</si>
  <si>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</si>
  <si>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</si>
  <si>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</si>
  <si>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</si>
  <si>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</si>
  <si>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</si>
  <si>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</si>
  <si>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</si>
  <si>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</si>
  <si>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</si>
  <si>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</si>
  <si>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</si>
  <si>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</si>
  <si>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</si>
  <si>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</si>
  <si>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</si>
  <si>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</si>
  <si>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</si>
  <si>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</si>
  <si>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</si>
  <si>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</si>
  <si>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</si>
  <si>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</si>
  <si>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</si>
  <si>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</si>
  <si>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</si>
  <si>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</si>
  <si>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</si>
  <si>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</si>
  <si>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</si>
  <si>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</si>
  <si>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</si>
  <si>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</si>
  <si>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</si>
  <si>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</si>
  <si>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</si>
  <si>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</si>
  <si>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</si>
  <si>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</si>
  <si>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</si>
  <si>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</si>
  <si>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</si>
  <si>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</si>
  <si>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</si>
  <si>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</si>
  <si>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</si>
  <si>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</si>
  <si>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</si>
  <si>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</si>
  <si>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</si>
  <si>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</si>
  <si>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</si>
  <si>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</si>
  <si>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</si>
  <si>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</si>
  <si>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</si>
  <si>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</si>
  <si>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</si>
  <si>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</si>
  <si>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</si>
  <si>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</si>
  <si>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</si>
  <si>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</si>
  <si>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</si>
  <si>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</si>
  <si>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</si>
  <si>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</si>
  <si>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</si>
  <si>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</si>
  <si>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</si>
  <si>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</si>
  <si>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</si>
  <si>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</si>
  <si>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</si>
  <si>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</si>
  <si>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</si>
  <si>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</si>
  <si>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</si>
  <si>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</si>
  <si>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</si>
  <si>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</si>
  <si>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</si>
  <si>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</si>
  <si>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</si>
  <si>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</si>
  <si>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</si>
  <si>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</si>
  <si>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</si>
  <si>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</si>
  <si>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</si>
  <si>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</si>
  <si>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</si>
  <si>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</si>
  <si>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</si>
  <si>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</si>
  <si>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</si>
  <si>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</si>
  <si>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</si>
  <si>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</si>
  <si>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</si>
  <si>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</si>
  <si>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</si>
  <si>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</si>
  <si>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</si>
  <si>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</si>
  <si>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</si>
  <si>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</si>
  <si>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</si>
  <si>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</si>
  <si>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</si>
  <si>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</si>
  <si>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</si>
  <si>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</si>
  <si>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</si>
  <si>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</si>
  <si>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</si>
  <si>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</si>
  <si>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</si>
  <si>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</si>
  <si>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</si>
  <si>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</si>
  <si>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</si>
  <si>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</si>
  <si>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</si>
  <si>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</si>
  <si>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</si>
  <si>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</si>
  <si>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</si>
  <si>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</si>
  <si>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</si>
  <si>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</si>
  <si>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</si>
  <si>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</si>
  <si>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</si>
  <si>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</si>
  <si>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</si>
  <si>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</si>
  <si>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</si>
  <si>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</si>
  <si>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</si>
  <si>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</si>
  <si>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</si>
  <si>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</si>
  <si>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</si>
  <si>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</si>
  <si>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</si>
  <si>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</si>
  <si>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</si>
  <si>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</si>
  <si>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</si>
  <si>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</si>
  <si>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</si>
  <si>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</si>
  <si>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</si>
  <si>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</si>
  <si>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</si>
  <si>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</si>
  <si>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</si>
  <si>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</si>
  <si>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</si>
  <si>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</si>
  <si>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</si>
  <si>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</si>
  <si>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</si>
  <si>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</si>
  <si>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</si>
  <si>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</si>
  <si>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</si>
  <si>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</si>
  <si>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</si>
  <si>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</si>
  <si>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</si>
  <si>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</si>
  <si>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</si>
  <si>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</si>
  <si>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</si>
  <si>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</si>
  <si>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</si>
  <si>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</si>
  <si>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</si>
  <si>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</si>
  <si>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</si>
  <si>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</si>
  <si>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</si>
  <si>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</si>
  <si>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</si>
  <si>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</si>
  <si>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</si>
  <si>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</si>
  <si>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</si>
  <si>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</si>
  <si>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</si>
  <si>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</si>
  <si>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</si>
  <si>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</si>
  <si>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</si>
  <si>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</si>
  <si>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</si>
  <si>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</si>
  <si>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</si>
  <si>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</si>
  <si>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</si>
  <si>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</si>
  <si>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</si>
  <si>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</si>
  <si>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</si>
  <si>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</si>
  <si>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</si>
  <si>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</si>
  <si>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</si>
  <si>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</si>
  <si>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</si>
  <si>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</si>
  <si>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</si>
  <si>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</si>
  <si>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</si>
  <si>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</si>
  <si>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</si>
  <si>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</si>
  <si>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</si>
  <si>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</si>
  <si>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</si>
  <si>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</si>
  <si>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</si>
  <si>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</si>
  <si>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</si>
  <si>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</si>
  <si>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</si>
  <si>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</si>
  <si>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</si>
  <si>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</si>
  <si>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</si>
  <si>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</si>
  <si>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</si>
  <si>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</si>
  <si>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</si>
  <si>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</si>
  <si>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</si>
  <si>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</si>
  <si>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</si>
  <si>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</si>
  <si>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</si>
  <si>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</si>
  <si>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</si>
  <si>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</si>
  <si>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</si>
  <si>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</si>
  <si>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</si>
  <si>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</si>
  <si>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</si>
  <si>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</si>
  <si>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</si>
  <si>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</si>
  <si>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</si>
  <si>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</si>
  <si>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</si>
  <si>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</si>
  <si>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</si>
  <si>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</si>
  <si>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</si>
  <si>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</si>
  <si>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</si>
  <si>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</si>
  <si>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</si>
  <si>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</si>
  <si>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</si>
  <si>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</si>
  <si>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</si>
  <si>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</si>
  <si>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</si>
  <si>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</si>
  <si>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</si>
  <si>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</si>
  <si>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</si>
  <si>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</si>
  <si>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</si>
  <si>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</si>
  <si>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</si>
  <si>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</si>
  <si>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</si>
  <si>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</si>
  <si>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</si>
  <si>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</si>
  <si>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</si>
  <si>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</si>
  <si>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</si>
  <si>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</si>
  <si>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</si>
  <si>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</si>
  <si>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</si>
  <si>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</si>
  <si>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</si>
  <si>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</si>
  <si>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</si>
  <si>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</si>
  <si>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</si>
  <si>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</si>
  <si>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</si>
  <si>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</si>
  <si>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</si>
  <si>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</si>
  <si>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</si>
  <si>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</si>
  <si>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</si>
  <si>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</si>
  <si>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</si>
  <si>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</si>
  <si>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</si>
  <si>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</si>
  <si>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</si>
  <si>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</si>
  <si>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</si>
  <si>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</si>
  <si>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</si>
  <si>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</si>
  <si>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</si>
  <si>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</si>
  <si>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</si>
  <si>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</si>
  <si>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</si>
  <si>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</si>
  <si>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</si>
  <si>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</si>
  <si>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</si>
  <si>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</si>
  <si>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</si>
  <si>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</si>
  <si>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</si>
  <si>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</si>
  <si>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</si>
  <si>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</si>
  <si>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</si>
  <si>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</si>
  <si>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</si>
  <si>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</si>
  <si>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</si>
  <si>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</si>
  <si>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</si>
  <si>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</si>
  <si>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</si>
  <si>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</si>
  <si>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</si>
  <si>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</si>
  <si>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</si>
  <si>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</si>
  <si>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</si>
  <si>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</si>
  <si>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</si>
  <si>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</si>
  <si>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</si>
  <si>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</si>
  <si>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</si>
  <si>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</si>
  <si>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</si>
  <si>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</si>
  <si>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</si>
  <si>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</si>
  <si>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</si>
  <si>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</si>
  <si>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</si>
  <si>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</si>
  <si>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</si>
  <si>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</si>
  <si>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</si>
  <si>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</si>
  <si>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</si>
  <si>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</si>
  <si>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</si>
  <si>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</si>
  <si>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</si>
  <si>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</si>
  <si>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</si>
  <si>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</si>
  <si>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</si>
  <si>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</si>
  <si>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</si>
  <si>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</si>
  <si>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</si>
  <si>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</si>
  <si>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</si>
  <si>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</si>
  <si>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</si>
  <si>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</si>
  <si>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</si>
  <si>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</si>
  <si>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</si>
  <si>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</si>
  <si>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</si>
  <si>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</si>
  <si>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</si>
  <si>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</si>
  <si>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</si>
  <si>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</si>
  <si>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</si>
  <si>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</si>
  <si>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</si>
  <si>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</si>
  <si>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</si>
  <si>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</si>
  <si>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</si>
  <si>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</si>
  <si>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</si>
  <si>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</si>
  <si>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</si>
  <si>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</si>
  <si>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</si>
  <si>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</si>
  <si>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</si>
  <si>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</si>
  <si>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</si>
  <si>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</si>
  <si>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</si>
  <si>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</si>
  <si>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</si>
  <si>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</si>
  <si>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</si>
  <si>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</si>
  <si>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</si>
  <si>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</si>
  <si>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</si>
  <si>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</si>
  <si>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</si>
  <si>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</si>
  <si>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</si>
  <si>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</si>
  <si>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</si>
  <si>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</si>
  <si>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</si>
  <si>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</si>
  <si>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</si>
  <si>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</si>
  <si>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</si>
  <si>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</si>
  <si>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</si>
  <si>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</si>
  <si>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</si>
  <si>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</si>
  <si>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</si>
  <si>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</si>
  <si>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</si>
  <si>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</si>
  <si>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</si>
  <si>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</si>
  <si>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</si>
  <si>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</si>
  <si>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</si>
  <si>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</si>
  <si>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</si>
  <si>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</si>
  <si>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</si>
  <si>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</si>
  <si>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</si>
  <si>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</si>
  <si>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</si>
  <si>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</si>
  <si>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</si>
  <si>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</si>
  <si>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</si>
  <si>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</si>
  <si>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</si>
  <si>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</si>
  <si>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</si>
  <si>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</si>
  <si>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</si>
  <si>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</si>
  <si>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</si>
  <si>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</si>
  <si>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</si>
  <si>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</si>
  <si>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</si>
  <si>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</si>
  <si>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</si>
  <si>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</si>
  <si>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</si>
  <si>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</si>
  <si>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</si>
  <si>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</si>
  <si>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</si>
  <si>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</si>
  <si>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</si>
  <si>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</si>
  <si>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</si>
  <si>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</si>
  <si>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</si>
  <si>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</si>
  <si>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</si>
  <si>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</si>
  <si>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</si>
  <si>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</si>
  <si>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</si>
  <si>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</si>
  <si>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</si>
  <si>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</si>
  <si>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</si>
  <si>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</si>
  <si>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</si>
  <si>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</si>
  <si>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</si>
  <si>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</si>
  <si>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</si>
  <si>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</si>
  <si>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</si>
  <si>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</si>
  <si>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</si>
  <si>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</si>
  <si>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</si>
  <si>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</si>
  <si>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</si>
  <si>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</si>
  <si>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</si>
  <si>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</si>
  <si>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</si>
  <si>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</si>
  <si>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</si>
  <si>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</si>
  <si>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</si>
  <si>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</si>
  <si>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</si>
  <si>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</si>
  <si>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</si>
  <si>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</si>
  <si>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</si>
  <si>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</si>
  <si>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</si>
  <si>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</si>
  <si>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</si>
  <si>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</si>
  <si>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</si>
  <si>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</si>
  <si>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</si>
  <si>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</si>
  <si>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</si>
  <si>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</si>
  <si>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</si>
  <si>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</si>
  <si>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</si>
  <si>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</si>
  <si>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</si>
  <si>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</si>
  <si>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</si>
  <si>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</si>
  <si>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</si>
  <si>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</si>
  <si>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</si>
  <si>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</si>
  <si>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</si>
  <si>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</si>
  <si>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</si>
  <si>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</si>
  <si>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</si>
  <si>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</si>
  <si>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</si>
  <si>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</si>
  <si>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</si>
  <si>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</si>
  <si>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</si>
  <si>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</si>
  <si>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</si>
  <si>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</si>
  <si>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</si>
  <si>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</si>
  <si>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</si>
  <si>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</si>
  <si>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</si>
  <si>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</si>
  <si>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</si>
  <si>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</si>
  <si>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</si>
  <si>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</si>
  <si>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</si>
  <si>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</si>
  <si>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</si>
  <si>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</si>
  <si>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</si>
  <si>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</si>
  <si>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</si>
  <si>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</si>
  <si>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</si>
  <si>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</si>
  <si>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</si>
  <si>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</si>
  <si>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</si>
  <si>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</si>
  <si>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</si>
  <si>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</si>
  <si>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</si>
  <si>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</si>
  <si>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</si>
  <si>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</si>
  <si>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</si>
  <si>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</si>
  <si>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</si>
  <si>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</si>
  <si>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</si>
  <si>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</si>
  <si>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</si>
  <si>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</si>
  <si>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</si>
  <si>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</si>
  <si>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</si>
  <si>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</si>
  <si>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</si>
  <si>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</si>
  <si>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</si>
  <si>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</si>
  <si>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</si>
  <si>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</si>
  <si>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</si>
  <si>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</si>
  <si>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</si>
  <si>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</si>
  <si>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</si>
  <si>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</si>
  <si>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</si>
  <si>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</si>
  <si>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</si>
  <si>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</si>
  <si>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</si>
  <si>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</si>
  <si>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</si>
  <si>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</si>
  <si>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</si>
  <si>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</si>
  <si>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</si>
  <si>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</si>
  <si>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</si>
  <si>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</si>
  <si>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</si>
  <si>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</si>
  <si>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</si>
  <si>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</si>
  <si>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</si>
  <si>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</si>
  <si>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</si>
  <si>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</si>
  <si>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</si>
  <si>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</si>
  <si>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</si>
  <si>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</si>
  <si>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</si>
  <si>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</si>
  <si>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</si>
  <si>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</si>
  <si>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</si>
  <si>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</si>
  <si>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</si>
  <si>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</si>
  <si>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</si>
  <si>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</si>
  <si>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</si>
  <si>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</si>
  <si>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</si>
  <si>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</si>
  <si>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</si>
  <si>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</si>
  <si>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</si>
  <si>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</si>
  <si>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</si>
  <si>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</si>
  <si>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</si>
  <si>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</si>
  <si>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</si>
  <si>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</si>
  <si>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</si>
  <si>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</si>
  <si>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</si>
  <si>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</si>
  <si>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</si>
  <si>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</si>
  <si>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</si>
  <si>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</si>
  <si>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</si>
  <si>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</si>
  <si>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</si>
  <si>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</si>
  <si>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</si>
  <si>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</si>
  <si>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</si>
  <si>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</si>
  <si>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</si>
  <si>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</si>
  <si>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</si>
  <si>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</si>
  <si>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</si>
  <si>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</si>
  <si>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</si>
  <si>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</si>
  <si>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</si>
  <si>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</si>
  <si>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</si>
  <si>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</si>
  <si>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</si>
  <si>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</si>
  <si>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</si>
  <si>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</si>
  <si>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</si>
  <si>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</si>
  <si>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</si>
  <si>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</si>
  <si>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</si>
  <si>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</si>
  <si>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</si>
  <si>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</si>
  <si>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</si>
  <si>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</si>
  <si>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</si>
  <si>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</si>
  <si>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</si>
  <si>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</si>
  <si>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</si>
  <si>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</si>
  <si>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</si>
  <si>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</si>
  <si>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</si>
  <si>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</si>
  <si>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</si>
  <si>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</si>
  <si>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</si>
  <si>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</si>
  <si>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</si>
  <si>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</si>
  <si>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</si>
  <si>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</si>
  <si>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</si>
  <si>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</si>
  <si>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</si>
  <si>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</si>
  <si>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</si>
  <si>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</si>
  <si>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</si>
  <si>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</si>
  <si>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</si>
  <si>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</si>
  <si>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</si>
  <si>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</si>
  <si>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</si>
  <si>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</si>
  <si>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</si>
  <si>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</si>
  <si>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</si>
  <si>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</si>
  <si>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</si>
  <si>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</si>
  <si>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</si>
  <si>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</si>
  <si>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</si>
  <si>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</si>
  <si>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</si>
  <si>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</si>
  <si>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</si>
  <si>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</si>
  <si>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</si>
  <si>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</si>
  <si>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</si>
  <si>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</si>
  <si>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</si>
  <si>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</si>
  <si>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</si>
  <si>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</si>
  <si>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</si>
  <si>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</si>
  <si>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</si>
  <si>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</si>
  <si>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</si>
  <si>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</si>
  <si>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</si>
  <si>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</si>
  <si>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</si>
  <si>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</si>
  <si>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</si>
  <si>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</si>
  <si>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</si>
  <si>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</si>
  <si>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</si>
  <si>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</si>
  <si>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</si>
  <si>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</si>
  <si>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</si>
  <si>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</si>
  <si>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</si>
  <si>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</si>
  <si>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</si>
  <si>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</si>
  <si>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</si>
  <si>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</si>
  <si>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</si>
  <si>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</si>
  <si>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</si>
  <si>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</si>
  <si>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</si>
  <si>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</si>
  <si>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</si>
  <si>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</si>
  <si>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</si>
  <si>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</si>
  <si>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</si>
  <si>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</si>
  <si>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</si>
  <si>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</si>
  <si>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</si>
  <si>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</si>
  <si>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</si>
  <si>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</si>
  <si>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</si>
  <si>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</si>
  <si>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</si>
  <si>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</si>
  <si>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</si>
  <si>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</si>
  <si>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</si>
  <si>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</si>
  <si>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</si>
  <si>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</si>
  <si>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</si>
  <si>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</si>
  <si>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</si>
  <si>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</si>
  <si>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</si>
  <si>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</si>
  <si>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</si>
  <si>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</si>
  <si>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</si>
  <si>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</si>
  <si>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</si>
  <si>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</si>
  <si>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</si>
  <si>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</si>
  <si>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</si>
  <si>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</si>
  <si>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</si>
  <si>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</si>
  <si>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</si>
  <si>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</si>
  <si>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</si>
  <si>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</si>
  <si>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</si>
  <si>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</si>
  <si>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</si>
  <si>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</si>
  <si>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</si>
  <si>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</si>
  <si>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</si>
  <si>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</si>
  <si>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</si>
  <si>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</si>
  <si>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</si>
  <si>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</si>
  <si>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</si>
  <si>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</si>
  <si>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</si>
  <si>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</si>
  <si>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</si>
  <si>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</si>
  <si>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</si>
  <si>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</si>
  <si>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</si>
  <si>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</si>
  <si>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</si>
  <si>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</si>
  <si>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</si>
  <si>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</si>
  <si>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</si>
  <si>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</si>
  <si>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</si>
  <si>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</si>
  <si>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</si>
  <si>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</si>
  <si>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</si>
  <si>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</si>
  <si>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</si>
  <si>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</si>
  <si>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</si>
  <si>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</si>
  <si>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</si>
  <si>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</si>
  <si>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</si>
  <si>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</si>
  <si>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</si>
  <si>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</si>
  <si>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</si>
  <si>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</si>
  <si>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</si>
  <si>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</si>
  <si>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</si>
  <si>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</si>
  <si>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</si>
  <si>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</si>
  <si>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</si>
  <si>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</si>
  <si>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</si>
  <si>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</si>
  <si>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</si>
  <si>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</si>
  <si>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</si>
  <si>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</si>
  <si>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</si>
  <si>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</si>
  <si>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</si>
  <si>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</si>
  <si>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</si>
  <si>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</si>
  <si>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</si>
  <si>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</si>
  <si>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</si>
  <si>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</si>
  <si>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</si>
  <si>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</si>
  <si>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</si>
  <si>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</si>
  <si>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</si>
  <si>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</si>
  <si>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</si>
  <si>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</si>
  <si>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</si>
  <si>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</si>
  <si>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</si>
  <si>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</si>
  <si>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</si>
  <si>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</si>
  <si>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</si>
  <si>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</si>
  <si>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</si>
  <si>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</si>
  <si>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</si>
  <si>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</si>
  <si>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</si>
  <si>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</si>
  <si>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</si>
  <si>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</si>
  <si>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</si>
  <si>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</si>
  <si>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</si>
  <si>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</si>
  <si>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</si>
  <si>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</si>
  <si>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</si>
  <si>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</si>
  <si>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</si>
  <si>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</si>
  <si>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</si>
  <si>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</si>
  <si>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</si>
  <si>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</si>
  <si>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</si>
  <si>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</si>
  <si>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</si>
  <si>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</si>
  <si>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</si>
  <si>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</si>
  <si>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</si>
  <si>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</si>
  <si>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</si>
  <si>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</si>
  <si>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</si>
  <si>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</si>
  <si>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</si>
  <si>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</si>
  <si>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</si>
  <si>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</si>
  <si>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</si>
  <si>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</si>
  <si>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</si>
  <si>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</si>
  <si>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</si>
  <si>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</si>
  <si>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</si>
  <si>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</si>
  <si>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</si>
  <si>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</si>
  <si>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</si>
  <si>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</si>
  <si>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</si>
  <si>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</si>
  <si>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</si>
  <si>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</si>
  <si>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</si>
  <si>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</si>
  <si>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</si>
  <si>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</si>
  <si>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</si>
  <si>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</si>
  <si>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</si>
  <si>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</si>
  <si>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</si>
  <si>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</si>
  <si>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</si>
  <si>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</si>
  <si>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</si>
  <si>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</si>
  <si>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</si>
  <si>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</si>
  <si>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</si>
  <si>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</si>
  <si>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</si>
  <si>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</si>
  <si>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</si>
  <si>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</si>
  <si>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</si>
  <si>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</si>
  <si>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</si>
  <si>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</si>
  <si>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</si>
  <si>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</si>
  <si>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</si>
  <si>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</si>
  <si>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</si>
  <si>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</si>
  <si>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</si>
  <si>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</si>
  <si>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</si>
  <si>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</si>
  <si>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</si>
  <si>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</si>
  <si>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</si>
  <si>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</si>
  <si>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</si>
  <si>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</si>
  <si>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</si>
  <si>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</si>
  <si>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</si>
  <si>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</si>
  <si>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</si>
  <si>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</si>
  <si>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</si>
  <si>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</si>
  <si>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</si>
  <si>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</si>
  <si>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</si>
  <si>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</si>
  <si>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</si>
  <si>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</si>
  <si>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</si>
  <si>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</si>
  <si>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</si>
  <si>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</si>
  <si>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</si>
  <si>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</si>
  <si>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</si>
  <si>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</si>
  <si>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</si>
  <si>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</si>
  <si>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</si>
  <si>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</si>
  <si>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</si>
  <si>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</si>
  <si>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</si>
  <si>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</si>
  <si>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</si>
  <si>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</si>
  <si>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</si>
  <si>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</si>
  <si>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</si>
  <si>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</si>
  <si>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</si>
  <si>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</si>
  <si>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</si>
  <si>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</si>
  <si>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</si>
  <si>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</si>
  <si>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</si>
  <si>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</si>
  <si>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</si>
  <si>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</si>
  <si>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</si>
  <si>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</si>
  <si>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</si>
  <si>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</si>
  <si>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</si>
  <si>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</si>
  <si>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</si>
  <si>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</si>
  <si>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</si>
  <si>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</si>
  <si>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</si>
  <si>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</si>
  <si>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</si>
  <si>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</si>
  <si>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</si>
  <si>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</si>
  <si>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</si>
  <si>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</si>
  <si>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</si>
  <si>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</si>
  <si>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</si>
  <si>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</si>
  <si>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</si>
  <si>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</si>
  <si>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</si>
  <si>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</si>
  <si>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</si>
  <si>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</si>
  <si>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</si>
  <si>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</si>
  <si>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</si>
  <si>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</si>
  <si>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</si>
  <si>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</si>
  <si>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</si>
  <si>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</si>
  <si>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</si>
  <si>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</si>
  <si>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</si>
  <si>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</si>
  <si>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</si>
  <si>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</si>
  <si>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</si>
  <si>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</si>
  <si>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</si>
  <si>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</si>
  <si>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</si>
  <si>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</si>
  <si>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</si>
  <si>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</si>
  <si>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</si>
  <si>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</si>
  <si>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</si>
  <si>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</si>
  <si>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</si>
  <si>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</si>
  <si>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</si>
  <si>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</si>
  <si>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</si>
  <si>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</si>
  <si>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</si>
  <si>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</si>
  <si>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</si>
  <si>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</si>
  <si>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</si>
  <si>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</si>
  <si>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</si>
  <si>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</si>
  <si>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</si>
  <si>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</si>
  <si>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</si>
  <si>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</si>
  <si>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</si>
  <si>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</si>
  <si>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</si>
  <si>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</si>
  <si>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</si>
  <si>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</si>
  <si>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</si>
  <si>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</si>
  <si>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</si>
  <si>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</si>
  <si>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</si>
  <si>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</si>
  <si>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</si>
  <si>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</si>
  <si>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</si>
  <si>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</si>
  <si>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</si>
  <si>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</si>
  <si>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</si>
  <si>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</si>
  <si>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</si>
  <si>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</si>
  <si>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</si>
  <si>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</si>
  <si>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</si>
  <si>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</si>
  <si>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</si>
  <si>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</si>
  <si>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</si>
  <si>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</si>
  <si>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</si>
  <si>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</si>
  <si>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</si>
  <si>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</si>
  <si>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</si>
  <si>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</si>
  <si>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</si>
  <si>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</si>
  <si>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</si>
  <si>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</si>
  <si>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</si>
  <si>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</si>
  <si>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</si>
  <si>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</si>
  <si>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</si>
  <si>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</si>
  <si>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</si>
  <si>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</si>
  <si>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</si>
  <si>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</si>
  <si>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</si>
  <si>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</si>
  <si>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</si>
  <si>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</si>
  <si>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</si>
  <si>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</si>
  <si>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</si>
  <si>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</si>
  <si>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</si>
  <si>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</si>
  <si>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</si>
  <si>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</si>
  <si>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</si>
  <si>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</si>
  <si>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</si>
  <si>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</si>
  <si>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</si>
  <si>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</si>
  <si>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</si>
  <si>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</si>
  <si>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</si>
  <si>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</si>
  <si>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</si>
  <si>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</si>
  <si>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</si>
  <si>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</si>
  <si>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</si>
  <si>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</si>
  <si>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</si>
  <si>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</si>
  <si>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</si>
  <si>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</si>
  <si>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</si>
  <si>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</si>
  <si>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</si>
  <si>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</si>
  <si>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</si>
  <si>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</si>
  <si>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</si>
  <si>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</si>
  <si>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</si>
  <si>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</si>
  <si>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</si>
  <si>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</si>
  <si>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</si>
  <si>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</si>
  <si>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</si>
  <si>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</si>
  <si>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</si>
  <si>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</si>
  <si>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</si>
  <si>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</si>
  <si>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</si>
  <si>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</si>
  <si>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</si>
  <si>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</si>
  <si>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</si>
  <si>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</si>
  <si>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</si>
  <si>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</si>
  <si>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</si>
  <si>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</si>
  <si>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</si>
  <si>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</si>
  <si>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</si>
  <si>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</si>
  <si>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</si>
  <si>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</si>
  <si>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</si>
  <si>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</si>
  <si>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</si>
  <si>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</si>
  <si>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</si>
  <si>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</si>
  <si>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</si>
  <si>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</si>
  <si>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</si>
  <si>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</si>
  <si>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</si>
  <si>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</si>
  <si>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</si>
  <si>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</si>
  <si>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</si>
  <si>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</si>
  <si>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</si>
  <si>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</si>
  <si>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</si>
  <si>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</si>
  <si>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</si>
  <si>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</si>
  <si>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</si>
  <si>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</si>
  <si>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</si>
  <si>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</si>
  <si>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</si>
  <si>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</si>
  <si>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</si>
  <si>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</si>
  <si>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</si>
  <si>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</si>
  <si>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</si>
  <si>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</si>
  <si>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</si>
  <si>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</si>
  <si>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</si>
  <si>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</si>
  <si>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</si>
  <si>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</si>
  <si>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</si>
  <si>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</si>
  <si>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</si>
  <si>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</si>
  <si>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</si>
  <si>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</si>
  <si>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</si>
  <si>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</si>
  <si>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</si>
  <si>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</si>
  <si>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</si>
  <si>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</si>
  <si>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</si>
  <si>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</si>
  <si>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</si>
  <si>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</si>
  <si>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</si>
  <si>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</si>
  <si>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</si>
  <si>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</si>
  <si>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</si>
  <si>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</si>
  <si>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</si>
  <si>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</si>
  <si>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</si>
  <si>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</si>
  <si>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</si>
  <si>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</si>
  <si>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</si>
  <si>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</si>
  <si>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</si>
  <si>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</si>
  <si>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</si>
  <si>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</si>
  <si>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</si>
  <si>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</si>
  <si>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</si>
  <si>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</si>
  <si>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</si>
  <si>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</si>
  <si>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</si>
  <si>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</si>
  <si>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</si>
  <si>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</si>
  <si>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</si>
  <si>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</si>
  <si>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</si>
  <si>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</si>
  <si>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</si>
  <si>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</si>
  <si>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</si>
  <si>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</si>
  <si>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</si>
  <si>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</si>
  <si>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</si>
  <si>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</si>
  <si>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</si>
  <si>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</si>
  <si>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</si>
  <si>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</si>
  <si>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</si>
  <si>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</si>
  <si>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</si>
  <si>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</si>
  <si>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</si>
  <si>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</si>
  <si>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</si>
  <si>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</si>
  <si>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</si>
  <si>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</si>
  <si>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</si>
  <si>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</si>
  <si>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</si>
  <si>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</si>
  <si>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</si>
  <si>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</si>
  <si>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</si>
  <si>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</si>
  <si>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</si>
  <si>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</si>
  <si>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</si>
  <si>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</si>
  <si>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</si>
  <si>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</si>
  <si>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</si>
  <si>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</si>
  <si>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</si>
  <si>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</si>
  <si>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</si>
  <si>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</si>
  <si>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</si>
  <si>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</si>
  <si>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</si>
  <si>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</si>
  <si>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</si>
  <si>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</si>
  <si>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</si>
  <si>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</si>
  <si>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</si>
  <si>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</si>
  <si>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</si>
  <si>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</si>
  <si>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</si>
  <si>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</si>
  <si>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</si>
  <si>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</si>
  <si>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</si>
  <si>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</si>
  <si>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</si>
  <si>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</si>
  <si>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</si>
  <si>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</si>
  <si>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</si>
  <si>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</si>
  <si>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</si>
  <si>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</si>
  <si>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</si>
  <si>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</si>
  <si>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</si>
  <si>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</si>
  <si>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</si>
  <si>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</si>
  <si>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</si>
  <si>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</si>
  <si>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</si>
  <si>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</si>
  <si>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</si>
  <si>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</si>
  <si>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</si>
  <si>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</si>
  <si>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</si>
  <si>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</si>
  <si>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</si>
  <si>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</si>
  <si>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</si>
  <si>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</si>
  <si>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</si>
  <si>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</si>
  <si>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</si>
  <si>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</si>
  <si>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</si>
  <si>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</si>
  <si>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</si>
  <si>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</si>
  <si>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</si>
  <si>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</si>
  <si>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</si>
  <si>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</si>
  <si>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</si>
  <si>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</si>
  <si>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</si>
  <si>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</si>
  <si>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</si>
  <si>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</si>
  <si>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</si>
  <si>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</si>
  <si>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</si>
  <si>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</si>
  <si>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</si>
  <si>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</si>
  <si>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</si>
  <si>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</si>
  <si>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</si>
  <si>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</si>
  <si>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</si>
  <si>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</si>
  <si>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</si>
  <si>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</si>
  <si>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</si>
  <si>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</si>
  <si>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</si>
  <si>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</si>
  <si>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</si>
  <si>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</si>
  <si>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</si>
  <si>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</si>
  <si>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</si>
  <si>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</si>
  <si>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</si>
  <si>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</si>
  <si>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</si>
  <si>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</si>
  <si>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</si>
  <si>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</si>
  <si>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</si>
  <si>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</si>
  <si>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</si>
  <si>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</si>
  <si>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</si>
  <si>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</si>
  <si>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</si>
  <si>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</si>
  <si>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</si>
  <si>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</si>
  <si>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</si>
  <si>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</si>
  <si>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</si>
  <si>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</si>
  <si>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</si>
  <si>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</si>
  <si>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</si>
  <si>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</si>
  <si>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</si>
  <si>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</si>
  <si>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</si>
  <si>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</si>
  <si>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</si>
  <si>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</si>
  <si>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</si>
  <si>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</si>
  <si>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</si>
  <si>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</si>
  <si>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</si>
  <si>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</si>
  <si>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</si>
  <si>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</si>
  <si>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</si>
  <si>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</si>
  <si>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</si>
  <si>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</si>
  <si>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</si>
  <si>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</si>
  <si>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</si>
  <si>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</si>
  <si>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</si>
  <si>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</si>
  <si>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</si>
  <si>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</si>
  <si>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</si>
  <si>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</si>
  <si>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</si>
  <si>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</si>
  <si>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</si>
  <si>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</si>
  <si>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</si>
  <si>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</si>
  <si>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</si>
  <si>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</si>
  <si>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</si>
  <si>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</si>
  <si>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</si>
  <si>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</si>
  <si>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</si>
  <si>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</si>
  <si>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</si>
  <si>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</si>
  <si>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</si>
  <si>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</si>
  <si>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</si>
  <si>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</si>
  <si>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</si>
  <si>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</si>
  <si>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</si>
  <si>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</si>
  <si>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</si>
  <si>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</si>
  <si>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</si>
  <si>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</si>
  <si>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</si>
  <si>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</si>
  <si>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</si>
  <si>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</si>
  <si>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</si>
  <si>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</si>
  <si>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</si>
  <si>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</si>
  <si>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</si>
  <si>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</si>
  <si>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</si>
  <si>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</si>
  <si>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</si>
  <si>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</si>
  <si>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</si>
  <si>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</si>
  <si>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</si>
  <si>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</si>
  <si>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</si>
  <si>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</si>
  <si>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</si>
  <si>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</si>
  <si>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</si>
  <si>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</si>
  <si>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</si>
  <si>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</si>
  <si>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</si>
  <si>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</si>
  <si>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</si>
  <si>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</si>
  <si>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</si>
  <si>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</si>
  <si>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</si>
  <si>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</si>
  <si>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</si>
  <si>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</si>
  <si>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</si>
  <si>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</si>
  <si>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</si>
  <si>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</si>
  <si>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</si>
  <si>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</si>
  <si>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</si>
  <si>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</si>
  <si>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</si>
  <si>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</si>
  <si>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</si>
  <si>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</si>
  <si>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</si>
  <si>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</si>
  <si>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</si>
  <si>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</si>
  <si>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</si>
  <si>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</si>
  <si>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</si>
  <si>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</si>
  <si>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</si>
  <si>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</si>
  <si>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</si>
  <si>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</si>
  <si>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</si>
  <si>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</si>
  <si>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</si>
  <si>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</si>
  <si>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</si>
  <si>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</si>
  <si>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</si>
  <si>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</si>
  <si>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</si>
  <si>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</si>
  <si>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</si>
  <si>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</si>
  <si>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</si>
  <si>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</si>
  <si>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</si>
  <si>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</si>
  <si>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</si>
  <si>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</si>
  <si>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</si>
  <si>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</si>
  <si>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</si>
  <si>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</si>
  <si>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</si>
  <si>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</si>
  <si>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</si>
  <si>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</si>
  <si>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</si>
  <si>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</si>
  <si>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</si>
  <si>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</si>
  <si>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</si>
  <si>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</si>
  <si>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</si>
  <si>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</si>
  <si>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</si>
  <si>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</si>
  <si>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</si>
  <si>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</si>
  <si>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</si>
  <si>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</si>
  <si>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</si>
  <si>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</si>
  <si>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</si>
  <si>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</si>
  <si>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</si>
  <si>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</si>
  <si>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</si>
  <si>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</si>
  <si>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</si>
  <si>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</si>
  <si>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</si>
  <si>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</si>
  <si>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</si>
  <si>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</si>
  <si>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</si>
  <si>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</si>
  <si>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</si>
  <si>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</si>
  <si>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</si>
  <si>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</si>
  <si>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</si>
  <si>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</si>
  <si>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</si>
  <si>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</si>
  <si>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</si>
  <si>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</si>
  <si>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</si>
  <si>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</si>
  <si>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</si>
  <si>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</si>
  <si>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</si>
  <si>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</si>
  <si>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</si>
  <si>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</si>
  <si>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</si>
  <si>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</si>
  <si>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</si>
  <si>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</si>
  <si>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</si>
  <si>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</si>
  <si>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</si>
  <si>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</si>
  <si>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</si>
  <si>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</si>
  <si>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</si>
  <si>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</si>
  <si>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</si>
  <si>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</si>
  <si>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</si>
  <si>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</si>
  <si>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</si>
  <si>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</si>
  <si>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</si>
  <si>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</si>
  <si>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</si>
  <si>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</si>
  <si>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</si>
  <si>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</si>
  <si>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</si>
  <si>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</si>
  <si>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</si>
  <si>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</si>
  <si>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</si>
  <si>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</si>
  <si>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</si>
  <si>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</si>
  <si>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</si>
  <si>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</si>
  <si>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</si>
  <si>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</si>
  <si>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</si>
  <si>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</si>
  <si>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</si>
  <si>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</si>
  <si>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</si>
  <si>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</si>
  <si>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</si>
  <si>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</si>
  <si>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</si>
  <si>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</si>
  <si>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</si>
  <si>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</si>
  <si>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</si>
  <si>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</si>
  <si>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</si>
  <si>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</si>
  <si>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</si>
  <si>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</si>
  <si>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</si>
  <si>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</si>
  <si>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</si>
  <si>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</si>
  <si>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</si>
  <si>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</si>
  <si>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</si>
  <si>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</si>
  <si>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</si>
  <si>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</si>
  <si>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</si>
  <si>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</si>
  <si>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</si>
  <si>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</si>
  <si>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</si>
  <si>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</si>
  <si>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</si>
  <si>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</si>
  <si>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</si>
  <si>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</si>
  <si>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</si>
  <si>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</si>
  <si>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</si>
  <si>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</si>
  <si>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</si>
  <si>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</si>
  <si>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</si>
  <si>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</si>
  <si>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</si>
  <si>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</si>
  <si>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</si>
  <si>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</si>
  <si>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</si>
  <si>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</si>
  <si>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</si>
  <si>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</si>
  <si>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</si>
  <si>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</si>
  <si>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</si>
  <si>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</si>
  <si>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</si>
  <si>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</si>
  <si>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</si>
  <si>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</si>
  <si>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</si>
  <si>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</si>
  <si>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</si>
  <si>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</si>
  <si>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</si>
  <si>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</si>
  <si>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</si>
  <si>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</si>
  <si>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</si>
  <si>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</si>
  <si>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</si>
  <si>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</si>
  <si>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</si>
  <si>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</si>
  <si>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</si>
  <si>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</si>
  <si>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</si>
  <si>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</si>
  <si>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</si>
  <si>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</si>
  <si>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</si>
  <si>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</si>
  <si>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</si>
  <si>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</si>
  <si>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</si>
  <si>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</si>
  <si>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</si>
  <si>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</si>
  <si>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</si>
  <si>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</si>
  <si>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</si>
  <si>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</si>
  <si>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</si>
  <si>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</si>
  <si>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</si>
  <si>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</si>
  <si>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</si>
  <si>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</si>
  <si>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</si>
  <si>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</si>
  <si>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</si>
  <si>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</si>
  <si>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</si>
  <si>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</si>
  <si>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</si>
  <si>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</si>
  <si>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</si>
  <si>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</si>
  <si>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</si>
  <si>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</si>
  <si>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</si>
  <si>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</si>
  <si>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</si>
  <si>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</si>
  <si>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</si>
  <si>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</si>
  <si>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</si>
  <si>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</si>
  <si>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</si>
  <si>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</si>
  <si>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</si>
  <si>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</si>
  <si>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</si>
  <si>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</si>
  <si>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</si>
  <si>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</si>
  <si>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</si>
  <si>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</si>
  <si>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</si>
  <si>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</si>
  <si>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</si>
  <si>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</si>
  <si>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</si>
  <si>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</si>
  <si>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</si>
  <si>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</si>
  <si>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</si>
  <si>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</si>
  <si>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</si>
  <si>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</si>
  <si>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</si>
  <si>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</si>
  <si>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</si>
  <si>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</si>
  <si>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</si>
  <si>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</si>
  <si>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</si>
  <si>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</si>
  <si>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</si>
  <si>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</si>
  <si>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</si>
  <si>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</si>
  <si>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</si>
  <si>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</si>
  <si>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</si>
  <si>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</si>
  <si>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</si>
  <si>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</si>
  <si>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</si>
  <si>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</si>
  <si>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</si>
  <si>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</si>
  <si>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</si>
  <si>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</si>
  <si>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</si>
  <si>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</si>
  <si>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</si>
  <si>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</si>
  <si>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</si>
  <si>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</si>
  <si>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</si>
  <si>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</si>
  <si>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</si>
  <si>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</si>
  <si>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</si>
  <si>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</si>
  <si>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</si>
  <si>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</si>
  <si>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</si>
  <si>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</si>
  <si>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</si>
  <si>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</si>
  <si>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</si>
  <si>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</si>
  <si>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</si>
  <si>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</si>
  <si>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</si>
  <si>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</si>
  <si>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</si>
  <si>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</si>
  <si>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</si>
  <si>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</si>
  <si>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</si>
  <si>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</si>
  <si>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</si>
  <si>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</si>
  <si>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</si>
  <si>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</si>
  <si>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</si>
  <si>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</si>
  <si>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</si>
  <si>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</si>
  <si>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</si>
  <si>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</si>
  <si>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</si>
  <si>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</si>
  <si>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</si>
  <si>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</si>
  <si>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</si>
  <si>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</si>
  <si>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</si>
  <si>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</si>
  <si>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</si>
  <si>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</si>
  <si>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</si>
  <si>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</si>
  <si>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</si>
  <si>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</si>
  <si>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</si>
  <si>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</si>
  <si>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</si>
  <si>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</si>
  <si>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</si>
  <si>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</si>
  <si>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</si>
  <si>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</si>
  <si>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</si>
  <si>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</si>
  <si>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</si>
  <si>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</si>
  <si>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</si>
  <si>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</si>
  <si>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</si>
  <si>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</si>
  <si>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</si>
  <si>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</si>
  <si>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</si>
  <si>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</si>
  <si>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</si>
  <si>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</si>
  <si>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</si>
  <si>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</si>
  <si>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</si>
  <si>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</si>
  <si>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</si>
  <si>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</si>
  <si>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</si>
  <si>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</si>
  <si>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</si>
  <si>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</si>
  <si>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</si>
  <si>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</si>
  <si>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</si>
  <si>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</si>
  <si>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</si>
  <si>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</si>
  <si>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</si>
  <si>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</si>
  <si>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</si>
  <si>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</si>
  <si>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</si>
  <si>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</si>
  <si>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</si>
  <si>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</si>
  <si>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</si>
  <si>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</si>
  <si>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</si>
  <si>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</si>
  <si>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</si>
  <si>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</si>
  <si>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</si>
  <si>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</si>
  <si>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</si>
  <si>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</si>
  <si>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</si>
  <si>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</si>
  <si>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</si>
  <si>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</si>
  <si>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</si>
  <si>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</si>
  <si>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</si>
  <si>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</si>
  <si>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</si>
  <si>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</si>
  <si>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</si>
  <si>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</si>
  <si>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</si>
  <si>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</si>
  <si>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</si>
  <si>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</si>
  <si>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</si>
  <si>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</si>
  <si>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</si>
  <si>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</si>
  <si>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</si>
  <si>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</si>
  <si>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</si>
  <si>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</si>
  <si>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</si>
  <si>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</si>
  <si>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</si>
  <si>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</si>
  <si>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</si>
  <si>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</si>
  <si>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</si>
  <si>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</si>
  <si>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</si>
  <si>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</si>
  <si>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</si>
  <si>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</si>
  <si>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</si>
  <si>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</si>
  <si>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</si>
  <si>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</si>
  <si>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</si>
  <si>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</si>
  <si>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</si>
  <si>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</si>
  <si>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</si>
  <si>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</si>
  <si>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</si>
  <si>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</si>
  <si>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</si>
  <si>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</si>
  <si>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</si>
  <si>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</si>
  <si>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</si>
  <si>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</si>
  <si>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</si>
  <si>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</si>
  <si>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</si>
  <si>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</si>
  <si>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</si>
  <si>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</si>
  <si>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</si>
  <si>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</si>
  <si>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</si>
  <si>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</si>
  <si>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</si>
  <si>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</si>
  <si>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</si>
  <si>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</si>
  <si>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</si>
  <si>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</si>
  <si>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</si>
  <si>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</si>
  <si>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</si>
  <si>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</si>
  <si>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</si>
  <si>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</si>
  <si>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</si>
  <si>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</si>
  <si>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</si>
  <si>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</si>
  <si>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</si>
  <si>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</si>
  <si>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</si>
  <si>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</si>
  <si>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</si>
  <si>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</si>
  <si>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</si>
  <si>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</si>
  <si>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</si>
  <si>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</si>
  <si>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</si>
  <si>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</si>
  <si>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</si>
  <si>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</si>
  <si>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</si>
  <si>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</si>
  <si>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</si>
  <si>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</si>
  <si>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</si>
  <si>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</si>
  <si>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</si>
  <si>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</si>
  <si>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</si>
  <si>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</si>
  <si>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</si>
  <si>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</si>
  <si>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</si>
  <si>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</si>
  <si>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</si>
  <si>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</si>
  <si>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</si>
  <si>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</si>
  <si>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</si>
  <si>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</si>
  <si>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</si>
  <si>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</si>
  <si>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</si>
  <si>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</si>
  <si>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</si>
  <si>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</si>
  <si>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</si>
  <si>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</si>
  <si>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</si>
  <si>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</si>
  <si>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</si>
  <si>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</si>
  <si>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</si>
  <si>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</si>
  <si>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</si>
  <si>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</si>
  <si>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</si>
  <si>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</si>
  <si>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</si>
  <si>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</si>
  <si>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</si>
  <si>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</si>
  <si>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</si>
  <si>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</si>
  <si>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</si>
  <si>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</si>
  <si>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</si>
  <si>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</si>
  <si>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</si>
  <si>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</si>
  <si>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</si>
  <si>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</si>
  <si>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</si>
  <si>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</si>
  <si>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</si>
  <si>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</si>
  <si>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</si>
  <si>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</si>
  <si>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</si>
  <si>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</si>
  <si>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</si>
  <si>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</si>
  <si>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</si>
  <si>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</si>
  <si>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</si>
  <si>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</si>
  <si>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</si>
  <si>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</si>
  <si>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</si>
  <si>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</si>
  <si>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</si>
  <si>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</si>
  <si>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</si>
  <si>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</si>
  <si>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</si>
  <si>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</si>
  <si>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</si>
  <si>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</si>
  <si>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</si>
  <si>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</si>
  <si>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</si>
  <si>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</si>
  <si>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</si>
  <si>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</si>
  <si>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</si>
  <si>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</si>
  <si>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</si>
  <si>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</si>
  <si>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</si>
  <si>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</si>
  <si>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</si>
  <si>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</si>
  <si>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</si>
  <si>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</si>
  <si>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</si>
  <si>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</si>
  <si>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</si>
  <si>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</si>
  <si>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</si>
  <si>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</si>
  <si>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</si>
  <si>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</si>
  <si>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</si>
  <si>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</si>
  <si>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</si>
  <si>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</si>
  <si>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</si>
  <si>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</si>
  <si>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</si>
  <si>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</si>
  <si>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</si>
  <si>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</si>
  <si>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</si>
  <si>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</si>
  <si>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</si>
  <si>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</si>
  <si>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</si>
  <si>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</si>
  <si>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</si>
  <si>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</si>
  <si>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</si>
  <si>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</si>
  <si>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</si>
  <si>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</si>
  <si>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</si>
  <si>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</si>
  <si>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</si>
  <si>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</si>
  <si>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</si>
  <si>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</si>
  <si>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</si>
  <si>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</si>
  <si>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</si>
  <si>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</si>
  <si>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</si>
  <si>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</si>
  <si>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</si>
  <si>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</si>
  <si>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</si>
  <si>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</si>
  <si>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</si>
  <si>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</si>
  <si>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</si>
  <si>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</si>
  <si>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</si>
  <si>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</si>
  <si>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</si>
  <si>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</si>
  <si>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</si>
  <si>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</si>
  <si>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</si>
  <si>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</si>
  <si>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</si>
  <si>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</si>
  <si>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</si>
  <si>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</si>
  <si>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</si>
  <si>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</si>
  <si>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</si>
  <si>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</si>
  <si>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</si>
  <si>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</si>
  <si>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</si>
  <si>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</si>
  <si>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</si>
  <si>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</si>
  <si>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</si>
  <si>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</si>
  <si>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</si>
  <si>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</si>
  <si>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</si>
  <si>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</si>
  <si>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</si>
  <si>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</si>
  <si>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</si>
  <si>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</si>
  <si>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</si>
  <si>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</si>
  <si>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</si>
  <si>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</si>
  <si>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</si>
  <si>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</si>
  <si>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</si>
  <si>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</si>
  <si>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</si>
  <si>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</si>
  <si>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</si>
  <si>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</si>
  <si>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</si>
  <si>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</si>
  <si>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</si>
  <si>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</si>
  <si>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</si>
  <si>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</si>
  <si>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</si>
  <si>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</si>
  <si>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</si>
  <si>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</si>
  <si>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</si>
  <si>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</si>
  <si>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</si>
  <si>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</si>
  <si>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</si>
  <si>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</si>
  <si>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</si>
  <si>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</si>
  <si>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</si>
  <si>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</si>
  <si>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</si>
  <si>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</si>
  <si>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</si>
  <si>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</si>
  <si>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</si>
  <si>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</si>
  <si>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</si>
  <si>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</si>
  <si>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</si>
  <si>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</si>
  <si>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</si>
  <si>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</si>
  <si>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</si>
  <si>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</si>
  <si>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</si>
  <si>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</si>
  <si>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</si>
  <si>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</si>
  <si>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</si>
  <si>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</si>
  <si>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</si>
  <si>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</si>
  <si>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</si>
  <si>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</si>
  <si>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</si>
  <si>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</si>
  <si>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</si>
  <si>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</si>
  <si>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</si>
  <si>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</si>
  <si>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</si>
  <si>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</si>
  <si>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</si>
  <si>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</si>
  <si>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</si>
  <si>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</si>
  <si>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</si>
  <si>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</si>
  <si>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</si>
  <si>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</si>
  <si>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</si>
  <si>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</si>
  <si>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</si>
  <si>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</si>
  <si>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</si>
  <si>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</si>
  <si>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</si>
  <si>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</si>
  <si>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</si>
  <si>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</si>
  <si>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</si>
  <si>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</si>
  <si>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</si>
  <si>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</si>
  <si>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</si>
  <si>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</si>
  <si>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</si>
  <si>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</si>
  <si>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</si>
  <si>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</si>
  <si>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</si>
  <si>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</si>
  <si>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</si>
  <si>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</si>
  <si>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</si>
  <si>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</si>
  <si>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</si>
  <si>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</si>
  <si>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</si>
  <si>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</si>
  <si>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</si>
  <si>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</si>
  <si>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</si>
  <si>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</si>
  <si>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</si>
  <si>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</si>
  <si>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</si>
  <si>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</si>
  <si>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</si>
  <si>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</si>
  <si>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</si>
  <si>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</si>
  <si>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</si>
  <si>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</si>
  <si>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</si>
  <si>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</si>
  <si>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</si>
  <si>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</si>
  <si>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</si>
  <si>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</si>
  <si>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</si>
  <si>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</si>
  <si>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</si>
  <si>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</si>
  <si>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</si>
  <si>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</si>
  <si>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</si>
  <si>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</si>
  <si>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</si>
  <si>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</si>
  <si>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</si>
  <si>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</si>
  <si>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</si>
  <si>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</si>
  <si>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</si>
  <si>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</si>
  <si>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</si>
  <si>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</si>
  <si>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</si>
  <si>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</si>
  <si>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</si>
  <si>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</si>
  <si>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</si>
  <si>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</si>
  <si>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</si>
  <si>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</si>
  <si>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</si>
  <si>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</si>
  <si>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</si>
  <si>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</si>
  <si>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</si>
  <si>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</si>
  <si>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</si>
  <si>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</si>
  <si>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</si>
  <si>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</si>
  <si>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</si>
  <si>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</si>
  <si>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</si>
  <si>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</si>
  <si>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</si>
  <si>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</si>
  <si>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</si>
  <si>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</si>
  <si>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</si>
  <si>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</si>
  <si>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</si>
  <si>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</si>
  <si>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</si>
  <si>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</si>
  <si>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</si>
  <si>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</si>
  <si>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</si>
  <si>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</si>
  <si>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</si>
  <si>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</si>
  <si>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</si>
  <si>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</si>
  <si>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</si>
  <si>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</si>
  <si>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</si>
  <si>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</si>
  <si>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</si>
  <si>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</si>
  <si>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</si>
  <si>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</si>
  <si>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</si>
  <si>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</si>
  <si>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</si>
  <si>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</si>
  <si>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</si>
  <si>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</si>
  <si>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</si>
  <si>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</si>
  <si>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</si>
  <si>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</si>
  <si>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</si>
  <si>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</si>
  <si>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</si>
  <si>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</si>
  <si>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</si>
  <si>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</si>
  <si>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</si>
  <si>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</si>
  <si>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</si>
  <si>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</si>
  <si>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</si>
  <si>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</si>
  <si>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</si>
  <si>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</si>
  <si>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</si>
  <si>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</si>
  <si>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</si>
  <si>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</si>
  <si>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</si>
  <si>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</si>
  <si>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</si>
  <si>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</si>
  <si>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</si>
  <si>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</si>
  <si>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</si>
  <si>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</si>
  <si>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</si>
  <si>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</si>
  <si>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</si>
  <si>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</si>
  <si>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</si>
  <si>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</si>
  <si>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</si>
  <si>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</si>
  <si>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</si>
  <si>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</si>
  <si>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</si>
  <si>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</si>
  <si>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</si>
  <si>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</si>
  <si>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</si>
  <si>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</si>
  <si>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</si>
  <si>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</si>
  <si>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</si>
  <si>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</si>
  <si>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</si>
  <si>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</si>
  <si>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</si>
  <si>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</si>
  <si>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</si>
  <si>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</si>
  <si>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</si>
  <si>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</si>
  <si>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</si>
  <si>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</si>
  <si>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</si>
  <si>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</si>
  <si>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</si>
  <si>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</si>
  <si>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</si>
  <si>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</si>
  <si>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</si>
  <si>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</si>
  <si>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</si>
  <si>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</si>
  <si>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</si>
  <si>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</si>
  <si>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</si>
  <si>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</si>
  <si>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</si>
  <si>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</si>
  <si>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</si>
  <si>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</si>
  <si>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</si>
  <si>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</si>
  <si>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</si>
  <si>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</si>
  <si>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</si>
  <si>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</si>
  <si>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</si>
  <si>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</si>
  <si>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</si>
  <si>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</si>
  <si>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</si>
  <si>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</si>
  <si>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</si>
  <si>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</si>
  <si>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</si>
  <si>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</si>
  <si>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</si>
  <si>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</si>
  <si>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</si>
  <si>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</si>
  <si>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</si>
  <si>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</si>
  <si>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</si>
  <si>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</si>
  <si>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</si>
  <si>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</si>
  <si>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</si>
  <si>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</si>
  <si>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</si>
  <si>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</si>
  <si>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</si>
  <si>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</si>
  <si>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</si>
  <si>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</si>
  <si>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</si>
  <si>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</si>
  <si>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</si>
  <si>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</si>
  <si>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</si>
  <si>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</si>
  <si>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</si>
  <si>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</si>
  <si>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</si>
  <si>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</si>
  <si>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</si>
  <si>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</si>
  <si>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</si>
  <si>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</si>
  <si>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</si>
  <si>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</si>
  <si>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</si>
  <si>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</si>
  <si>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</si>
  <si>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</si>
  <si>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</si>
  <si>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</si>
  <si>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</si>
  <si>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</si>
  <si>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</si>
  <si>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</si>
  <si>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</si>
  <si>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</si>
  <si>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</si>
  <si>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</si>
  <si>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</si>
  <si>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</si>
  <si>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</si>
  <si>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</si>
  <si>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</si>
  <si>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</si>
  <si>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</si>
  <si>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</si>
  <si>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</si>
  <si>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</si>
  <si>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</si>
  <si>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</si>
  <si>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</si>
  <si>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</si>
  <si>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</si>
  <si>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</si>
  <si>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</si>
  <si>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</si>
  <si>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</si>
  <si>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</si>
  <si>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</si>
  <si>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</si>
  <si>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</si>
  <si>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</si>
  <si>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</si>
  <si>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</si>
  <si>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</si>
  <si>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</si>
  <si>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</si>
  <si>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</si>
  <si>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</si>
  <si>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</si>
  <si>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</si>
  <si>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</si>
  <si>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</si>
  <si>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</si>
  <si>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</si>
  <si>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</si>
  <si>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</si>
  <si>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</si>
  <si>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</si>
  <si>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</si>
  <si>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</si>
  <si>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</si>
  <si>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</si>
  <si>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</si>
  <si>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</si>
  <si>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</si>
  <si>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</si>
  <si>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</si>
  <si>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</si>
  <si>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</si>
  <si>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</si>
  <si>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</si>
  <si>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</si>
  <si>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</si>
  <si>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</si>
  <si>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</si>
  <si>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</si>
  <si>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</si>
  <si>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</si>
  <si>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</si>
  <si>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</si>
  <si>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</si>
  <si>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</si>
  <si>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</si>
  <si>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</si>
  <si>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</si>
  <si>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</si>
  <si>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</si>
  <si>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</si>
  <si>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</si>
  <si>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</si>
  <si>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</si>
  <si>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</si>
  <si>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</si>
  <si>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</si>
  <si>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</si>
  <si>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</si>
  <si>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</si>
  <si>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</si>
  <si>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</si>
  <si>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</si>
  <si>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</si>
  <si>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</si>
  <si>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</si>
  <si>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</si>
  <si>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</si>
  <si>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</si>
  <si>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</si>
  <si>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</si>
  <si>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</si>
  <si>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</si>
  <si>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</si>
  <si>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</si>
  <si>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</si>
  <si>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</si>
  <si>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</si>
  <si>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</si>
  <si>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</si>
  <si>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</si>
  <si>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</si>
  <si>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</si>
  <si>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</si>
  <si>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</si>
  <si>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</si>
  <si>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</si>
  <si>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</si>
  <si>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</si>
  <si>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</si>
  <si>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</si>
  <si>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</si>
  <si>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</si>
  <si>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</si>
  <si>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</si>
  <si>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</si>
  <si>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</si>
  <si>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</si>
  <si>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</si>
  <si>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</si>
  <si>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</si>
  <si>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</si>
  <si>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</si>
  <si>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</si>
  <si>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</si>
  <si>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</si>
  <si>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</si>
  <si>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</si>
  <si>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</si>
  <si>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</si>
  <si>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</si>
  <si>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</si>
  <si>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</si>
  <si>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</si>
  <si>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</si>
  <si>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</si>
  <si>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</si>
  <si>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</si>
  <si>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</si>
  <si>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</si>
  <si>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</si>
  <si>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</si>
  <si>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</si>
  <si>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</si>
  <si>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</si>
  <si>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</si>
  <si>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</si>
  <si>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</si>
  <si>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</si>
  <si>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</si>
  <si>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</si>
  <si>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</si>
  <si>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</si>
  <si>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</si>
  <si>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</si>
  <si>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</si>
  <si>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</si>
  <si>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</si>
  <si>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</si>
  <si>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</si>
  <si>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</si>
  <si>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</si>
  <si>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</si>
  <si>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</si>
  <si>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</si>
  <si>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</si>
  <si>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</si>
  <si>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</si>
  <si>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</si>
  <si>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</si>
  <si>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</si>
  <si>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</si>
  <si>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</si>
  <si>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</si>
  <si>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</si>
  <si>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</si>
  <si>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</si>
  <si>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</si>
  <si>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</si>
  <si>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</si>
  <si>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</si>
  <si>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</si>
  <si>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</si>
  <si>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</si>
  <si>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</si>
  <si>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</si>
  <si>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</si>
  <si>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</si>
  <si>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</si>
  <si>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</si>
  <si>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</si>
  <si>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</si>
  <si>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</si>
  <si>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</si>
  <si>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</si>
  <si>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</si>
  <si>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</si>
  <si>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</si>
  <si>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</si>
  <si>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</si>
  <si>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</si>
  <si>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</si>
  <si>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</si>
  <si>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</si>
  <si>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</si>
  <si>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</si>
  <si>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</si>
  <si>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</si>
  <si>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</si>
  <si>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</si>
  <si>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</si>
  <si>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</si>
  <si>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</si>
  <si>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</si>
  <si>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</si>
  <si>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</si>
  <si>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</si>
  <si>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</si>
  <si>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</si>
  <si>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</si>
  <si>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</si>
  <si>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</si>
  <si>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</si>
  <si>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</si>
  <si>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</si>
  <si>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</si>
  <si>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</si>
  <si>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</si>
  <si>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</si>
  <si>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</si>
  <si>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</si>
  <si>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</si>
  <si>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</si>
  <si>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</si>
  <si>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</si>
  <si>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</si>
  <si>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</si>
  <si>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</si>
  <si>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</si>
  <si>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</si>
  <si>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</si>
  <si>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</si>
  <si>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</si>
  <si>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</si>
  <si>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</si>
  <si>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</si>
  <si>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</si>
  <si>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</si>
  <si>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</si>
  <si>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</si>
  <si>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</si>
  <si>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</si>
  <si>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</si>
  <si>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</si>
  <si>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</si>
  <si>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</si>
  <si>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</si>
  <si>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</si>
  <si>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</si>
  <si>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</si>
  <si>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</si>
  <si>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</si>
  <si>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</si>
  <si>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</si>
  <si>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</si>
  <si>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</si>
  <si>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</si>
  <si>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</si>
  <si>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</si>
  <si>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</si>
  <si>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</si>
  <si>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</si>
  <si>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</si>
  <si>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</si>
  <si>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</si>
  <si>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</si>
  <si>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</si>
  <si>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</si>
  <si>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</si>
  <si>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</si>
  <si>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</si>
  <si>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</si>
  <si>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</si>
  <si>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</si>
  <si>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</si>
  <si>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</si>
  <si>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</si>
  <si>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</si>
  <si>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</si>
  <si>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</si>
  <si>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</si>
  <si>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</si>
  <si>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</si>
  <si>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</si>
  <si>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</si>
  <si>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</si>
  <si>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</si>
  <si>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</si>
  <si>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</si>
  <si>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</si>
  <si>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</si>
  <si>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</si>
  <si>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</si>
  <si>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</si>
  <si>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</si>
  <si>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</si>
  <si>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</si>
  <si>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</si>
  <si>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</si>
  <si>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</si>
  <si>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</si>
  <si>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</si>
  <si>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</si>
  <si>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</si>
  <si>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</si>
  <si>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</si>
  <si>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</si>
  <si>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</si>
  <si>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</si>
  <si>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</si>
  <si>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</si>
  <si>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</si>
  <si>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</si>
  <si>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</si>
  <si>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</si>
  <si>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</si>
  <si>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</si>
  <si>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</si>
  <si>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</si>
  <si>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</si>
  <si>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</si>
  <si>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</si>
  <si>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</si>
  <si>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</si>
  <si>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</si>
  <si>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</si>
  <si>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</si>
  <si>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</si>
  <si>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</si>
  <si>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</si>
  <si>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</si>
  <si>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</si>
  <si>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</si>
  <si>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</si>
  <si>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</si>
  <si>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</si>
  <si>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</si>
  <si>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</si>
  <si>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</si>
  <si>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</si>
  <si>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</si>
  <si>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</si>
  <si>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</si>
  <si>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</si>
  <si>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</si>
  <si>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</si>
  <si>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</si>
  <si>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</si>
  <si>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</si>
  <si>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</si>
  <si>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</si>
  <si>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</si>
  <si>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</si>
  <si>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</si>
  <si>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</si>
  <si>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</si>
  <si>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</si>
  <si>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</si>
  <si>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</si>
  <si>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</si>
  <si>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</si>
  <si>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</si>
  <si>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</si>
  <si>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</si>
  <si>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</si>
  <si>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</si>
  <si>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</si>
  <si>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</si>
  <si>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</si>
  <si>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</si>
  <si>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</si>
  <si>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</si>
  <si>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</si>
  <si>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</si>
  <si>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</si>
  <si>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</si>
  <si>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</si>
  <si>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</si>
  <si>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</si>
  <si>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</si>
  <si>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</si>
  <si>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</si>
  <si>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</si>
  <si>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</si>
  <si>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</si>
  <si>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</si>
  <si>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</si>
  <si>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</si>
  <si>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</si>
  <si>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</si>
  <si>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</si>
  <si>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</si>
  <si>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</si>
  <si>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</si>
  <si>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</si>
  <si>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</si>
  <si>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</si>
  <si>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</si>
  <si>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</si>
  <si>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</si>
  <si>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</si>
  <si>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</si>
  <si>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</si>
  <si>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</si>
  <si>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</si>
  <si>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</si>
  <si>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</si>
  <si>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</si>
  <si>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</si>
  <si>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</si>
  <si>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</si>
  <si>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</si>
  <si>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</si>
  <si>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</si>
  <si>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</si>
  <si>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</si>
  <si>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</si>
  <si>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</si>
  <si>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</si>
  <si>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</si>
  <si>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</si>
  <si>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</si>
  <si>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</si>
  <si>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</si>
  <si>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</si>
  <si>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</si>
  <si>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</si>
  <si>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</si>
  <si>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</si>
  <si>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</si>
  <si>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</si>
  <si>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</si>
  <si>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</si>
  <si>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</si>
  <si>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</si>
  <si>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</si>
  <si>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</si>
  <si>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</si>
  <si>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</si>
  <si>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</si>
  <si>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</si>
  <si>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</si>
  <si>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</si>
  <si>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</si>
  <si>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</si>
  <si>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</si>
  <si>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</si>
  <si>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</si>
  <si>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</si>
  <si>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</si>
  <si>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</si>
  <si>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</si>
  <si>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</si>
  <si>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</si>
  <si>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</si>
  <si>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</si>
  <si>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</si>
  <si>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</si>
  <si>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</si>
  <si>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</si>
  <si>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</si>
  <si>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</si>
  <si>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</si>
  <si>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</si>
  <si>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</si>
  <si>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</si>
  <si>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</si>
  <si>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</si>
  <si>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</si>
  <si>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</si>
  <si>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</si>
  <si>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</si>
  <si>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</si>
  <si>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</si>
  <si>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</si>
  <si>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</si>
  <si>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</si>
  <si>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</si>
  <si>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</si>
  <si>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</si>
  <si>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</si>
  <si>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</si>
  <si>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</si>
  <si>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</si>
  <si>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</si>
  <si>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</si>
  <si>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</si>
  <si>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</si>
  <si>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</si>
  <si>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</si>
  <si>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</si>
  <si>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</si>
  <si>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</si>
  <si>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</si>
  <si>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</si>
  <si>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</si>
  <si>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</si>
  <si>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</si>
  <si>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</si>
  <si>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</si>
  <si>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</si>
  <si>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</si>
  <si>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</si>
  <si>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</si>
  <si>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</si>
  <si>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</si>
  <si>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</si>
  <si>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</si>
  <si>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</si>
  <si>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</si>
  <si>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</si>
  <si>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</si>
  <si>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</si>
  <si>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</si>
  <si>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</si>
  <si>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</si>
  <si>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</si>
  <si>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</si>
  <si>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</si>
  <si>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</si>
  <si>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</si>
  <si>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</si>
  <si>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</si>
  <si>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</si>
  <si>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</si>
  <si>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</si>
  <si>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</si>
  <si>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</si>
  <si>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</si>
  <si>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</si>
  <si>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</si>
  <si>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</si>
  <si>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</si>
  <si>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</si>
  <si>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</si>
  <si>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</si>
  <si>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</si>
  <si>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</si>
  <si>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</si>
  <si>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</si>
  <si>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</si>
  <si>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</si>
  <si>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</si>
  <si>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</si>
  <si>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</si>
  <si>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</si>
  <si>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</si>
  <si>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</si>
  <si>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</si>
  <si>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</si>
  <si>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</si>
  <si>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</si>
  <si>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</si>
  <si>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</si>
  <si>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</si>
  <si>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</si>
  <si>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</si>
  <si>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</si>
  <si>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</si>
  <si>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</si>
  <si>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</si>
  <si>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</si>
  <si>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</si>
  <si>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</si>
  <si>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</si>
  <si>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</si>
  <si>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</si>
  <si>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</si>
  <si>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</si>
  <si>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</si>
  <si>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</si>
  <si>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</si>
  <si>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</si>
  <si>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</si>
  <si>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</si>
  <si>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</si>
  <si>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</si>
  <si>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</si>
  <si>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</si>
  <si>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</si>
  <si>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</si>
  <si>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</si>
  <si>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</si>
  <si>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</si>
  <si>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</si>
  <si>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</si>
  <si>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</si>
  <si>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</si>
  <si>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</si>
  <si>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</si>
  <si>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</si>
  <si>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</si>
  <si>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</si>
  <si>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</si>
  <si>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</si>
  <si>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</si>
  <si>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</si>
  <si>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</si>
  <si>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</si>
  <si>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</si>
  <si>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</si>
  <si>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</si>
  <si>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</si>
  <si>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</si>
  <si>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</si>
  <si>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</si>
  <si>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</si>
  <si>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</si>
  <si>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</si>
  <si>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</si>
  <si>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</si>
  <si>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</si>
  <si>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</si>
  <si>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</si>
  <si>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</si>
  <si>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</si>
  <si>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</si>
  <si>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</si>
  <si>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</si>
  <si>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</si>
  <si>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</si>
  <si>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</si>
  <si>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</si>
  <si>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</si>
  <si>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</si>
  <si>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</si>
  <si>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</si>
  <si>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</si>
  <si>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</si>
  <si>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</si>
  <si>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</si>
  <si>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</si>
  <si>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</si>
  <si>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</si>
  <si>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</si>
  <si>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</si>
  <si>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</si>
  <si>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</si>
  <si>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</si>
  <si>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</si>
  <si>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</si>
  <si>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</si>
  <si>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</si>
  <si>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</si>
  <si>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</si>
  <si>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</si>
  <si>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</si>
  <si>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</si>
  <si>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</si>
  <si>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</si>
  <si>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</si>
  <si>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</si>
  <si>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</si>
  <si>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</si>
  <si>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</si>
  <si>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</si>
  <si>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</si>
  <si>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</si>
  <si>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</si>
  <si>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</si>
  <si>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</si>
  <si>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</si>
  <si>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</si>
  <si>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</si>
  <si>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</si>
  <si>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</si>
  <si>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</si>
  <si>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</si>
  <si>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</si>
  <si>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</si>
  <si>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</si>
  <si>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</si>
  <si>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</si>
  <si>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</si>
  <si>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</si>
  <si>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</si>
  <si>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</si>
  <si>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</si>
  <si>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</si>
  <si>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</si>
  <si>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</si>
  <si>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</si>
  <si>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</si>
  <si>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</si>
  <si>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</si>
  <si>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</si>
  <si>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</si>
  <si>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</si>
  <si>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</si>
  <si>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</si>
  <si>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</si>
  <si>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</si>
  <si>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</si>
  <si>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</si>
  <si>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</si>
  <si>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</si>
  <si>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</si>
  <si>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</si>
  <si>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</si>
  <si>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</si>
  <si>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</si>
  <si>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</si>
  <si>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</si>
  <si>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</si>
  <si>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</si>
  <si>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</si>
  <si>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</si>
  <si>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</si>
  <si>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</si>
  <si>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</si>
  <si>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</si>
  <si>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</si>
  <si>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</si>
  <si>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</si>
  <si>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</si>
  <si>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</si>
  <si>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</si>
  <si>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</si>
  <si>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</si>
  <si>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</si>
  <si>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</si>
  <si>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</si>
  <si>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</si>
  <si>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</si>
  <si>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</si>
  <si>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</si>
  <si>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</si>
  <si>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</si>
  <si>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</si>
  <si>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</si>
  <si>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</si>
  <si>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</si>
  <si>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</si>
  <si>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</si>
  <si>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</si>
  <si>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</si>
  <si>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</si>
  <si>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</si>
  <si>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</si>
  <si>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</si>
  <si>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</si>
  <si>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</si>
  <si>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</si>
  <si>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</si>
  <si>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</si>
  <si>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</si>
  <si>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</si>
  <si>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</si>
  <si>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</si>
  <si>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</si>
  <si>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</si>
  <si>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</si>
  <si>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</si>
  <si>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</si>
  <si>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</si>
  <si>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</si>
  <si>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</si>
  <si>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</si>
  <si>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</si>
  <si>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</si>
  <si>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</si>
  <si>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</si>
  <si>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</si>
  <si>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</si>
  <si>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</si>
  <si>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</si>
  <si>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</si>
  <si>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</si>
  <si>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</si>
  <si>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</si>
  <si>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</si>
  <si>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</si>
  <si>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</si>
  <si>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</si>
  <si>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</si>
  <si>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</si>
  <si>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</si>
  <si>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</si>
  <si>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</si>
  <si>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</si>
  <si>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</si>
  <si>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</si>
  <si>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</si>
  <si>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</si>
  <si>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</si>
  <si>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</si>
  <si>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</si>
  <si>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</si>
  <si>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</si>
  <si>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</si>
  <si>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</si>
  <si>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</si>
  <si>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</si>
  <si>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</si>
  <si>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</si>
  <si>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</si>
  <si>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</si>
  <si>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</si>
  <si>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</si>
  <si>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</si>
  <si>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</si>
  <si>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</si>
  <si>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</si>
  <si>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</si>
  <si>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</si>
  <si>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</si>
  <si>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</si>
  <si>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</si>
  <si>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</si>
  <si>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</si>
  <si>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</si>
  <si>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</si>
  <si>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</si>
  <si>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</si>
  <si>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</si>
  <si>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</si>
  <si>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</si>
  <si>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</si>
  <si>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</si>
  <si>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</si>
  <si>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</si>
  <si>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</si>
  <si>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</si>
  <si>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</si>
  <si>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</si>
  <si>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</si>
  <si>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</si>
  <si>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</si>
  <si>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</si>
  <si>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</si>
  <si>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</si>
  <si>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</si>
  <si>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</si>
  <si>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</si>
  <si>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</si>
  <si>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</si>
  <si>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</si>
  <si>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</si>
  <si>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</si>
  <si>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</si>
  <si>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</si>
  <si>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</si>
  <si>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</si>
  <si>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</si>
  <si>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</si>
  <si>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</si>
  <si>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</si>
  <si>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</si>
  <si>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</si>
  <si>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</si>
  <si>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</si>
  <si>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</si>
  <si>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</si>
  <si>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</si>
  <si>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</si>
  <si>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</si>
  <si>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</si>
  <si>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</si>
  <si>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</si>
  <si>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</si>
  <si>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</si>
  <si>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</si>
  <si>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</si>
  <si>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</si>
  <si>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</si>
  <si>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</si>
  <si>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</si>
  <si>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</si>
  <si>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</si>
  <si>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</si>
  <si>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</si>
  <si>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</si>
  <si>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</si>
  <si>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</si>
  <si>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</si>
  <si>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</si>
  <si>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</si>
  <si>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</si>
  <si>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</si>
  <si>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</si>
  <si>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</si>
  <si>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</si>
  <si>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</si>
  <si>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</si>
  <si>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</si>
  <si>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</si>
  <si>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</si>
  <si>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</si>
  <si>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</si>
  <si>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</si>
  <si>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</si>
  <si>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</si>
  <si>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</si>
  <si>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</si>
  <si>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</si>
  <si>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</si>
  <si>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</si>
  <si>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</si>
  <si>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</si>
  <si>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</si>
  <si>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</si>
  <si>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</si>
  <si>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</si>
  <si>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</si>
  <si>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</si>
  <si>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</si>
  <si>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</si>
  <si>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</si>
  <si>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</si>
  <si>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</si>
  <si>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</si>
  <si>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</si>
  <si>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</si>
  <si>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</si>
  <si>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</si>
  <si>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</si>
  <si>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</si>
  <si>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</si>
  <si>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</si>
  <si>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</si>
  <si>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</si>
  <si>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</si>
  <si>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</si>
  <si>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</si>
  <si>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</si>
  <si>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</si>
  <si>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</si>
  <si>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</si>
  <si>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</si>
  <si>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</si>
  <si>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</si>
  <si>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</si>
  <si>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</si>
  <si>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</si>
  <si>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</si>
  <si>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</si>
  <si>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</si>
  <si>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</si>
  <si>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</si>
  <si>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</si>
  <si>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</si>
  <si>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</si>
  <si>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</si>
  <si>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</si>
  <si>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</si>
  <si>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</si>
  <si>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</si>
  <si>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</si>
  <si>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</si>
  <si>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</si>
  <si>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</si>
  <si>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</si>
  <si>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</si>
  <si>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</si>
  <si>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</si>
  <si>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</si>
  <si>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</si>
  <si>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</si>
  <si>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</si>
  <si>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</si>
  <si>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</si>
  <si>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</si>
  <si>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</si>
  <si>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</si>
  <si>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</si>
  <si>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</si>
  <si>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</si>
  <si>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</si>
  <si>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</si>
  <si>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</si>
  <si>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</si>
  <si>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</si>
  <si>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</si>
  <si>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</si>
  <si>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</si>
  <si>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</si>
  <si>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</si>
  <si>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</si>
  <si>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</si>
  <si>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</si>
  <si>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</si>
  <si>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</si>
  <si>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</si>
  <si>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</si>
  <si>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</si>
  <si>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</si>
  <si>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</si>
  <si>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</si>
  <si>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</si>
  <si>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</si>
  <si>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</si>
  <si>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</si>
  <si>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</si>
  <si>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</si>
  <si>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</si>
  <si>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</si>
  <si>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</si>
  <si>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</si>
  <si>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</si>
  <si>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</si>
  <si>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</si>
  <si>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</si>
  <si>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</si>
  <si>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</si>
  <si>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</si>
  <si>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</si>
  <si>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</si>
  <si>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</si>
  <si>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</si>
  <si>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</si>
  <si>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</si>
  <si>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</si>
  <si>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</si>
  <si>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</si>
  <si>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</si>
  <si>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</si>
  <si>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</si>
  <si>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</si>
  <si>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</si>
  <si>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</si>
  <si>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</si>
  <si>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</si>
  <si>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</si>
  <si>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</si>
  <si>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</si>
  <si>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</si>
  <si>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</si>
  <si>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</si>
  <si>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</si>
  <si>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</si>
  <si>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</si>
  <si>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</si>
  <si>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</si>
  <si>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</si>
  <si>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</si>
  <si>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</si>
  <si>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</si>
  <si>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</si>
  <si>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</si>
  <si>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</si>
  <si>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</si>
  <si>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</si>
  <si>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</si>
  <si>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</si>
  <si>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</si>
  <si>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</si>
  <si>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</si>
  <si>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</si>
  <si>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</si>
  <si>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</si>
  <si>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</si>
  <si>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</si>
  <si>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</si>
  <si>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</si>
  <si>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</si>
  <si>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</si>
  <si>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</si>
  <si>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</si>
  <si>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</si>
  <si>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</si>
  <si>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</si>
  <si>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</si>
  <si>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</si>
  <si>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</si>
  <si>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</si>
  <si>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</si>
  <si>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</si>
  <si>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</si>
  <si>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</si>
  <si>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</si>
  <si>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</si>
  <si>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</si>
  <si>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</si>
  <si>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</si>
  <si>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</si>
  <si>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</si>
  <si>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</si>
  <si>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</si>
  <si>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</si>
  <si>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</si>
  <si>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</si>
  <si>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</si>
  <si>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</si>
  <si>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</si>
  <si>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</si>
  <si>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</si>
  <si>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</si>
  <si>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</si>
  <si>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</si>
  <si>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</si>
  <si>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</si>
  <si>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</si>
  <si>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</si>
  <si>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</si>
  <si>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</si>
  <si>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</si>
  <si>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</si>
  <si>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</si>
  <si>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</si>
  <si>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</si>
  <si>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</si>
  <si>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</si>
  <si>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</si>
  <si>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</si>
  <si>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</si>
  <si>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</si>
  <si>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</si>
  <si>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</si>
  <si>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</si>
  <si>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</si>
  <si>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</si>
  <si>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</si>
  <si>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</si>
  <si>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</si>
  <si>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</si>
  <si>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</si>
  <si>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</si>
  <si>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</si>
  <si>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</si>
  <si>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</si>
  <si>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</si>
  <si>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</si>
  <si>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</si>
  <si>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</si>
  <si>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</si>
  <si>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</si>
  <si>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</si>
  <si>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</si>
  <si>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</si>
  <si>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</si>
  <si>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</si>
  <si>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</si>
  <si>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</si>
  <si>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</si>
  <si>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</si>
  <si>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</si>
  <si>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</si>
  <si>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</si>
  <si>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</si>
  <si>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</si>
  <si>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</si>
  <si>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</si>
  <si>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</si>
  <si>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</si>
  <si>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</si>
  <si>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</si>
  <si>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</si>
  <si>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</si>
  <si>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</si>
  <si>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</si>
  <si>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</si>
  <si>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</si>
  <si>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</si>
  <si>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</si>
  <si>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</si>
  <si>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</si>
  <si>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</si>
  <si>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</si>
  <si>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</si>
  <si>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</si>
  <si>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</si>
  <si>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</si>
  <si>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</si>
  <si>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</si>
  <si>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</si>
  <si>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</si>
  <si>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</si>
  <si>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</si>
  <si>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</si>
  <si>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</si>
  <si>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</si>
  <si>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</si>
  <si>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</si>
  <si>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</si>
  <si>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</si>
  <si>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</si>
  <si>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</si>
  <si>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</si>
  <si>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</si>
  <si>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</si>
  <si>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</si>
  <si>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</si>
  <si>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</si>
  <si>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</si>
  <si>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</si>
  <si>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</si>
  <si>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</si>
  <si>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</si>
  <si>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</si>
  <si>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</si>
  <si>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</si>
  <si>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</si>
  <si>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</si>
  <si>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</si>
  <si>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</si>
  <si>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</si>
  <si>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</si>
  <si>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</si>
  <si>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</si>
  <si>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</si>
  <si>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</si>
  <si>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</si>
  <si>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</si>
  <si>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</si>
  <si>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</si>
  <si>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</si>
  <si>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</si>
  <si>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</si>
  <si>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</si>
  <si>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</si>
  <si>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</si>
  <si>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</si>
  <si>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</si>
  <si>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</si>
  <si>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</si>
  <si>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</si>
  <si>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</si>
  <si>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</si>
  <si>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</si>
  <si>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</si>
  <si>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</si>
  <si>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</si>
  <si>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</si>
  <si>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</si>
  <si>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</si>
  <si>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</si>
  <si>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</si>
  <si>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</si>
  <si>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</si>
  <si>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</si>
  <si>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</si>
  <si>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</si>
  <si>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</si>
  <si>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</si>
  <si>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</si>
  <si>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</si>
  <si>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</si>
  <si>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</si>
  <si>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</si>
  <si>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</si>
  <si>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</si>
  <si>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</si>
  <si>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</si>
  <si>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</si>
  <si>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</si>
  <si>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</si>
  <si>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</si>
  <si>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</si>
  <si>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</si>
  <si>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</si>
  <si>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</si>
  <si>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</si>
  <si>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</si>
  <si>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</si>
  <si>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</si>
  <si>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</si>
  <si>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</si>
  <si>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</si>
  <si>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</si>
  <si>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</si>
  <si>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</si>
  <si>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</si>
  <si>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</si>
  <si>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</si>
  <si>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</si>
  <si>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</si>
  <si>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</si>
  <si>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</si>
  <si>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</si>
  <si>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</si>
  <si>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</si>
  <si>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</si>
  <si>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</si>
  <si>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</si>
  <si>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</si>
  <si>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</si>
  <si>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</si>
  <si>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</si>
  <si>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</si>
  <si>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</si>
  <si>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</si>
  <si>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</si>
  <si>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</si>
  <si>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</si>
  <si>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</si>
  <si>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</si>
  <si>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</si>
  <si>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</si>
  <si>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</si>
  <si>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</si>
  <si>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</si>
  <si>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</si>
  <si>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</si>
  <si>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</si>
  <si>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</si>
  <si>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</si>
  <si>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</si>
  <si>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</si>
  <si>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</si>
  <si>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</si>
  <si>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</si>
  <si>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</si>
  <si>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</si>
  <si>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</si>
  <si>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</si>
  <si>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</si>
  <si>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</si>
  <si>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</si>
  <si>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</si>
  <si>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</si>
  <si>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</si>
  <si>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</si>
  <si>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</si>
  <si>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</si>
  <si>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</si>
  <si>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</si>
  <si>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</si>
  <si>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</si>
  <si>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</si>
  <si>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</si>
  <si>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</si>
  <si>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</si>
  <si>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</si>
  <si>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</si>
  <si>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</si>
  <si>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</si>
  <si>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</si>
  <si>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</si>
  <si>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</si>
  <si>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</si>
  <si>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</si>
  <si>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</si>
  <si>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</si>
  <si>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</si>
  <si>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</si>
  <si>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</si>
  <si>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</si>
  <si>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</si>
  <si>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</si>
  <si>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</si>
  <si>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</si>
  <si>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</si>
  <si>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</si>
  <si>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</si>
  <si>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</si>
  <si>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</si>
  <si>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</si>
  <si>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</si>
  <si>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</si>
  <si>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</si>
  <si>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</si>
  <si>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</si>
  <si>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</si>
  <si>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</si>
  <si>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</si>
  <si>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</si>
  <si>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</si>
  <si>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</si>
  <si>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</si>
  <si>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</si>
  <si>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</si>
  <si>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</si>
  <si>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</si>
  <si>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</si>
  <si>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</si>
  <si>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</si>
  <si>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</si>
  <si>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</si>
  <si>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</si>
  <si>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</si>
  <si>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</si>
  <si>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</si>
  <si>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</si>
  <si>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</si>
  <si>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</si>
  <si>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</si>
  <si>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</si>
  <si>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</si>
  <si>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</si>
  <si>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</si>
  <si>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</si>
  <si>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</si>
  <si>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</si>
  <si>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</si>
  <si>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</si>
  <si>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</si>
  <si>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</si>
  <si>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</si>
  <si>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</si>
  <si>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</si>
  <si>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</si>
  <si>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</si>
  <si>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</si>
  <si>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</si>
  <si>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</si>
  <si>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</si>
  <si>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</si>
  <si>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</si>
  <si>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</si>
  <si>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</si>
  <si>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</si>
  <si>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</si>
  <si>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</si>
  <si>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</si>
  <si>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</si>
  <si>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</si>
  <si>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</si>
  <si>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</si>
  <si>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</si>
  <si>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</si>
  <si>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</si>
  <si>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</si>
  <si>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</si>
  <si>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</si>
  <si>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</si>
  <si>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</si>
  <si>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</si>
  <si>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</si>
  <si>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</si>
  <si>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</si>
  <si>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</si>
  <si>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</si>
  <si>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</si>
  <si>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</si>
  <si>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</si>
  <si>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</si>
  <si>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</si>
  <si>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</si>
  <si>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</si>
  <si>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</si>
  <si>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</si>
  <si>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</si>
  <si>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</si>
  <si>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</si>
  <si>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</si>
  <si>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</si>
  <si>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</si>
  <si>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</si>
  <si>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</si>
  <si>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</si>
  <si>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</si>
  <si>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</si>
  <si>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</si>
  <si>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</si>
  <si>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</si>
  <si>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</si>
  <si>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</si>
  <si>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</si>
  <si>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</si>
  <si>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</si>
  <si>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</si>
  <si>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</si>
  <si>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</si>
  <si>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</si>
  <si>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</si>
  <si>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</si>
  <si>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</si>
  <si>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</si>
  <si>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</si>
  <si>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</si>
  <si>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</si>
  <si>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</si>
  <si>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</si>
  <si>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</si>
  <si>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</si>
  <si>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</si>
  <si>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</si>
  <si>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</si>
  <si>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</si>
  <si>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</si>
  <si>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</si>
  <si>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</si>
  <si>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</si>
  <si>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</si>
  <si>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</si>
  <si>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</si>
  <si>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</si>
  <si>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</si>
  <si>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</si>
  <si>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</si>
  <si>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</si>
  <si>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</si>
  <si>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</si>
  <si>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</si>
  <si>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</si>
  <si>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</si>
  <si>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</si>
  <si>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</si>
  <si>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</si>
  <si>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</si>
  <si>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</si>
  <si>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</si>
  <si>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</si>
  <si>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</si>
  <si>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</si>
  <si>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</si>
  <si>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</si>
  <si>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</si>
  <si>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</si>
  <si>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</si>
  <si>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</si>
  <si>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</si>
  <si>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</si>
  <si>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</si>
  <si>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</si>
  <si>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</si>
  <si>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</si>
  <si>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</si>
  <si>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</si>
  <si>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</si>
  <si>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</si>
  <si>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</si>
  <si>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</si>
  <si>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</si>
  <si>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</si>
  <si>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</si>
  <si>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</si>
  <si>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</si>
  <si>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</si>
  <si>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</si>
  <si>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</si>
  <si>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</si>
  <si>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</si>
  <si>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</si>
  <si>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</si>
  <si>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</si>
  <si>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</si>
  <si>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</si>
  <si>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</si>
  <si>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</si>
  <si>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</si>
  <si>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</si>
  <si>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</si>
  <si>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</si>
  <si>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</si>
  <si>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</si>
  <si>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</si>
  <si>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</si>
  <si>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</si>
  <si>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</si>
  <si>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</si>
  <si>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</si>
  <si>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</si>
  <si>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</si>
  <si>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</si>
  <si>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</si>
  <si>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</si>
  <si>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</si>
  <si>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</si>
  <si>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</si>
  <si>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</si>
  <si>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</si>
  <si>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</si>
  <si>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</si>
  <si>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</si>
  <si>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</si>
  <si>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</si>
  <si>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</si>
  <si>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</si>
  <si>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</si>
  <si>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</si>
  <si>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</si>
  <si>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</si>
  <si>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</si>
  <si>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</si>
  <si>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</si>
  <si>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</si>
  <si>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</si>
  <si>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</si>
  <si>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</si>
  <si>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</si>
  <si>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</si>
  <si>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</si>
  <si>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</si>
  <si>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</si>
  <si>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</si>
  <si>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</si>
  <si>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</si>
  <si>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</si>
  <si>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</si>
  <si>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</si>
  <si>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</si>
  <si>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</si>
  <si>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</si>
  <si>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</si>
  <si>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</si>
  <si>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</si>
  <si>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</si>
  <si>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</si>
  <si>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</si>
  <si>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</si>
  <si>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</si>
  <si>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</si>
  <si>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</si>
  <si>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</si>
  <si>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</si>
  <si>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</si>
  <si>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</si>
  <si>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</si>
  <si>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</si>
  <si>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</si>
  <si>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</si>
  <si>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</si>
  <si>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</si>
  <si>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</si>
  <si>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</si>
  <si>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</si>
  <si>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</si>
  <si>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</si>
  <si>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</si>
  <si>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</si>
  <si>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</si>
  <si>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</si>
  <si>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</si>
  <si>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</si>
  <si>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</si>
  <si>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</si>
  <si>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</si>
  <si>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</si>
  <si>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</si>
  <si>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</si>
  <si>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</si>
  <si>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</si>
  <si>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</si>
  <si>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</si>
  <si>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</si>
  <si>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</si>
  <si>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</si>
  <si>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</si>
  <si>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</si>
  <si>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</si>
  <si>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</si>
  <si>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</si>
  <si>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</si>
  <si>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</si>
  <si>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</si>
  <si>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</si>
  <si>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</si>
  <si>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</si>
  <si>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</si>
  <si>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</si>
  <si>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</si>
  <si>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</si>
  <si>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</si>
  <si>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</si>
  <si>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</si>
  <si>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</si>
  <si>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</si>
  <si>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</si>
  <si>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</si>
  <si>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</si>
  <si>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</si>
  <si>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</si>
  <si>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</si>
  <si>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</si>
  <si>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</si>
  <si>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</si>
  <si>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</si>
  <si>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</si>
  <si>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</si>
  <si>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</si>
  <si>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</si>
  <si>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</si>
  <si>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</si>
  <si>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</si>
  <si>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</si>
  <si>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</si>
  <si>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</si>
  <si>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</si>
  <si>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</si>
  <si>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</si>
  <si>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</si>
  <si>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</si>
  <si>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</si>
  <si>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</si>
  <si>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</si>
  <si>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</si>
  <si>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</si>
  <si>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</si>
  <si>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</si>
  <si>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</si>
  <si>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</si>
  <si>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</si>
  <si>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</si>
  <si>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</si>
  <si>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</si>
  <si>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</si>
  <si>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</si>
  <si>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</si>
  <si>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</si>
  <si>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</si>
  <si>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</si>
  <si>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</si>
  <si>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</si>
  <si>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</si>
  <si>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</si>
  <si>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</si>
  <si>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</si>
  <si>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</si>
  <si>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</si>
  <si>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</si>
  <si>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</si>
  <si>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</si>
  <si>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</si>
  <si>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</si>
  <si>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</si>
  <si>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</si>
  <si>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</si>
  <si>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</si>
  <si>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</si>
  <si>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</si>
  <si>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</si>
  <si>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</si>
  <si>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</si>
  <si>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</si>
  <si>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</si>
  <si>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</si>
  <si>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</si>
  <si>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</si>
  <si>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</si>
  <si>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</si>
  <si>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</si>
  <si>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</si>
  <si>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</si>
  <si>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</si>
  <si>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</si>
  <si>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</si>
  <si>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</si>
  <si>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</si>
  <si>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</si>
  <si>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</si>
  <si>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</si>
  <si>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</si>
  <si>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</si>
  <si>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</si>
  <si>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</si>
  <si>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</si>
  <si>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</si>
  <si>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</si>
  <si>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</si>
  <si>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</si>
  <si>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</si>
  <si>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</si>
  <si>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</si>
  <si>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</si>
  <si>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</si>
  <si>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</si>
  <si>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</si>
  <si>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</si>
  <si>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</si>
  <si>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</si>
  <si>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</si>
  <si>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</si>
  <si>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</si>
  <si>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</si>
  <si>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</si>
  <si>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</si>
  <si>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</si>
  <si>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</si>
  <si>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</si>
  <si>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</si>
  <si>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</si>
  <si>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</si>
  <si>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</si>
  <si>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</si>
  <si>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</si>
  <si>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</si>
  <si>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</si>
  <si>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</si>
  <si>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</si>
  <si>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</si>
  <si>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</si>
  <si>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</si>
  <si>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</si>
  <si>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</si>
  <si>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</si>
  <si>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</si>
  <si>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</si>
  <si>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</si>
  <si>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</si>
  <si>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</si>
  <si>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</si>
  <si>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</si>
  <si>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</si>
  <si>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</si>
  <si>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</si>
  <si>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</si>
  <si>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</si>
  <si>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</si>
  <si>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</si>
  <si>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</si>
  <si>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</si>
  <si>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</si>
  <si>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</si>
  <si>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</si>
  <si>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</si>
  <si>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</si>
  <si>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</si>
  <si>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</si>
  <si>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</si>
  <si>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</si>
  <si>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</si>
  <si>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</si>
  <si>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</si>
  <si>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</si>
  <si>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</si>
  <si>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</si>
  <si>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</si>
  <si>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</si>
  <si>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</si>
  <si>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</si>
  <si>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</si>
  <si>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</si>
  <si>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</si>
  <si>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</si>
  <si>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</si>
  <si>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</si>
  <si>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</si>
  <si>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</si>
  <si>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</si>
  <si>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</si>
  <si>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</si>
  <si>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</si>
  <si>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</si>
  <si>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</si>
  <si>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</si>
  <si>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</si>
  <si>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</si>
  <si>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</si>
  <si>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</si>
  <si>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</si>
  <si>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</si>
  <si>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</si>
  <si>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</si>
  <si>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</si>
  <si>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</si>
  <si>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</si>
  <si>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</si>
  <si>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</si>
  <si>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</si>
  <si>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</si>
  <si>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</si>
  <si>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</si>
  <si>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</si>
  <si>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</si>
  <si>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</si>
  <si>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</si>
  <si>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</si>
  <si>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</si>
  <si>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</si>
  <si>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</si>
  <si>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</si>
  <si>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</si>
  <si>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</si>
  <si>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</si>
  <si>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</si>
  <si>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</si>
  <si>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</si>
  <si>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</si>
  <si>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</si>
  <si>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</si>
  <si>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</si>
  <si>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</si>
  <si>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</si>
  <si>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</si>
  <si>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</si>
  <si>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</si>
  <si>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</si>
  <si>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</si>
  <si>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</si>
  <si>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</si>
  <si>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</si>
  <si>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</si>
  <si>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</si>
  <si>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</si>
  <si>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</si>
  <si>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</si>
  <si>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</si>
  <si>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</si>
  <si>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</si>
  <si>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</si>
  <si>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</si>
  <si>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</si>
  <si>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</si>
  <si>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</si>
  <si>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</si>
  <si>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</si>
  <si>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</si>
  <si>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</si>
  <si>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</si>
  <si>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</si>
  <si>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</si>
  <si>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</si>
  <si>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</si>
  <si>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</si>
  <si>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</si>
  <si>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</si>
  <si>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</si>
  <si>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</si>
  <si>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</si>
  <si>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</si>
  <si>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</si>
  <si>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</si>
  <si>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</si>
  <si>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</si>
  <si>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</si>
  <si>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</si>
  <si>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</si>
  <si>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</si>
  <si>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</si>
  <si>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</si>
  <si>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</si>
  <si>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</si>
  <si>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</si>
  <si>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</si>
  <si>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</si>
  <si>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</si>
  <si>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</si>
  <si>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</si>
  <si>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</si>
  <si>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</si>
  <si>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</si>
  <si>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</si>
  <si>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</si>
  <si>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</si>
  <si>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</si>
  <si>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</si>
  <si>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</si>
  <si>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</si>
  <si>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</si>
  <si>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</si>
  <si>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</si>
  <si>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</si>
  <si>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</si>
  <si>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</si>
  <si>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</si>
  <si>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</si>
  <si>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</si>
  <si>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</si>
  <si>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</si>
  <si>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</si>
  <si>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</si>
  <si>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</si>
  <si>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</si>
  <si>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</si>
  <si>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</si>
  <si>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</si>
  <si>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</si>
  <si>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</si>
  <si>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</si>
  <si>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</si>
  <si>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</si>
  <si>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</si>
  <si>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</si>
  <si>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</si>
  <si>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</si>
  <si>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</si>
  <si>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</si>
  <si>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</si>
  <si>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</si>
  <si>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</si>
  <si>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</si>
  <si>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</si>
  <si>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</si>
  <si>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</si>
  <si>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</si>
  <si>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</si>
  <si>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</si>
  <si>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</si>
  <si>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</si>
  <si>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</si>
  <si>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</si>
  <si>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</si>
  <si>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</si>
  <si>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</si>
  <si>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</si>
  <si>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</si>
  <si>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</si>
  <si>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</si>
  <si>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</si>
  <si>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</si>
  <si>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</si>
  <si>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</si>
  <si>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</si>
  <si>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</si>
  <si>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</si>
  <si>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</si>
  <si>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</si>
  <si>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</si>
  <si>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</si>
  <si>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</si>
  <si>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</si>
  <si>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</si>
  <si>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</si>
  <si>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</si>
  <si>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</si>
  <si>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</si>
  <si>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</si>
  <si>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</si>
  <si>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</si>
  <si>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</si>
  <si>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</si>
  <si>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</si>
  <si>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</si>
  <si>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</si>
  <si>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</si>
  <si>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</si>
  <si>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</si>
  <si>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</si>
  <si>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</si>
  <si>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</si>
  <si>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</si>
  <si>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</si>
  <si>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</si>
  <si>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</si>
  <si>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</si>
  <si>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</si>
  <si>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</si>
  <si>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</si>
  <si>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</si>
  <si>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</si>
  <si>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</si>
  <si>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</si>
  <si>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</si>
  <si>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</si>
  <si>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</si>
  <si>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</si>
  <si>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</si>
  <si>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</si>
  <si>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</si>
  <si>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</si>
  <si>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</si>
  <si>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</si>
  <si>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</si>
  <si>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</si>
  <si>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</si>
  <si>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</si>
  <si>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</si>
  <si>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</si>
  <si>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</si>
  <si>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</si>
  <si>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</si>
  <si>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</si>
  <si>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</si>
  <si>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</si>
  <si>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</si>
  <si>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</si>
  <si>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</si>
  <si>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</si>
  <si>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</si>
  <si>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</si>
  <si>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</si>
  <si>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</si>
  <si>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</si>
  <si>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</si>
  <si>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</si>
  <si>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</si>
  <si>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</si>
  <si>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</si>
  <si>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</si>
  <si>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</si>
  <si>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</si>
  <si>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</si>
  <si>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</si>
  <si>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</si>
  <si>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</si>
  <si>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</si>
  <si>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</si>
  <si>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</si>
  <si>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</si>
  <si>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</si>
  <si>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</si>
  <si>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</si>
  <si>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</si>
  <si>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</si>
  <si>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</si>
  <si>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</si>
  <si>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</si>
  <si>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</si>
  <si>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</si>
  <si>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</si>
  <si>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</si>
  <si>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</si>
  <si>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</si>
  <si>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</si>
  <si>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</si>
  <si>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</si>
  <si>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</si>
  <si>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</si>
  <si>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</si>
  <si>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</si>
  <si>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</si>
  <si>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</si>
  <si>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</si>
  <si>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</si>
  <si>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</si>
  <si>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</si>
  <si>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</si>
  <si>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</si>
  <si>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</si>
  <si>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</si>
  <si>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</si>
  <si>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</si>
  <si>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</si>
  <si>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</si>
  <si>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</si>
  <si>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</si>
  <si>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</si>
  <si>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</si>
  <si>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</si>
  <si>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</si>
  <si>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</si>
  <si>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</si>
  <si>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</si>
  <si>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</si>
  <si>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</si>
  <si>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</si>
  <si>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</si>
  <si>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</si>
  <si>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</si>
  <si>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</si>
  <si>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</si>
  <si>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</si>
  <si>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</si>
  <si>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</si>
  <si>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</si>
  <si>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</si>
  <si>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</si>
  <si>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</si>
  <si>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</si>
  <si>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</si>
  <si>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</si>
  <si>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</si>
  <si>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</si>
  <si>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</si>
  <si>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</si>
  <si>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</si>
  <si>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</si>
  <si>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</si>
  <si>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</si>
  <si>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</si>
  <si>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</si>
  <si>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</si>
  <si>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</si>
  <si>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</si>
  <si>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</si>
  <si>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</si>
  <si>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</si>
  <si>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</si>
  <si>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</si>
  <si>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</si>
  <si>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</si>
  <si>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</si>
  <si>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</si>
  <si>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</si>
  <si>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</si>
  <si>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</si>
  <si>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</si>
  <si>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</si>
  <si>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</si>
  <si>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</si>
  <si>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</si>
  <si>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</si>
  <si>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</si>
  <si>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</si>
  <si>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</si>
  <si>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</si>
  <si>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</si>
  <si>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</si>
  <si>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</si>
  <si>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</si>
  <si>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</si>
  <si>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</si>
  <si>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</si>
  <si>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</si>
  <si>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</si>
  <si>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</si>
  <si>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</si>
  <si>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</si>
  <si>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</si>
  <si>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</si>
  <si>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</si>
  <si>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</si>
  <si>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</si>
  <si>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</si>
  <si>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</si>
  <si>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</si>
  <si>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</si>
  <si>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</si>
  <si>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</si>
  <si>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</si>
  <si>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</si>
  <si>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</si>
  <si>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</si>
  <si>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</si>
  <si>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</si>
  <si>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</si>
  <si>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</si>
  <si>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</si>
  <si>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</si>
  <si>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</si>
  <si>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</si>
  <si>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</si>
  <si>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</si>
  <si>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</si>
  <si>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</si>
  <si>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</si>
  <si>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</si>
  <si>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</si>
  <si>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</si>
  <si>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</si>
  <si>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</si>
  <si>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</si>
  <si>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</si>
  <si>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</si>
  <si>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</si>
  <si>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</si>
  <si>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</si>
  <si>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</si>
  <si>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</si>
  <si>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</si>
  <si>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</si>
  <si>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</si>
  <si>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</si>
  <si>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</si>
  <si>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</si>
  <si>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</si>
  <si>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</si>
  <si>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</si>
  <si>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</si>
  <si>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</si>
  <si>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</si>
  <si>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</si>
  <si>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</si>
  <si>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</si>
  <si>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</si>
  <si>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</si>
  <si>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</si>
  <si>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</si>
  <si>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</si>
  <si>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</si>
  <si>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</si>
  <si>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</si>
  <si>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</si>
  <si>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</si>
  <si>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</si>
  <si>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</si>
  <si>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</si>
  <si>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</si>
  <si>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</si>
  <si>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</si>
  <si>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</si>
  <si>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</si>
  <si>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</si>
  <si>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</si>
  <si>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</si>
  <si>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</si>
  <si>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</si>
  <si>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</si>
  <si>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</si>
  <si>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</si>
  <si>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</si>
  <si>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</si>
  <si>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</si>
  <si>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</si>
  <si>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</si>
  <si>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</si>
  <si>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</si>
  <si>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</si>
  <si>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</si>
  <si>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</si>
  <si>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</si>
  <si>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</si>
  <si>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</si>
  <si>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</si>
  <si>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</si>
  <si>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</si>
  <si>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</si>
  <si>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</si>
  <si>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</si>
  <si>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</si>
  <si>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</si>
  <si>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</si>
  <si>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</si>
  <si>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</si>
  <si>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</si>
  <si>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</si>
  <si>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</si>
  <si>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</si>
  <si>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</si>
  <si>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</si>
  <si>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</si>
  <si>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</si>
  <si>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</si>
  <si>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</si>
  <si>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</si>
  <si>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</si>
  <si>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</si>
  <si>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</si>
  <si>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</si>
  <si>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</si>
  <si>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</si>
  <si>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</si>
  <si>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</si>
  <si>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</si>
  <si>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</si>
  <si>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</si>
  <si>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</si>
  <si>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</si>
  <si>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</si>
  <si>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</si>
  <si>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</si>
  <si>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</si>
  <si>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</si>
  <si>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</si>
  <si>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</si>
  <si>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</si>
  <si>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</si>
  <si>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</si>
  <si>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</si>
  <si>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</si>
  <si>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</si>
  <si>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</si>
  <si>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</si>
  <si>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</si>
  <si>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</si>
  <si>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</si>
  <si>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</si>
  <si>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</si>
  <si>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</si>
  <si>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</si>
  <si>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</si>
  <si>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</si>
  <si>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</si>
  <si>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</si>
  <si>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</si>
  <si>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</si>
  <si>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</si>
  <si>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</si>
  <si>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</si>
  <si>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</si>
  <si>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</si>
  <si>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</si>
  <si>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</si>
  <si>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</si>
  <si>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</si>
  <si>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</si>
  <si>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</si>
  <si>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</si>
  <si>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</si>
  <si>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</si>
  <si>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</si>
  <si>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</si>
  <si>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</si>
  <si>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</si>
  <si>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</si>
  <si>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</si>
  <si>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</si>
  <si>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</si>
  <si>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</si>
  <si>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</si>
  <si>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</si>
  <si>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</si>
  <si>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</si>
  <si>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</si>
  <si>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</si>
  <si>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</si>
  <si>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</si>
  <si>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</si>
  <si>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</si>
  <si>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</si>
  <si>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</si>
  <si>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</si>
  <si>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</si>
  <si>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</si>
  <si>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</si>
  <si>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</si>
  <si>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</si>
  <si>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</si>
  <si>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</si>
  <si>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</si>
  <si>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</si>
  <si>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</si>
  <si>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</si>
  <si>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</si>
  <si>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</si>
  <si>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</si>
  <si>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</si>
  <si>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</si>
  <si>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</si>
  <si>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</si>
  <si>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</si>
  <si>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</si>
  <si>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</si>
  <si>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</si>
  <si>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</si>
  <si>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</si>
  <si>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</si>
  <si>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</si>
  <si>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</si>
  <si>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</si>
  <si>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</si>
  <si>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</si>
  <si>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</si>
  <si>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</si>
  <si>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</si>
  <si>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</si>
  <si>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</si>
  <si>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</si>
  <si>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</si>
  <si>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</si>
  <si>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</si>
  <si>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</si>
  <si>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</si>
  <si>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</si>
  <si>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</si>
  <si>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</si>
  <si>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</si>
  <si>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</si>
  <si>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</si>
  <si>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</si>
  <si>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</si>
  <si>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</si>
  <si>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</si>
  <si>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</si>
  <si>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</si>
  <si>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</si>
  <si>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</si>
  <si>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</si>
  <si>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</si>
  <si>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</si>
  <si>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</si>
  <si>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</si>
  <si>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</si>
  <si>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</si>
  <si>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</si>
  <si>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</si>
  <si>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</si>
  <si>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</si>
  <si>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</si>
  <si>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</si>
  <si>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</si>
  <si>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</si>
  <si>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</si>
  <si>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</si>
  <si>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</si>
  <si>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</si>
  <si>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</si>
  <si>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</si>
  <si>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</si>
  <si>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</si>
  <si>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</si>
  <si>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</si>
  <si>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</si>
  <si>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</si>
  <si>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</si>
  <si>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</si>
  <si>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</si>
  <si>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</si>
  <si>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</si>
  <si>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</si>
  <si>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</si>
  <si>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</si>
  <si>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</si>
  <si>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</si>
  <si>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</si>
  <si>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</si>
  <si>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</si>
  <si>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</si>
  <si>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</si>
  <si>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</si>
  <si>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</si>
  <si>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</si>
  <si>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</si>
  <si>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</si>
  <si>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</si>
  <si>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</si>
  <si>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</si>
  <si>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</si>
  <si>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</si>
  <si>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</si>
  <si>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</si>
  <si>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</si>
  <si>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</si>
  <si>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</si>
  <si>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</si>
  <si>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</si>
  <si>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</si>
  <si>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</si>
  <si>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</si>
  <si>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</si>
  <si>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</si>
  <si>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</si>
  <si>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</si>
  <si>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</si>
  <si>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</si>
  <si>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</si>
  <si>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</si>
  <si>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</si>
  <si>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</si>
  <si>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</si>
  <si>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</si>
  <si>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</si>
  <si>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</si>
  <si>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</si>
  <si>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</si>
  <si>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</si>
  <si>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</si>
  <si>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</si>
  <si>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</si>
  <si>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</si>
  <si>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</si>
  <si>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</si>
  <si>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</si>
  <si>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</si>
  <si>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</si>
  <si>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</si>
  <si>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</si>
  <si>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</si>
  <si>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</si>
  <si>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</si>
  <si>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</si>
  <si>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</si>
  <si>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</si>
  <si>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</si>
  <si>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</si>
  <si>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</si>
  <si>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</si>
  <si>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</si>
  <si>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</si>
  <si>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</si>
  <si>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</si>
  <si>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</si>
  <si>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</si>
  <si>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</si>
  <si>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</si>
  <si>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</si>
  <si>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</si>
  <si>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</si>
  <si>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</si>
  <si>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</si>
  <si>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</si>
  <si>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</si>
  <si>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</si>
  <si>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</si>
  <si>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</si>
  <si>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</si>
  <si>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</si>
  <si>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</si>
  <si>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</si>
  <si>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</si>
  <si>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</si>
  <si>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</si>
  <si>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</si>
  <si>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</si>
  <si>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</si>
  <si>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</si>
  <si>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</si>
  <si>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</si>
  <si>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</si>
  <si>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</si>
  <si>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</si>
  <si>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</si>
  <si>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</si>
  <si>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</si>
  <si>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</si>
  <si>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</si>
  <si>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</si>
  <si>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</si>
  <si>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</si>
  <si>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</si>
  <si>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</si>
  <si>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</si>
  <si>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</si>
  <si>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</si>
  <si>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</si>
  <si>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</si>
  <si>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</si>
  <si>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</si>
  <si>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</si>
  <si>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</si>
  <si>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</si>
  <si>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</si>
  <si>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</si>
  <si>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</si>
  <si>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</si>
  <si>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</si>
  <si>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</si>
  <si>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</si>
  <si>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</si>
  <si>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</si>
  <si>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</si>
  <si>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</si>
  <si>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</si>
  <si>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</si>
  <si>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</si>
  <si>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</si>
  <si>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</si>
  <si>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</si>
  <si>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</si>
  <si>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</si>
  <si>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</si>
  <si>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</si>
  <si>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</si>
  <si>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</si>
  <si>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</si>
  <si>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</si>
  <si>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</si>
  <si>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</si>
  <si>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</si>
  <si>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</si>
  <si>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</si>
  <si>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</si>
  <si>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</si>
  <si>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</si>
  <si>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</si>
  <si>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</si>
  <si>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</si>
  <si>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</si>
  <si>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</si>
  <si>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</si>
  <si>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</si>
  <si>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</si>
  <si>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</si>
  <si>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</si>
  <si>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</si>
  <si>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</si>
  <si>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</si>
  <si>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</si>
  <si>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</si>
  <si>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</si>
  <si>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</si>
  <si>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</si>
  <si>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</si>
  <si>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</si>
  <si>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</si>
  <si>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</si>
  <si>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</si>
  <si>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</si>
  <si>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</si>
  <si>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</si>
  <si>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</si>
  <si>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</si>
  <si>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</si>
  <si>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</si>
  <si>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</si>
  <si>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</si>
  <si>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</si>
  <si>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</si>
  <si>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</si>
  <si>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</si>
  <si>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</si>
  <si>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</si>
  <si>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</si>
  <si>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</si>
  <si>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</si>
  <si>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</si>
  <si>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</si>
  <si>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</si>
  <si>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</si>
  <si>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</si>
  <si>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</si>
  <si>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</si>
  <si>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</si>
  <si>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</si>
  <si>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</si>
  <si>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</si>
  <si>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</si>
  <si>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</si>
  <si>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</si>
  <si>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</si>
  <si>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</si>
  <si>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</si>
  <si>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</si>
  <si>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</si>
  <si>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</si>
  <si>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</si>
  <si>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</si>
  <si>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</si>
  <si>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</si>
  <si>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</si>
  <si>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</si>
  <si>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</si>
  <si>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</si>
  <si>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</si>
  <si>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</si>
  <si>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</si>
  <si>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</si>
  <si>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</si>
  <si>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</si>
  <si>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</si>
  <si>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</si>
  <si>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</si>
  <si>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</si>
  <si>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</si>
  <si>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</si>
  <si>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</si>
  <si>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</si>
  <si>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</si>
  <si>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</si>
  <si>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</si>
  <si>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</si>
  <si>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</si>
  <si>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</si>
  <si>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</si>
  <si>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</si>
  <si>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</si>
  <si>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</si>
  <si>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</si>
  <si>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</si>
  <si>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</si>
  <si>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</si>
  <si>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</si>
  <si>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</si>
  <si>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</si>
  <si>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</si>
  <si>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</si>
  <si>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</si>
  <si>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</si>
  <si>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</si>
  <si>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</si>
  <si>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</si>
  <si>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</si>
  <si>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</si>
  <si>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</si>
  <si>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</si>
  <si>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</si>
  <si>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</si>
  <si>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</si>
  <si>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</si>
  <si>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</si>
  <si>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</si>
  <si>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</si>
  <si>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</si>
  <si>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</si>
  <si>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</si>
  <si>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</si>
  <si>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</si>
  <si>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</si>
  <si>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</si>
  <si>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</si>
  <si>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</si>
  <si>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</si>
  <si>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</si>
  <si>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</si>
  <si>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</si>
  <si>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</si>
  <si>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</si>
  <si>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</si>
  <si>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</si>
  <si>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</si>
  <si>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</si>
  <si>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</si>
  <si>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</si>
  <si>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</si>
  <si>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</si>
  <si>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</si>
  <si>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</si>
  <si>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</si>
  <si>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</si>
  <si>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</si>
  <si>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</si>
  <si>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</si>
  <si>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</si>
  <si>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</si>
  <si>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</si>
  <si>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</si>
  <si>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</si>
  <si>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</si>
  <si>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</si>
  <si>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</si>
  <si>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</si>
  <si>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</si>
  <si>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</si>
  <si>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</si>
  <si>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</si>
  <si>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</si>
  <si>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</si>
  <si>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</si>
  <si>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</si>
  <si>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</si>
  <si>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</si>
  <si>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</si>
  <si>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</si>
  <si>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</si>
  <si>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</si>
  <si>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</si>
  <si>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</si>
  <si>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</si>
  <si>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</si>
  <si>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</si>
  <si>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</si>
  <si>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</si>
  <si>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</si>
  <si>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</si>
  <si>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</si>
  <si>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</si>
  <si>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</si>
  <si>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</si>
  <si>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</si>
  <si>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</si>
  <si>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</si>
  <si>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</si>
  <si>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</si>
  <si>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</si>
  <si>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</si>
  <si>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</si>
  <si>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</si>
  <si>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</si>
  <si>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</si>
  <si>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</si>
  <si>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</si>
  <si>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</si>
  <si>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</si>
  <si>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</si>
  <si>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</si>
  <si>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</si>
  <si>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</si>
  <si>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</si>
  <si>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</si>
  <si>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</si>
  <si>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</si>
  <si>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</si>
  <si>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</si>
  <si>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</si>
  <si>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</si>
  <si>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</si>
  <si>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</si>
  <si>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</si>
  <si>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</si>
  <si>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</si>
  <si>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</si>
  <si>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</si>
  <si>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</si>
  <si>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</si>
  <si>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</si>
  <si>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</si>
  <si>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</si>
  <si>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</si>
  <si>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</si>
  <si>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</si>
  <si>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</si>
  <si>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</si>
  <si>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</si>
  <si>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</si>
  <si>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</si>
  <si>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</si>
  <si>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</si>
  <si>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</si>
  <si>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</si>
  <si>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</si>
  <si>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</si>
  <si>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</si>
  <si>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</si>
  <si>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</si>
  <si>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</si>
  <si>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</si>
  <si>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</si>
  <si>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</si>
  <si>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</si>
  <si>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</si>
  <si>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</si>
  <si>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</si>
  <si>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</si>
  <si>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</si>
  <si>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</si>
  <si>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</si>
  <si>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</si>
  <si>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</si>
  <si>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</si>
  <si>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</si>
  <si>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</si>
  <si>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</si>
  <si>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</si>
  <si>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</si>
  <si>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</si>
  <si>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</si>
  <si>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</si>
  <si>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</si>
  <si>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</si>
  <si>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</si>
  <si>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</si>
  <si>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</si>
  <si>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</si>
  <si>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</si>
  <si>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</si>
  <si>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</si>
  <si>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</si>
  <si>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</si>
  <si>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</si>
  <si>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</si>
  <si>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</si>
  <si>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</si>
  <si>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</si>
  <si>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</si>
  <si>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</si>
  <si>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</si>
  <si>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</si>
  <si>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</si>
  <si>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</si>
  <si>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</si>
  <si>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</si>
  <si>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</si>
  <si>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</si>
  <si>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</si>
  <si>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</si>
  <si>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</si>
  <si>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</si>
  <si>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</si>
  <si>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</si>
  <si>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</si>
  <si>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</si>
  <si>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</si>
  <si>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</si>
  <si>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</si>
  <si>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</si>
  <si>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</si>
  <si>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</si>
  <si>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</si>
  <si>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</si>
  <si>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</si>
  <si>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</si>
  <si>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</si>
  <si>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</si>
  <si>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</si>
  <si>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</si>
  <si>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</si>
  <si>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</si>
  <si>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</si>
  <si>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</si>
  <si>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</si>
  <si>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</si>
  <si>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</si>
  <si>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</si>
  <si>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</si>
  <si>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</si>
  <si>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</si>
  <si>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</si>
  <si>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</si>
  <si>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</si>
  <si>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</si>
  <si>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</si>
  <si>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</si>
  <si>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</si>
  <si>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</si>
  <si>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</si>
  <si>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</si>
  <si>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</si>
  <si>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</si>
  <si>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</si>
  <si>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</si>
  <si>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</si>
  <si>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</si>
  <si>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</si>
  <si>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</si>
  <si>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</si>
  <si>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</si>
  <si>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</si>
  <si>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</si>
  <si>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</si>
  <si>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</si>
  <si>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</si>
  <si>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</si>
  <si>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</si>
  <si>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</si>
  <si>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</si>
  <si>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</si>
  <si>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</si>
  <si>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</si>
  <si>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</si>
  <si>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</si>
  <si>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</si>
  <si>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</si>
  <si>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</si>
  <si>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</si>
  <si>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</si>
  <si>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</si>
  <si>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</si>
  <si>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</si>
  <si>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</si>
  <si>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</si>
  <si>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</si>
  <si>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</si>
  <si>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</si>
  <si>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</si>
  <si>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</si>
  <si>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</si>
  <si>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</si>
  <si>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</si>
  <si>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</si>
  <si>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</si>
  <si>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</si>
  <si>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</si>
  <si>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</si>
  <si>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</si>
  <si>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</si>
  <si>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</si>
  <si>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</si>
  <si>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</si>
  <si>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</si>
  <si>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</si>
  <si>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</si>
  <si>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</si>
  <si>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</si>
  <si>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</si>
  <si>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</si>
  <si>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</si>
  <si>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</si>
  <si>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</si>
  <si>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</si>
  <si>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</si>
  <si>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</si>
  <si>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</si>
  <si>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</si>
  <si>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</si>
  <si>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</si>
  <si>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</si>
  <si>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</si>
  <si>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</si>
  <si>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</si>
  <si>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</si>
  <si>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</si>
  <si>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</si>
  <si>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</si>
  <si>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</si>
  <si>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</si>
  <si>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</si>
  <si>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</si>
  <si>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</si>
  <si>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</si>
  <si>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</si>
  <si>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</si>
  <si>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</si>
  <si>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</si>
  <si>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</si>
  <si>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</si>
  <si>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</si>
  <si>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</si>
  <si>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</si>
  <si>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</si>
  <si>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</si>
  <si>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</si>
  <si>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</si>
  <si>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</si>
  <si>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</si>
  <si>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</si>
  <si>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</si>
  <si>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</si>
  <si>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</si>
  <si>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</si>
  <si>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</si>
  <si>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</si>
  <si>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</si>
  <si>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</si>
  <si>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</si>
  <si>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</si>
  <si>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</si>
  <si>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</si>
  <si>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</si>
  <si>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</si>
  <si>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</si>
  <si>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</si>
  <si>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</si>
  <si>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</si>
  <si>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</si>
  <si>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</si>
  <si>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</si>
  <si>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</si>
  <si>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</si>
  <si>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</si>
  <si>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</si>
  <si>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</si>
  <si>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</si>
  <si>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</si>
  <si>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</si>
  <si>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</si>
  <si>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</si>
  <si>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</si>
  <si>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</si>
  <si>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</si>
  <si>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</si>
  <si>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</si>
  <si>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</si>
  <si>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</si>
  <si>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</si>
  <si>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</si>
  <si>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</si>
  <si>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</si>
  <si>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</si>
  <si>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</si>
  <si>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</si>
  <si>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</si>
  <si>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</si>
  <si>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</si>
  <si>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</si>
  <si>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</si>
  <si>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</si>
  <si>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</si>
  <si>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</si>
  <si>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</si>
  <si>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</si>
  <si>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</si>
  <si>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</si>
  <si>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</si>
  <si>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</si>
  <si>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</si>
  <si>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</si>
  <si>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</si>
  <si>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</si>
  <si>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</si>
  <si>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</si>
  <si>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</si>
  <si>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</si>
  <si>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</si>
  <si>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</si>
  <si>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</si>
  <si>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</si>
  <si>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</si>
  <si>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</si>
  <si>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</si>
  <si>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</si>
  <si>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</si>
  <si>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</si>
  <si>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</si>
  <si>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</si>
  <si>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</si>
  <si>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</si>
  <si>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</si>
  <si>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</si>
  <si>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</si>
  <si>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</si>
  <si>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</si>
  <si>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</si>
  <si>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</si>
  <si>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</si>
  <si>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</si>
  <si>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</si>
  <si>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</si>
  <si>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</si>
  <si>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</si>
  <si>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</si>
  <si>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</si>
  <si>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</si>
  <si>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</si>
  <si>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</si>
  <si>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</si>
  <si>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</si>
  <si>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</si>
  <si>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</si>
  <si>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</si>
  <si>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</si>
  <si>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</si>
  <si>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</si>
  <si>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</si>
  <si>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</si>
  <si>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</si>
  <si>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</si>
  <si>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</si>
  <si>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</si>
  <si>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</si>
  <si>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</si>
  <si>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</si>
  <si>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</si>
  <si>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</si>
  <si>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</si>
  <si>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</si>
  <si>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</si>
  <si>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</si>
  <si>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</si>
  <si>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</si>
  <si>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</si>
  <si>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</si>
  <si>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</si>
  <si>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</si>
  <si>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</si>
  <si>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</si>
  <si>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</si>
  <si>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</si>
  <si>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</si>
  <si>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</si>
  <si>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</si>
  <si>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</si>
  <si>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</si>
  <si>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</si>
  <si>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</si>
  <si>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</si>
  <si>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</si>
  <si>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</si>
  <si>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</si>
  <si>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</si>
  <si>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</si>
  <si>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</si>
  <si>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</si>
  <si>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</si>
  <si>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</si>
  <si>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</si>
  <si>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</si>
  <si>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</si>
  <si>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</si>
  <si>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</si>
  <si>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</si>
  <si>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</si>
  <si>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</si>
  <si>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</si>
  <si>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</si>
  <si>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</si>
  <si>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</si>
  <si>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</si>
  <si>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</si>
  <si>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</si>
  <si>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</si>
  <si>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</si>
  <si>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</si>
  <si>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</si>
  <si>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</si>
  <si>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</si>
  <si>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</si>
  <si>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</si>
  <si>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</si>
  <si>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</si>
  <si>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</si>
  <si>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</si>
  <si>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</si>
  <si>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</si>
  <si>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</si>
  <si>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</si>
  <si>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</si>
  <si>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</si>
  <si>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</si>
  <si>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</si>
  <si>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</si>
  <si>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</si>
  <si>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</si>
  <si>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</si>
  <si>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</si>
  <si>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</si>
  <si>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</si>
  <si>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</si>
  <si>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</si>
  <si>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</si>
  <si>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</si>
  <si>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</si>
  <si>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</si>
  <si>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</si>
  <si>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</si>
  <si>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</si>
  <si>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</si>
  <si>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</si>
  <si>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</si>
  <si>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</si>
  <si>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</si>
  <si>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</si>
  <si>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</si>
  <si>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</si>
  <si>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</si>
  <si>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</si>
  <si>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</si>
  <si>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</si>
  <si>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</si>
  <si>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</si>
  <si>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</si>
  <si>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</si>
  <si>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</si>
  <si>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</si>
  <si>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</si>
  <si>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</si>
  <si>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</si>
  <si>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</si>
  <si>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</si>
  <si>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</si>
  <si>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</si>
  <si>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</si>
  <si>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</si>
  <si>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</si>
  <si>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</si>
  <si>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</si>
  <si>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</si>
  <si>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</si>
  <si>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</si>
  <si>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</si>
  <si>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</si>
  <si>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</si>
  <si>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</si>
  <si>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</si>
  <si>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</si>
  <si>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</si>
  <si>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</si>
  <si>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</si>
  <si>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</si>
  <si>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</si>
  <si>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</si>
  <si>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</si>
  <si>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</si>
  <si>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</si>
  <si>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</si>
  <si>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</si>
  <si>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</si>
  <si>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</si>
  <si>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</si>
  <si>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</si>
  <si>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</si>
  <si>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</si>
  <si>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</si>
  <si>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</si>
  <si>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</si>
  <si>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</si>
  <si>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</si>
  <si>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</si>
  <si>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</si>
  <si>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</si>
  <si>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</si>
  <si>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</si>
  <si>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</si>
  <si>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</si>
  <si>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</si>
  <si>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</si>
  <si>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</si>
  <si>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</si>
  <si>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</si>
  <si>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</si>
  <si>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</si>
  <si>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</si>
  <si>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</si>
  <si>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</si>
  <si>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</si>
  <si>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</si>
  <si>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</si>
  <si>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</si>
  <si>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</si>
  <si>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</si>
  <si>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</si>
  <si>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</si>
  <si>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</si>
  <si>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</si>
  <si>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</si>
  <si>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</si>
  <si>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</si>
  <si>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</si>
  <si>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</si>
  <si>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</si>
  <si>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</si>
  <si>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</si>
  <si>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</si>
  <si>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</si>
  <si>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</si>
  <si>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</si>
  <si>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</si>
  <si>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</si>
  <si>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</si>
  <si>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</si>
  <si>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</si>
  <si>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</si>
  <si>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</si>
  <si>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</si>
  <si>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</si>
  <si>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</si>
  <si>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</si>
  <si>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</si>
  <si>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</si>
  <si>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</si>
  <si>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</si>
  <si>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</si>
  <si>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</si>
  <si>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</si>
  <si>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</si>
  <si>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</si>
  <si>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</si>
  <si>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</si>
  <si>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</si>
  <si>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</si>
  <si>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</si>
  <si>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</si>
  <si>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</si>
  <si>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</si>
  <si>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</si>
  <si>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</si>
  <si>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</si>
  <si>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</si>
  <si>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</si>
  <si>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</si>
  <si>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</si>
  <si>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</si>
  <si>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</si>
  <si>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</si>
  <si>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</si>
  <si>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</si>
  <si>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</si>
  <si>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</si>
  <si>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</si>
  <si>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</si>
  <si>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</si>
  <si>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</si>
  <si>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</si>
  <si>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</si>
  <si>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</si>
  <si>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</si>
  <si>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</si>
  <si>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</si>
  <si>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</si>
  <si>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</si>
  <si>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</si>
  <si>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</si>
  <si>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</si>
  <si>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</si>
  <si>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</si>
  <si>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</si>
  <si>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</si>
  <si>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</si>
  <si>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</si>
  <si>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</si>
  <si>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</si>
  <si>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</si>
  <si>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</si>
  <si>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</si>
  <si>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</si>
  <si>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</si>
  <si>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</si>
  <si>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</si>
  <si>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</si>
  <si>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</si>
  <si>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</si>
  <si>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</si>
  <si>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</si>
  <si>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</si>
  <si>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</si>
  <si>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</si>
  <si>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</si>
  <si>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</si>
  <si>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</si>
  <si>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</si>
  <si>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</si>
  <si>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</si>
  <si>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</si>
  <si>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</si>
  <si>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</si>
  <si>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</si>
  <si>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</si>
  <si>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</si>
  <si>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</si>
  <si>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</si>
  <si>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</si>
  <si>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</si>
  <si>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</si>
  <si>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</si>
  <si>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</si>
  <si>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</si>
  <si>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</si>
  <si>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</si>
  <si>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</si>
  <si>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</si>
  <si>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</si>
  <si>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</si>
  <si>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</si>
  <si>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</si>
  <si>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</si>
  <si>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</si>
  <si>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</si>
  <si>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</si>
  <si>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</si>
  <si>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</si>
  <si>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</si>
  <si>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</si>
  <si>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</si>
  <si>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</si>
  <si>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</si>
  <si>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</si>
  <si>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</si>
  <si>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</si>
  <si>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</si>
  <si>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</si>
  <si>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</si>
  <si>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</si>
  <si>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</si>
  <si>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</si>
  <si>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</si>
  <si>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</si>
  <si>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</si>
  <si>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</si>
  <si>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</si>
  <si>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</si>
  <si>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</si>
  <si>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</si>
  <si>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</si>
  <si>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</si>
  <si>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</si>
  <si>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</si>
  <si>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</si>
  <si>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</si>
  <si>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</si>
  <si>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</si>
  <si>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</si>
  <si>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</si>
  <si>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</si>
  <si>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</si>
  <si>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</si>
  <si>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</si>
  <si>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</si>
  <si>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</si>
  <si>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</si>
  <si>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</si>
  <si>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</si>
  <si>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</si>
  <si>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</si>
  <si>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</si>
  <si>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</si>
  <si>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</si>
  <si>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</si>
  <si>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</si>
  <si>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</si>
  <si>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</si>
  <si>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</si>
  <si>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</si>
  <si>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</si>
  <si>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</si>
  <si>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</si>
  <si>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</si>
  <si>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</si>
  <si>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</si>
  <si>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</si>
  <si>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</si>
  <si>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</si>
  <si>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</si>
  <si>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</si>
  <si>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</si>
  <si>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</si>
  <si>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</si>
  <si>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</si>
  <si>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</si>
  <si>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</si>
  <si>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</si>
  <si>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</si>
  <si>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</si>
  <si>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</si>
  <si>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</si>
  <si>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</si>
  <si>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</si>
  <si>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</si>
  <si>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</si>
  <si>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</si>
  <si>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</si>
  <si>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</si>
  <si>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</si>
  <si>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</si>
  <si>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</si>
  <si>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</si>
  <si>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</si>
  <si>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</si>
  <si>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</si>
  <si>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</si>
  <si>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</si>
  <si>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</si>
  <si>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</si>
  <si>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</si>
  <si>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</si>
  <si>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</si>
  <si>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</si>
  <si>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</si>
  <si>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</si>
  <si>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</si>
  <si>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</si>
  <si>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</si>
  <si>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</si>
  <si>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</si>
  <si>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</si>
  <si>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</si>
  <si>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</si>
  <si>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</si>
  <si>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</si>
  <si>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</si>
  <si>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</si>
  <si>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</si>
  <si>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</si>
  <si>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</si>
  <si>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</si>
  <si>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</si>
  <si>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</si>
  <si>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</si>
  <si>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</si>
  <si>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</si>
  <si>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</si>
  <si>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</si>
  <si>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</si>
  <si>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</si>
  <si>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</si>
  <si>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</si>
  <si>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</si>
  <si>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</si>
  <si>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</si>
  <si>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</si>
  <si>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</si>
  <si>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</si>
  <si>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</si>
  <si>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</si>
  <si>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</si>
  <si>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</si>
  <si>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</si>
  <si>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</si>
  <si>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</si>
  <si>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</si>
  <si>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</si>
  <si>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</si>
  <si>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</si>
  <si>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</si>
  <si>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</si>
  <si>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</si>
  <si>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</si>
  <si>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</si>
  <si>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</si>
  <si>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</si>
  <si>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</si>
  <si>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</si>
  <si>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</si>
  <si>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</si>
  <si>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</si>
  <si>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</si>
  <si>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</si>
  <si>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</si>
  <si>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</si>
  <si>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</si>
  <si>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</si>
  <si>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</si>
  <si>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</si>
  <si>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</si>
  <si>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</si>
  <si>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</si>
  <si>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</si>
  <si>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</si>
  <si>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</si>
  <si>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</si>
  <si>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</si>
  <si>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</si>
  <si>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</si>
  <si>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</si>
  <si>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</si>
  <si>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</si>
  <si>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</si>
  <si>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</si>
  <si>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</si>
  <si>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</si>
  <si>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</si>
  <si>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</si>
  <si>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</si>
  <si>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</si>
  <si>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</si>
  <si>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</si>
  <si>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</si>
  <si>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</si>
  <si>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</si>
  <si>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</si>
  <si>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</si>
  <si>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</si>
  <si>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</si>
  <si>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</si>
  <si>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</si>
  <si>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</si>
  <si>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</si>
  <si>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</si>
  <si>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</si>
  <si>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</si>
  <si>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</si>
  <si>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</si>
  <si>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</si>
  <si>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</si>
  <si>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</si>
  <si>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</si>
  <si>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</si>
  <si>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</si>
  <si>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</si>
  <si>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</si>
  <si>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</si>
  <si>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</si>
  <si>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</si>
  <si>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</si>
  <si>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</si>
  <si>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</si>
  <si>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</si>
  <si>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</si>
  <si>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</si>
  <si>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</si>
  <si>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</si>
  <si>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</si>
  <si>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</si>
  <si>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</si>
  <si>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</si>
  <si>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</si>
  <si>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</si>
  <si>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</si>
  <si>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</si>
  <si>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</si>
  <si>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</si>
  <si>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</si>
  <si>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</si>
  <si>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</si>
  <si>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</si>
  <si>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</si>
  <si>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</si>
  <si>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</si>
  <si>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</si>
  <si>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</si>
  <si>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</si>
  <si>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</si>
  <si>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</si>
  <si>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</si>
  <si>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</si>
  <si>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</si>
  <si>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</si>
  <si>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</si>
  <si>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</si>
  <si>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</si>
  <si>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</si>
  <si>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</si>
  <si>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</si>
  <si>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</si>
  <si>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</si>
  <si>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</si>
  <si>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</si>
  <si>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</si>
  <si>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</si>
  <si>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</si>
  <si>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</si>
  <si>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</si>
  <si>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</si>
  <si>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</si>
  <si>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</si>
  <si>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</si>
  <si>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</si>
  <si>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</si>
  <si>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</si>
  <si>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</si>
  <si>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</si>
  <si>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</si>
  <si>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</si>
  <si>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</si>
  <si>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</si>
  <si>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</si>
  <si>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</si>
  <si>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</si>
  <si>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</si>
  <si>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</si>
  <si>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</si>
  <si>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</si>
  <si>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</si>
  <si>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</si>
  <si>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</si>
  <si>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</si>
  <si>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</si>
  <si>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</si>
  <si>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</si>
  <si>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</si>
  <si>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</si>
  <si>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</si>
  <si>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</si>
  <si>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</si>
  <si>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</si>
  <si>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</si>
  <si>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</si>
  <si>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</si>
  <si>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</si>
  <si>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</si>
  <si>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</si>
  <si>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</si>
  <si>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</si>
  <si>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</si>
  <si>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</si>
  <si>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</si>
  <si>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</si>
  <si>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</si>
  <si>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</si>
  <si>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</si>
  <si>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</si>
  <si>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</si>
  <si>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</si>
  <si>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</si>
  <si>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</si>
  <si>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</si>
  <si>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</si>
  <si>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</si>
  <si>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</si>
  <si>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</si>
  <si>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</si>
  <si>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</si>
  <si>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</si>
  <si>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</si>
  <si>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</si>
  <si>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</si>
  <si>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</si>
  <si>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</si>
  <si>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</si>
  <si>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</si>
  <si>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</si>
  <si>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</si>
  <si>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</si>
  <si>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</si>
  <si>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</si>
  <si>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</si>
  <si>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</si>
  <si>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</si>
  <si>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</si>
  <si>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</si>
  <si>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</si>
  <si>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</si>
  <si>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</si>
  <si>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</si>
  <si>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</si>
  <si>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</si>
  <si>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</si>
  <si>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</si>
  <si>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</si>
  <si>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</si>
  <si>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</si>
  <si>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</si>
  <si>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</si>
  <si>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</si>
  <si>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</si>
  <si>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</si>
  <si>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</si>
  <si>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</si>
  <si>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</si>
  <si>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</si>
  <si>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</si>
  <si>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</si>
  <si>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</si>
  <si>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</si>
  <si>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</si>
  <si>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</si>
  <si>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</si>
  <si>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</si>
  <si>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</si>
  <si>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</si>
  <si>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</si>
  <si>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</si>
  <si>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</si>
  <si>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</si>
  <si>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</si>
  <si>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</si>
  <si>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</si>
  <si>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</si>
  <si>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</si>
  <si>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</si>
  <si>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</si>
  <si>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</si>
  <si>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</si>
  <si>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</si>
  <si>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</si>
  <si>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</si>
  <si>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</si>
  <si>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</si>
  <si>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</si>
  <si>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</si>
  <si>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</si>
  <si>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</si>
  <si>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</si>
  <si>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</si>
  <si>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</si>
  <si>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</si>
  <si>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</si>
  <si>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</si>
  <si>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</si>
  <si>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</si>
  <si>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</si>
  <si>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</si>
  <si>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</si>
  <si>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</si>
  <si>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</si>
  <si>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</si>
  <si>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</si>
  <si>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</si>
  <si>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</si>
  <si>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</si>
  <si>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</si>
  <si>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</si>
  <si>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</si>
  <si>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</si>
  <si>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</si>
  <si>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</si>
  <si>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</si>
  <si>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</si>
  <si>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</si>
  <si>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</si>
  <si>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</si>
  <si>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</si>
  <si>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</si>
  <si>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</si>
  <si>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</si>
  <si>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</si>
  <si>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</si>
  <si>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</si>
  <si>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</si>
  <si>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</si>
  <si>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</si>
  <si>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</si>
  <si>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</si>
  <si>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</si>
  <si>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</si>
  <si>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</si>
  <si>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</si>
  <si>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</si>
  <si>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</si>
  <si>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</si>
  <si>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</si>
  <si>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</si>
  <si>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</si>
  <si>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</si>
  <si>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</si>
  <si>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</si>
  <si>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</si>
  <si>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</si>
  <si>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</si>
  <si>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</si>
  <si>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</si>
  <si>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</si>
  <si>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</si>
  <si>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</si>
  <si>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</si>
  <si>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</si>
  <si>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</si>
  <si>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</si>
  <si>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</si>
  <si>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</si>
  <si>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</si>
  <si>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</si>
  <si>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</si>
  <si>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</si>
  <si>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</si>
  <si>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</si>
  <si>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</si>
  <si>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</si>
  <si>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</si>
  <si>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</si>
  <si>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</si>
  <si>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</si>
  <si>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</si>
  <si>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</si>
  <si>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</si>
  <si>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</si>
  <si>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</si>
  <si>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</si>
  <si>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</si>
  <si>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</si>
  <si>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</si>
  <si>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</si>
  <si>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</si>
  <si>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</si>
  <si>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</si>
  <si>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</si>
  <si>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</si>
  <si>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</si>
  <si>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</si>
  <si>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</si>
  <si>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</si>
  <si>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</si>
  <si>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</si>
  <si>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</si>
  <si>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</si>
  <si>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</si>
  <si>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</si>
  <si>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</si>
  <si>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</si>
  <si>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</si>
  <si>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</si>
  <si>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</si>
  <si>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</si>
  <si>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</si>
  <si>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</si>
  <si>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</si>
  <si>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</si>
  <si>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</si>
  <si>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</si>
  <si>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</si>
  <si>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</si>
  <si>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</si>
  <si>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</si>
  <si>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</si>
  <si>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</si>
  <si>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</si>
  <si>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</si>
  <si>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</si>
  <si>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</si>
  <si>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</si>
  <si>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</si>
  <si>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</si>
  <si>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</si>
  <si>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</si>
  <si>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</si>
  <si>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</si>
  <si>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</si>
  <si>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</si>
  <si>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</si>
  <si>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</si>
  <si>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</si>
  <si>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</si>
  <si>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</si>
  <si>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</si>
  <si>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</si>
  <si>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</si>
  <si>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</si>
  <si>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</si>
  <si>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</si>
  <si>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</si>
  <si>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</si>
  <si>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</si>
  <si>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</si>
  <si>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</si>
  <si>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</si>
  <si>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</si>
  <si>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</si>
  <si>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</si>
  <si>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</si>
  <si>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</si>
  <si>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</si>
  <si>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</si>
  <si>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</si>
  <si>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</si>
  <si>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</si>
  <si>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</si>
  <si>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</si>
  <si>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</si>
  <si>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</si>
  <si>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</si>
  <si>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</si>
  <si>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</si>
  <si>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</si>
  <si>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</si>
  <si>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</si>
  <si>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</si>
  <si>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</si>
  <si>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</si>
  <si>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</si>
  <si>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</si>
  <si>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</si>
  <si>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</si>
  <si>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</si>
  <si>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</si>
  <si>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</si>
  <si>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</si>
  <si>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</si>
  <si>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</si>
  <si>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</si>
  <si>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</si>
  <si>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</si>
  <si>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</si>
  <si>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</si>
  <si>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</si>
  <si>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</si>
  <si>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</si>
  <si>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</si>
  <si>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</si>
  <si>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</si>
  <si>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</si>
  <si>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</si>
  <si>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</si>
  <si>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</si>
  <si>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</si>
  <si>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</si>
  <si>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</si>
  <si>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2nd PA Calc</t>
  </si>
  <si>
    <t>Darryl Gill</t>
  </si>
  <si>
    <t>Final Payment Calc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</si>
  <si>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</si>
  <si>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</si>
  <si>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</si>
  <si>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</si>
  <si>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</si>
  <si>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</si>
  <si>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</si>
  <si>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</si>
  <si>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</si>
  <si>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</si>
  <si>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</si>
  <si>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</si>
  <si>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</si>
  <si>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</si>
  <si>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</si>
  <si>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</si>
  <si>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</si>
  <si>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</si>
  <si>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</si>
  <si>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</si>
  <si>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</si>
  <si>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</si>
  <si>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</si>
  <si>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</si>
  <si>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</si>
  <si>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</si>
  <si>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</si>
  <si>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</si>
  <si>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</si>
  <si>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</si>
  <si>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</si>
  <si>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</si>
  <si>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</si>
  <si>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</si>
  <si>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</si>
  <si>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</si>
  <si>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</si>
  <si>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</si>
  <si>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</si>
  <si>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</si>
  <si>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</si>
  <si>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</si>
  <si>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</si>
  <si>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</si>
  <si>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</si>
  <si>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</si>
  <si>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</si>
  <si>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</si>
  <si>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</si>
  <si>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</si>
  <si>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</si>
  <si>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</si>
  <si>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</si>
  <si>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</si>
  <si>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</si>
  <si>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</si>
  <si>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</si>
  <si>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</si>
  <si>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</si>
  <si>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</si>
  <si>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</si>
  <si>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</si>
  <si>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</si>
  <si>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</si>
  <si>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</si>
  <si>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</si>
  <si>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</si>
  <si>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</si>
  <si>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</si>
  <si>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</si>
  <si>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</si>
  <si>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</si>
  <si>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</si>
  <si>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</si>
  <si>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</si>
  <si>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</si>
  <si>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</si>
  <si>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</si>
  <si>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</si>
  <si>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</si>
  <si>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</si>
  <si>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</si>
  <si>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</si>
  <si>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</si>
  <si>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</si>
  <si>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</si>
  <si>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</si>
  <si>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</si>
  <si>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</si>
  <si>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</si>
  <si>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</si>
  <si>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</si>
  <si>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</si>
  <si>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</si>
  <si>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</si>
  <si>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</si>
  <si>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</si>
  <si>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</si>
  <si>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</si>
  <si>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</si>
  <si>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</si>
  <si>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</si>
  <si>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</si>
  <si>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</si>
  <si>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</si>
  <si>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</si>
  <si>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</si>
  <si>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</si>
  <si>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</si>
  <si>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</si>
  <si>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</si>
  <si>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</si>
  <si>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</si>
  <si>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</si>
  <si>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</si>
  <si>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</si>
  <si>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</si>
  <si>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</si>
  <si>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</si>
  <si>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</si>
  <si>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</si>
  <si>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</si>
  <si>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</si>
  <si>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</si>
  <si>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</si>
  <si>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</si>
  <si>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</si>
  <si>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</si>
  <si>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</si>
  <si>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</si>
  <si>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</si>
  <si>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</si>
  <si>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</si>
  <si>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</si>
  <si>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</si>
  <si>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</si>
  <si>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</si>
  <si>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</si>
  <si>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</si>
  <si>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</si>
  <si>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</si>
  <si>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</si>
  <si>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</si>
  <si>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</si>
  <si>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</si>
  <si>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</si>
  <si>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</si>
  <si>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</si>
  <si>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</si>
  <si>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</si>
  <si>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</si>
  <si>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</si>
  <si>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</si>
  <si>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</si>
  <si>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</si>
  <si>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</si>
  <si>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</si>
  <si>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</si>
  <si>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</si>
  <si>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</si>
  <si>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</si>
  <si>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</si>
  <si>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</si>
  <si>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</si>
  <si>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</si>
  <si>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</si>
  <si>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</si>
  <si>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</si>
  <si>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</si>
  <si>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</si>
  <si>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</si>
  <si>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</si>
  <si>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</si>
  <si>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</si>
  <si>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</si>
  <si>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</si>
  <si>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</si>
  <si>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</si>
  <si>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</si>
  <si>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</si>
  <si>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</si>
  <si>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</si>
  <si>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</si>
  <si>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</si>
  <si>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</si>
  <si>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</si>
  <si>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</si>
  <si>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</si>
  <si>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</si>
  <si>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</si>
  <si>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</si>
  <si>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</si>
  <si>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</si>
  <si>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</si>
  <si>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</si>
  <si>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</si>
  <si>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</si>
  <si>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</si>
  <si>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</si>
  <si>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</si>
  <si>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</si>
  <si>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</si>
  <si>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</si>
  <si>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</si>
  <si>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</si>
  <si>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</si>
  <si>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</si>
  <si>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</si>
  <si>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</si>
  <si>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</si>
  <si>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</si>
  <si>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</si>
  <si>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</si>
  <si>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</si>
  <si>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</si>
  <si>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</si>
  <si>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</si>
  <si>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</si>
  <si>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</si>
  <si>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</si>
  <si>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</si>
  <si>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</si>
  <si>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</si>
  <si>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</si>
  <si>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</si>
  <si>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</si>
  <si>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</si>
  <si>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</si>
  <si>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</si>
  <si>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</si>
  <si>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</si>
  <si>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</si>
  <si>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</si>
  <si>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</si>
  <si>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</si>
  <si>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</si>
  <si>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</si>
  <si>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</si>
  <si>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</si>
  <si>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</si>
  <si>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</si>
  <si>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</si>
  <si>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</si>
  <si>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</si>
  <si>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</si>
  <si>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</si>
  <si>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</si>
  <si>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</si>
  <si>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</si>
  <si>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</si>
  <si>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</si>
  <si>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</si>
  <si>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</si>
  <si>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</si>
  <si>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</si>
  <si>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</si>
  <si>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</si>
  <si>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</si>
  <si>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</si>
  <si>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</si>
  <si>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</si>
  <si>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</si>
  <si>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</si>
  <si>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</si>
  <si>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</si>
  <si>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</si>
  <si>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</si>
  <si>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</si>
  <si>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</si>
  <si>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</si>
  <si>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</si>
  <si>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</si>
  <si>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</si>
  <si>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</si>
  <si>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</si>
  <si>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</si>
  <si>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</si>
  <si>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</si>
  <si>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</si>
  <si>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</si>
  <si>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</si>
  <si>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</si>
  <si>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</si>
  <si>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1st PA Calc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</si>
  <si>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</si>
  <si>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</si>
  <si>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</si>
  <si>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</si>
  <si>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</si>
  <si>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</si>
  <si>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</si>
  <si>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</si>
  <si>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</si>
  <si>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</si>
  <si>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</si>
  <si>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</si>
  <si>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</si>
  <si>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</si>
  <si>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</si>
  <si>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</si>
  <si>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</si>
  <si>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</si>
  <si>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</si>
  <si>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</si>
  <si>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</si>
  <si>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</si>
  <si>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</si>
  <si>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</si>
  <si>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</si>
  <si>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</si>
  <si>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</si>
  <si>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</si>
  <si>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</si>
  <si>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</si>
  <si>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</si>
  <si>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</si>
  <si>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</si>
  <si>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</si>
  <si>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</si>
  <si>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</si>
  <si>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</si>
  <si>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</si>
  <si>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</si>
  <si>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</si>
  <si>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</si>
  <si>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</si>
  <si>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</si>
  <si>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</si>
  <si>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</si>
  <si>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</si>
  <si>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</si>
  <si>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</si>
  <si>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</si>
  <si>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</si>
  <si>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</si>
  <si>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</si>
  <si>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</si>
  <si>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</si>
  <si>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</si>
  <si>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</si>
  <si>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</si>
  <si>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</si>
  <si>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</si>
  <si>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</si>
  <si>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</si>
  <si>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</si>
  <si>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</si>
  <si>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</si>
  <si>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</si>
  <si>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</si>
  <si>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</si>
  <si>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</si>
  <si>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</si>
  <si>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</si>
  <si>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</si>
  <si>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</si>
  <si>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</si>
  <si>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</si>
  <si>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</si>
  <si>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</si>
  <si>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</si>
  <si>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</si>
  <si>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</si>
  <si>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</si>
  <si>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</si>
  <si>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</si>
  <si>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</si>
  <si>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</si>
  <si>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</si>
  <si>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</si>
  <si>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</si>
  <si>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</si>
  <si>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</si>
  <si>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</si>
  <si>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</si>
  <si>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</si>
  <si>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</si>
  <si>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</si>
  <si>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</si>
  <si>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</si>
  <si>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</si>
  <si>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</si>
  <si>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</si>
  <si>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</si>
  <si>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</si>
  <si>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</si>
  <si>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</si>
  <si>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</si>
  <si>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</si>
  <si>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</si>
  <si>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</si>
  <si>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</si>
  <si>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</si>
  <si>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</si>
  <si>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</si>
  <si>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</si>
  <si>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</si>
  <si>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</si>
  <si>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</si>
  <si>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</si>
  <si>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</si>
  <si>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</si>
  <si>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</si>
  <si>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</si>
  <si>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</si>
  <si>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</si>
  <si>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</si>
  <si>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</si>
  <si>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</si>
  <si>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</si>
  <si>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</si>
  <si>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</si>
  <si>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</si>
  <si>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</si>
  <si>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</si>
  <si>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</si>
  <si>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</si>
  <si>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</si>
  <si>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</si>
  <si>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</si>
  <si>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</si>
  <si>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</si>
  <si>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</si>
  <si>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</si>
  <si>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</si>
  <si>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</si>
  <si>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</si>
  <si>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</si>
  <si>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</si>
  <si>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</si>
  <si>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</si>
  <si>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</si>
  <si>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</si>
  <si>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</si>
  <si>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</si>
  <si>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</si>
  <si>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</si>
  <si>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</si>
  <si>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</si>
  <si>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</si>
  <si>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</si>
  <si>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</si>
  <si>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</si>
  <si>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</si>
  <si>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</si>
  <si>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</si>
  <si>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</si>
  <si>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</si>
  <si>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</si>
  <si>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</si>
  <si>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</si>
  <si>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</si>
  <si>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</si>
  <si>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</si>
  <si>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</si>
  <si>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</si>
  <si>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</si>
  <si>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</si>
  <si>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</si>
  <si>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</si>
  <si>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</si>
  <si>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</si>
  <si>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</si>
  <si>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</si>
  <si>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</si>
  <si>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</si>
  <si>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</si>
  <si>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</si>
  <si>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</si>
  <si>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</si>
  <si>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</si>
  <si>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</si>
  <si>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</si>
  <si>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</si>
  <si>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</si>
  <si>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</si>
  <si>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</si>
  <si>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</si>
  <si>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</si>
  <si>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</si>
  <si>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</si>
  <si>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</si>
  <si>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</si>
  <si>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</si>
  <si>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</si>
  <si>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</si>
  <si>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</si>
  <si>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</si>
  <si>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</si>
  <si>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</si>
  <si>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</si>
  <si>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</si>
  <si>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</si>
  <si>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</si>
  <si>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</si>
  <si>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</si>
  <si>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</si>
  <si>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</si>
  <si>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</si>
  <si>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</si>
  <si>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</si>
  <si>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</si>
  <si>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</si>
  <si>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</si>
  <si>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</si>
  <si>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</si>
  <si>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</si>
  <si>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</si>
  <si>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</si>
  <si>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</si>
  <si>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</si>
  <si>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</si>
  <si>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</si>
  <si>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</si>
  <si>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</si>
  <si>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</si>
  <si>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</si>
  <si>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</si>
  <si>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</si>
  <si>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</si>
  <si>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</si>
  <si>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</si>
  <si>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</si>
  <si>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</si>
  <si>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</si>
  <si>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</si>
  <si>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</si>
  <si>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</si>
  <si>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</si>
  <si>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</si>
  <si>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</si>
  <si>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</si>
  <si>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</si>
  <si>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</si>
  <si>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</si>
  <si>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</si>
  <si>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</si>
  <si>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</si>
  <si>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</si>
  <si>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</si>
  <si>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</si>
  <si>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</si>
  <si>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</si>
  <si>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</si>
  <si>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</si>
  <si>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</si>
  <si>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</si>
  <si>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</si>
  <si>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</si>
  <si>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</si>
  <si>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</si>
  <si>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</si>
  <si>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</si>
  <si>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</si>
  <si>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</si>
  <si>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</si>
  <si>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</si>
  <si>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</si>
  <si>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</si>
  <si>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</si>
  <si>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</si>
  <si>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</si>
  <si>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</si>
  <si>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</si>
  <si>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</si>
  <si>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</si>
  <si>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</si>
  <si>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</si>
  <si>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</si>
  <si>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</si>
  <si>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</si>
  <si>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</si>
  <si>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</si>
  <si>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</si>
  <si>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</si>
  <si>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</si>
  <si>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</si>
  <si>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</si>
  <si>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</si>
  <si>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</si>
  <si>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</si>
  <si>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</si>
  <si>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</si>
  <si>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</si>
  <si>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</si>
  <si>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</si>
  <si>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</si>
  <si>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</si>
  <si>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</si>
  <si>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</si>
  <si>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</si>
  <si>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</si>
  <si>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</si>
  <si>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</si>
  <si>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</si>
  <si>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</si>
  <si>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</si>
  <si>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</si>
  <si>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</si>
  <si>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</si>
  <si>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</si>
  <si>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</si>
  <si>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</si>
  <si>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</si>
  <si>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</si>
  <si>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</si>
  <si>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</si>
  <si>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</si>
  <si>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</si>
  <si>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</si>
  <si>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</si>
  <si>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</si>
  <si>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</si>
  <si>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</si>
  <si>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</si>
  <si>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</si>
  <si>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</si>
  <si>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</si>
  <si>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</si>
  <si>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</si>
  <si>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</si>
  <si>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</si>
  <si>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</si>
  <si>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</si>
  <si>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</si>
  <si>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</si>
  <si>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</si>
  <si>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</si>
  <si>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</si>
  <si>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</si>
  <si>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</si>
  <si>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</si>
  <si>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</si>
  <si>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</si>
  <si>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</si>
  <si>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</si>
  <si>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</si>
  <si>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</si>
  <si>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</si>
  <si>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</si>
  <si>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</si>
  <si>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</si>
  <si>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</si>
  <si>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</si>
  <si>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</si>
  <si>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</si>
  <si>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</si>
  <si>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</si>
  <si>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</si>
  <si>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</si>
  <si>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</si>
  <si>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</si>
  <si>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</si>
  <si>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</si>
  <si>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</si>
  <si>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</si>
  <si>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</si>
  <si>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</si>
  <si>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</si>
  <si>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</si>
  <si>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</si>
  <si>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</si>
  <si>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</si>
  <si>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</si>
  <si>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</si>
  <si>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</si>
  <si>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</si>
  <si>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</si>
  <si>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</si>
  <si>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</si>
  <si>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</si>
  <si>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</si>
  <si>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</si>
  <si>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</si>
  <si>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</si>
  <si>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</si>
  <si>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</si>
  <si>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</si>
  <si>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</si>
  <si>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</si>
  <si>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</si>
  <si>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</si>
  <si>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</si>
  <si>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</si>
  <si>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</si>
  <si>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</si>
  <si>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</si>
  <si>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</si>
  <si>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</si>
  <si>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</si>
  <si>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</si>
  <si>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</si>
  <si>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</si>
  <si>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</si>
  <si>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</si>
  <si>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</si>
  <si>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</si>
  <si>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</si>
  <si>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</si>
  <si>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</si>
  <si>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</si>
  <si>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</si>
  <si>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</si>
  <si>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</si>
  <si>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</si>
  <si>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</si>
  <si>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</si>
  <si>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</si>
  <si>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</si>
  <si>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</si>
  <si>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</si>
  <si>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</si>
  <si>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</si>
  <si>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</si>
  <si>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</si>
  <si>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</si>
  <si>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</si>
  <si>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</si>
  <si>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</si>
  <si>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</si>
  <si>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</si>
  <si>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</si>
  <si>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</si>
  <si>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</si>
  <si>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</si>
  <si>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</si>
  <si>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</si>
  <si>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</si>
  <si>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</si>
  <si>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</si>
  <si>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</si>
  <si>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</si>
  <si>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</si>
  <si>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</si>
  <si>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</si>
  <si>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</si>
  <si>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</si>
  <si>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</si>
  <si>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</si>
  <si>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</si>
  <si>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</si>
  <si>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</si>
  <si>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</si>
  <si>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</si>
  <si>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</si>
  <si>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</si>
  <si>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</si>
  <si>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</si>
  <si>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</si>
  <si>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</si>
  <si>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</si>
  <si>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</si>
  <si>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</si>
  <si>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</si>
  <si>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</si>
  <si>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</si>
  <si>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</si>
  <si>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</si>
  <si>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</si>
  <si>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</si>
  <si>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</si>
  <si>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</si>
  <si>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</si>
  <si>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</si>
  <si>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</si>
  <si>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</si>
  <si>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</si>
  <si>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</si>
  <si>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</si>
  <si>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</si>
  <si>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</si>
  <si>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</si>
  <si>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</si>
  <si>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</si>
  <si>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</si>
  <si>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</si>
  <si>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</si>
  <si>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</si>
  <si>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</si>
  <si>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</si>
  <si>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</si>
  <si>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</si>
  <si>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</si>
  <si>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</si>
  <si>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</si>
  <si>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</si>
  <si>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</si>
  <si>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</si>
  <si>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</si>
  <si>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</si>
  <si>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</si>
  <si>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</si>
  <si>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</si>
  <si>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</si>
  <si>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</si>
  <si>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</si>
  <si>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</si>
  <si>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</si>
  <si>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</si>
  <si>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</si>
  <si>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</si>
  <si>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</si>
  <si>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</si>
  <si>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</si>
  <si>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</si>
  <si>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</si>
  <si>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</si>
  <si>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</si>
  <si>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</si>
  <si>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</si>
  <si>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</si>
  <si>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</si>
  <si>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</si>
  <si>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</si>
  <si>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</si>
  <si>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</si>
  <si>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</si>
  <si>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</si>
  <si>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</si>
  <si>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</si>
  <si>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</si>
  <si>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</si>
  <si>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</si>
  <si>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</si>
  <si>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</si>
  <si>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</si>
  <si>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</si>
  <si>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</si>
  <si>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</si>
  <si>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</si>
  <si>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</si>
  <si>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</si>
  <si>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</si>
  <si>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</si>
  <si>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</si>
  <si>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</si>
  <si>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</si>
  <si>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</si>
  <si>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</si>
  <si>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</si>
  <si>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</si>
  <si>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</si>
  <si>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</si>
  <si>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</si>
  <si>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</si>
  <si>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</si>
  <si>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</si>
  <si>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</si>
  <si>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</si>
  <si>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</si>
  <si>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</si>
  <si>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</si>
  <si>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</si>
  <si>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</si>
  <si>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</si>
  <si>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</si>
  <si>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</si>
  <si>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</si>
  <si>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</si>
  <si>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</si>
  <si>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</si>
  <si>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</si>
  <si>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</si>
  <si>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</si>
  <si>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</si>
  <si>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</si>
  <si>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</si>
  <si>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</si>
  <si>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</si>
  <si>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</si>
  <si>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</si>
  <si>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</si>
  <si>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</si>
  <si>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</si>
  <si>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</si>
  <si>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</si>
  <si>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</si>
  <si>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</si>
  <si>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</si>
  <si>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</si>
  <si>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</si>
  <si>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</si>
  <si>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</si>
  <si>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</si>
  <si>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</si>
  <si>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</si>
  <si>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</si>
  <si>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</si>
  <si>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</si>
  <si>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</si>
  <si>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</si>
  <si>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</si>
  <si>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</si>
  <si>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</si>
  <si>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</si>
  <si>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</si>
  <si>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</si>
  <si>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</si>
  <si>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</si>
  <si>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</si>
  <si>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</si>
  <si>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</si>
  <si>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</si>
  <si>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</si>
  <si>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</si>
  <si>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</si>
  <si>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</si>
  <si>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</si>
  <si>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</si>
  <si>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</si>
  <si>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</si>
  <si>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</si>
  <si>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</si>
  <si>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</si>
  <si>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</si>
  <si>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</si>
  <si>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</si>
  <si>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</si>
  <si>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</si>
  <si>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</si>
  <si>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</si>
  <si>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</si>
  <si>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</si>
  <si>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</si>
  <si>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</si>
  <si>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</si>
  <si>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</si>
  <si>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</si>
  <si>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</si>
  <si>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</si>
  <si>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</si>
  <si>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</si>
  <si>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</si>
  <si>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</si>
  <si>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</si>
  <si>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</si>
  <si>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</si>
  <si>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</si>
  <si>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</si>
  <si>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</si>
  <si>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</si>
  <si>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</si>
  <si>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</si>
  <si>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</si>
  <si>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</si>
  <si>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</si>
  <si>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</si>
  <si>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</si>
  <si>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</si>
  <si>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</si>
  <si>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</si>
  <si>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</si>
  <si>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</si>
  <si>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</si>
  <si>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</si>
  <si>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</si>
  <si>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</si>
  <si>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</si>
  <si>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</si>
  <si>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</si>
  <si>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</si>
  <si>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</si>
  <si>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</si>
  <si>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</si>
  <si>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</si>
  <si>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</si>
  <si>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</si>
  <si>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</si>
  <si>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</si>
  <si>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</si>
  <si>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</si>
  <si>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</si>
  <si>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</si>
  <si>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</si>
  <si>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</si>
  <si>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</si>
  <si>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</si>
  <si>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</si>
  <si>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</si>
  <si>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</si>
  <si>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</si>
  <si>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</si>
  <si>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</si>
  <si>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</si>
  <si>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</si>
  <si>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</si>
  <si>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</si>
  <si>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</si>
  <si>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</si>
  <si>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</si>
  <si>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</si>
  <si>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</si>
  <si>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</si>
  <si>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</si>
  <si>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</si>
  <si>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</si>
  <si>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</si>
  <si>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</si>
  <si>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</si>
  <si>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</si>
  <si>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</si>
  <si>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</si>
  <si>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</si>
  <si>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</si>
  <si>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</si>
  <si>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</si>
  <si>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</si>
  <si>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</si>
  <si>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</si>
  <si>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</si>
  <si>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</si>
  <si>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</si>
  <si>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</si>
  <si>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</si>
  <si>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</si>
  <si>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</si>
  <si>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</si>
  <si>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</si>
  <si>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</si>
  <si>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</si>
  <si>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</si>
  <si>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</si>
  <si>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</si>
  <si>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</si>
  <si>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</si>
  <si>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</si>
  <si>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</si>
  <si>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</si>
  <si>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</si>
  <si>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</si>
  <si>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</si>
  <si>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</si>
  <si>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</si>
  <si>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</si>
  <si>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</si>
  <si>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</si>
  <si>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</si>
  <si>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</si>
  <si>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</si>
  <si>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</si>
  <si>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</si>
  <si>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</si>
  <si>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</si>
  <si>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</si>
  <si>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</si>
  <si>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</si>
  <si>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</si>
  <si>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</si>
  <si>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</si>
  <si>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</si>
  <si>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</si>
  <si>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</si>
  <si>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</si>
  <si>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</si>
  <si>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</si>
  <si>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</si>
  <si>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</si>
  <si>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</si>
  <si>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</si>
  <si>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</si>
  <si>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</si>
  <si>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</si>
  <si>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</si>
  <si>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</si>
  <si>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</si>
  <si>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</si>
  <si>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</si>
  <si>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</si>
  <si>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</si>
  <si>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</si>
  <si>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</si>
  <si>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</si>
  <si>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</si>
  <si>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</si>
  <si>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</si>
  <si>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</si>
  <si>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</si>
  <si>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</si>
  <si>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</si>
  <si>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</si>
  <si>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</si>
  <si>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</si>
  <si>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</si>
  <si>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</si>
  <si>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</si>
  <si>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</si>
  <si>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</si>
  <si>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</si>
  <si>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</si>
  <si>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</si>
  <si>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</si>
  <si>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</si>
  <si>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</si>
  <si>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</si>
  <si>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</si>
  <si>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</si>
  <si>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</si>
  <si>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</si>
  <si>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</si>
  <si>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</si>
  <si>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</si>
  <si>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</si>
  <si>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</si>
  <si>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</si>
  <si>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</si>
  <si>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</si>
  <si>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</si>
  <si>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</si>
  <si>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</si>
  <si>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</si>
  <si>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</si>
  <si>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</si>
  <si>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</si>
  <si>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</si>
  <si>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</si>
  <si>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</si>
  <si>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</si>
  <si>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</si>
  <si>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</si>
  <si>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</si>
  <si>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</si>
  <si>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</si>
  <si>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</si>
  <si>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</si>
  <si>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</si>
  <si>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</si>
  <si>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</si>
  <si>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</si>
  <si>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</si>
  <si>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</si>
  <si>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</si>
  <si>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</si>
  <si>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</si>
  <si>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</si>
  <si>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</si>
  <si>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</si>
  <si>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</si>
  <si>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</si>
  <si>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</si>
  <si>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</si>
  <si>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</si>
  <si>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</si>
  <si>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</si>
  <si>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</si>
  <si>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</si>
  <si>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</si>
  <si>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</si>
  <si>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</si>
  <si>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</si>
  <si>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</si>
  <si>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</si>
  <si>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</si>
  <si>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</si>
  <si>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</si>
  <si>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</si>
  <si>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</si>
  <si>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</si>
  <si>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</si>
  <si>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</si>
  <si>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</si>
  <si>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</si>
  <si>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</si>
  <si>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</si>
  <si>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</si>
  <si>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</si>
  <si>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</si>
  <si>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</si>
  <si>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</si>
  <si>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</si>
  <si>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</si>
  <si>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</si>
  <si>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</si>
  <si>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</si>
  <si>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</si>
  <si>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</si>
  <si>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</si>
  <si>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</si>
  <si>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</si>
  <si>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</si>
  <si>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</si>
  <si>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</si>
  <si>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</si>
  <si>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</si>
  <si>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</si>
  <si>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</si>
  <si>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</si>
  <si>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</si>
  <si>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</si>
  <si>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</si>
  <si>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</si>
  <si>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</si>
  <si>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</si>
  <si>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</si>
  <si>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</si>
  <si>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</si>
  <si>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</si>
  <si>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</si>
  <si>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</si>
  <si>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</si>
  <si>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</si>
  <si>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</si>
  <si>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</si>
  <si>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</si>
  <si>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</si>
  <si>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</si>
  <si>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</si>
  <si>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</si>
  <si>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</si>
  <si>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</si>
  <si>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</si>
  <si>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</si>
  <si>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</si>
  <si>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</si>
  <si>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</si>
  <si>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</si>
  <si>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</si>
  <si>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</si>
  <si>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</si>
  <si>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</si>
  <si>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</si>
  <si>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</si>
  <si>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</si>
  <si>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</si>
  <si>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</si>
  <si>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</si>
  <si>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</si>
  <si>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</si>
  <si>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</si>
  <si>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</si>
  <si>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</si>
  <si>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</si>
  <si>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</si>
  <si>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</si>
  <si>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</si>
  <si>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</si>
  <si>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</si>
  <si>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</si>
  <si>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</si>
  <si>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</si>
  <si>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</si>
  <si>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</si>
  <si>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</si>
  <si>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</si>
  <si>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</si>
  <si>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</si>
  <si>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</si>
  <si>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</si>
  <si>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</si>
  <si>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</si>
  <si>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</si>
  <si>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</si>
  <si>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</si>
  <si>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</si>
  <si>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</si>
  <si>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</si>
  <si>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</si>
  <si>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</si>
  <si>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</si>
  <si>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</si>
  <si>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</si>
  <si>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</si>
  <si>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</si>
  <si>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</si>
  <si>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</si>
  <si>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</si>
  <si>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</si>
  <si>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</si>
  <si>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</si>
  <si>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</si>
  <si>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</si>
  <si>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</si>
  <si>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</si>
  <si>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</si>
  <si>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</si>
  <si>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</si>
  <si>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</si>
  <si>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</si>
  <si>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</si>
  <si>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</si>
  <si>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</si>
  <si>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</si>
  <si>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</si>
  <si>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</si>
  <si>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</si>
  <si>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</si>
  <si>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</si>
  <si>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</si>
  <si>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</si>
  <si>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</si>
  <si>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</si>
  <si>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</si>
  <si>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</si>
  <si>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</si>
  <si>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</si>
  <si>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</si>
  <si>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</si>
  <si>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</si>
  <si>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</si>
  <si>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</si>
  <si>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</si>
  <si>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</si>
  <si>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</si>
  <si>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</si>
  <si>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</si>
  <si>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</si>
  <si>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</si>
  <si>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</si>
  <si>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</si>
  <si>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</si>
  <si>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</si>
  <si>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</si>
  <si>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</si>
  <si>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</si>
  <si>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</si>
  <si>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</si>
  <si>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</si>
  <si>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</si>
  <si>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</si>
  <si>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</si>
  <si>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</si>
  <si>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</si>
  <si>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</si>
  <si>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</si>
  <si>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</si>
  <si>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</si>
  <si>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</si>
  <si>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</si>
  <si>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</si>
  <si>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</si>
  <si>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</si>
  <si>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</si>
  <si>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</si>
  <si>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</si>
  <si>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</si>
  <si>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</si>
  <si>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</si>
  <si>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</si>
  <si>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</si>
  <si>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</si>
  <si>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</si>
  <si>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</si>
  <si>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</si>
  <si>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</si>
  <si>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</si>
  <si>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</si>
  <si>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</si>
  <si>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</si>
  <si>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</si>
  <si>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</si>
  <si>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</si>
  <si>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</si>
  <si>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</si>
  <si>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</si>
  <si>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</si>
  <si>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</si>
  <si>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</si>
  <si>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</si>
  <si>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</si>
  <si>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</si>
  <si>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</si>
  <si>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</si>
  <si>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</si>
  <si>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</si>
  <si>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</si>
  <si>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</si>
  <si>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</si>
  <si>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</si>
  <si>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</si>
  <si>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</si>
  <si>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</si>
  <si>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</si>
  <si>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</si>
  <si>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</si>
  <si>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</si>
  <si>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</si>
  <si>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</si>
  <si>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</si>
  <si>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</si>
  <si>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</si>
  <si>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</si>
  <si>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</si>
  <si>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</si>
  <si>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</si>
  <si>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</si>
  <si>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</si>
  <si>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</si>
  <si>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</si>
  <si>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</si>
  <si>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</si>
  <si>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</si>
  <si>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</si>
  <si>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</si>
  <si>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</si>
  <si>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</si>
  <si>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</si>
  <si>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</si>
  <si>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</si>
  <si>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</si>
  <si>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</si>
  <si>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</si>
  <si>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</si>
  <si>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</si>
  <si>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</si>
  <si>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</si>
  <si>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</si>
  <si>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</si>
  <si>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</si>
  <si>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</si>
  <si>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</si>
  <si>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</si>
  <si>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</si>
  <si>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</si>
  <si>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</si>
  <si>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</si>
  <si>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</si>
  <si>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</si>
  <si>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</si>
  <si>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</si>
  <si>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</si>
  <si>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</si>
  <si>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</si>
  <si>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</si>
  <si>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</si>
  <si>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</si>
  <si>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</si>
  <si>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</si>
  <si>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</si>
  <si>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</si>
  <si>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</si>
  <si>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</si>
  <si>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</si>
  <si>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</si>
  <si>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</si>
  <si>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</si>
  <si>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</si>
  <si>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</si>
  <si>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</si>
  <si>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</si>
  <si>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</si>
  <si>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</si>
  <si>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</si>
  <si>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</si>
  <si>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</si>
  <si>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</si>
  <si>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</si>
  <si>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</si>
  <si>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</si>
  <si>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</si>
  <si>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</si>
  <si>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</si>
  <si>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</si>
  <si>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</si>
  <si>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</si>
  <si>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</si>
  <si>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</si>
  <si>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</si>
  <si>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</si>
  <si>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</si>
  <si>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</si>
  <si>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</si>
  <si>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</si>
  <si>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</si>
  <si>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</si>
  <si>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</si>
  <si>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</si>
  <si>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</si>
  <si>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</si>
  <si>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</si>
  <si>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</si>
  <si>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</si>
  <si>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</si>
  <si>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</si>
  <si>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</si>
  <si>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</si>
  <si>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</si>
  <si>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</si>
  <si>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</si>
  <si>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</si>
  <si>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</si>
  <si>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</si>
  <si>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</si>
  <si>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</si>
  <si>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</si>
  <si>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</si>
  <si>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</si>
  <si>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</si>
  <si>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</si>
  <si>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</si>
  <si>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</si>
  <si>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</si>
  <si>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</si>
  <si>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</si>
  <si>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</si>
  <si>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</si>
  <si>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</si>
  <si>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</si>
  <si>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</si>
  <si>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</si>
  <si>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</si>
  <si>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</si>
  <si>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</si>
  <si>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</si>
  <si>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</si>
  <si>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</si>
  <si>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</si>
  <si>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</si>
  <si>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</si>
  <si>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</si>
  <si>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</si>
  <si>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</si>
  <si>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</si>
  <si>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</si>
  <si>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</si>
  <si>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</si>
  <si>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</si>
  <si>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</si>
  <si>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</si>
  <si>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</si>
  <si>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</si>
  <si>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</si>
  <si>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</si>
  <si>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</si>
  <si>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</si>
  <si>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</si>
  <si>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</si>
  <si>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</si>
  <si>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</si>
  <si>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</si>
  <si>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</si>
  <si>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</si>
  <si>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</si>
  <si>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</si>
  <si>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</si>
  <si>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</si>
  <si>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</si>
  <si>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</si>
  <si>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</si>
  <si>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</si>
  <si>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</si>
  <si>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</si>
  <si>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</si>
  <si>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</si>
  <si>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</si>
  <si>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</si>
  <si>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</si>
  <si>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</si>
  <si>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</si>
  <si>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</si>
  <si>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</si>
  <si>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</si>
  <si>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</si>
  <si>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</si>
  <si>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</si>
  <si>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</si>
  <si>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</si>
  <si>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</si>
  <si>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</si>
  <si>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</si>
  <si>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</si>
  <si>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</si>
  <si>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</si>
  <si>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</si>
  <si>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</si>
  <si>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</si>
  <si>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</si>
  <si>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</si>
  <si>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</si>
  <si>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</si>
  <si>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</si>
  <si>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</si>
  <si>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</si>
  <si>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</si>
  <si>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</si>
  <si>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</si>
  <si>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</si>
  <si>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</si>
  <si>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</si>
  <si>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</si>
  <si>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</si>
  <si>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</si>
  <si>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</si>
  <si>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</si>
  <si>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</si>
  <si>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</si>
  <si>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</si>
  <si>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</si>
  <si>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</si>
  <si>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</si>
  <si>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</si>
  <si>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</si>
  <si>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</si>
  <si>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</si>
  <si>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</si>
  <si>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</si>
  <si>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</si>
  <si>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</si>
  <si>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</si>
  <si>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</si>
  <si>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</si>
  <si>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</si>
  <si>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</si>
  <si>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</si>
  <si>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</si>
  <si>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</si>
  <si>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</si>
  <si>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</si>
  <si>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</si>
  <si>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</si>
  <si>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</si>
  <si>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</si>
  <si>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</si>
  <si>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</si>
  <si>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</si>
  <si>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</si>
  <si>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</si>
  <si>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</si>
  <si>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</si>
  <si>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</si>
  <si>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</si>
  <si>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</si>
  <si>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</si>
  <si>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</si>
  <si>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</si>
  <si>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</si>
  <si>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</si>
  <si>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</si>
  <si>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</si>
  <si>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</si>
  <si>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</si>
  <si>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</si>
  <si>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</si>
  <si>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</si>
  <si>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</si>
  <si>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</si>
  <si>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</si>
  <si>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</si>
  <si>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</si>
  <si>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</si>
  <si>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</si>
  <si>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</si>
  <si>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</si>
  <si>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</si>
  <si>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</si>
  <si>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</si>
  <si>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</si>
  <si>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</si>
  <si>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</si>
  <si>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</si>
  <si>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</si>
  <si>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</si>
  <si>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</si>
  <si>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</si>
  <si>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</si>
  <si>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</si>
  <si>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</si>
  <si>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</si>
  <si>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</si>
  <si>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</si>
  <si>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</si>
  <si>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</si>
  <si>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</si>
  <si>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</si>
  <si>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</si>
  <si>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</si>
  <si>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</si>
  <si>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</si>
  <si>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</si>
  <si>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</si>
  <si>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</si>
  <si>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</si>
  <si>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</si>
  <si>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</si>
  <si>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</si>
  <si>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</si>
  <si>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</si>
  <si>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</si>
  <si>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</si>
  <si>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</si>
  <si>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</si>
  <si>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</si>
  <si>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</si>
  <si>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</si>
  <si>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</si>
  <si>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</si>
  <si>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</si>
  <si>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</si>
  <si>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</si>
  <si>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</si>
  <si>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</si>
  <si>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</si>
  <si>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</si>
  <si>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</si>
  <si>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</si>
  <si>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</si>
  <si>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</si>
  <si>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</si>
  <si>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</si>
  <si>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</si>
  <si>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</si>
  <si>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</si>
  <si>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</si>
  <si>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</si>
  <si>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</si>
  <si>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</si>
  <si>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</si>
  <si>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</si>
  <si>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</si>
  <si>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</si>
  <si>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</si>
  <si>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</si>
  <si>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</si>
  <si>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</si>
  <si>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</si>
  <si>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</si>
  <si>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</si>
  <si>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</si>
  <si>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</si>
  <si>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</si>
  <si>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</si>
  <si>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</si>
  <si>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</si>
  <si>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</si>
  <si>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</si>
  <si>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</si>
  <si>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</si>
  <si>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</si>
  <si>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</si>
  <si>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</si>
  <si>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</si>
  <si>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</si>
  <si>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</si>
  <si>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</si>
  <si>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</si>
  <si>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</si>
  <si>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</si>
  <si>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</si>
  <si>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</si>
  <si>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</si>
  <si>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</si>
  <si>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</si>
  <si>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</si>
  <si>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</si>
  <si>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</si>
  <si>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</si>
  <si>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</si>
  <si>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</si>
  <si>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</si>
  <si>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</si>
  <si>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</si>
  <si>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</si>
  <si>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</si>
  <si>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</si>
  <si>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</si>
  <si>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</si>
  <si>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</si>
  <si>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</si>
  <si>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</si>
  <si>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</si>
  <si>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</si>
  <si>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</si>
  <si>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</si>
  <si>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</si>
  <si>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</si>
  <si>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</si>
  <si>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</si>
  <si>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</si>
  <si>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</si>
  <si>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</si>
  <si>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</si>
  <si>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</si>
  <si>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</si>
  <si>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</si>
  <si>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</si>
  <si>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</si>
  <si>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</si>
  <si>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</si>
  <si>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</si>
  <si>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</si>
  <si>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</si>
  <si>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</si>
  <si>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</si>
  <si>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</si>
  <si>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</si>
  <si>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</si>
  <si>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</si>
  <si>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</si>
  <si>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</si>
  <si>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</si>
  <si>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</si>
  <si>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</si>
  <si>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</si>
  <si>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</si>
  <si>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</si>
  <si>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</si>
  <si>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</si>
  <si>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</si>
  <si>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</si>
  <si>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</si>
  <si>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</si>
  <si>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</si>
  <si>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</si>
  <si>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</si>
  <si>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</si>
  <si>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</si>
  <si>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</si>
  <si>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</si>
  <si>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</si>
  <si>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</si>
  <si>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</si>
  <si>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</si>
  <si>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</si>
  <si>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</si>
  <si>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</si>
  <si>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</si>
  <si>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</si>
  <si>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</si>
  <si>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</si>
  <si>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</si>
  <si>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</si>
  <si>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</si>
  <si>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</si>
  <si>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</si>
  <si>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</si>
  <si>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</si>
  <si>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</si>
  <si>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</si>
  <si>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</si>
  <si>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</si>
  <si>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</si>
  <si>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</si>
  <si>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</si>
  <si>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</si>
  <si>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</si>
  <si>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</si>
  <si>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</si>
  <si>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</si>
  <si>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</si>
  <si>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</si>
  <si>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</si>
  <si>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</si>
  <si>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</si>
  <si>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</si>
  <si>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</si>
  <si>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</si>
  <si>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</si>
  <si>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</si>
  <si>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</si>
  <si>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</si>
  <si>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</si>
  <si>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</si>
  <si>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</si>
  <si>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</si>
  <si>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</si>
  <si>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</si>
  <si>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</si>
  <si>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</si>
  <si>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</si>
  <si>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</si>
  <si>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</si>
  <si>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</si>
  <si>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</si>
  <si>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</si>
  <si>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</si>
  <si>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</si>
  <si>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</si>
  <si>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</si>
  <si>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</si>
  <si>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</si>
  <si>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</si>
  <si>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</si>
  <si>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</si>
  <si>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</si>
  <si>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</si>
  <si>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</si>
  <si>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</si>
  <si>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</si>
  <si>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</si>
  <si>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</si>
  <si>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</si>
  <si>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</si>
  <si>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</si>
  <si>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</si>
  <si>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</si>
  <si>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</si>
  <si>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</si>
  <si>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</si>
  <si>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</si>
  <si>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</si>
  <si>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</si>
  <si>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</si>
  <si>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</si>
  <si>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</si>
  <si>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</si>
  <si>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</si>
  <si>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</si>
  <si>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</si>
  <si>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</si>
  <si>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</si>
  <si>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</si>
  <si>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</si>
  <si>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</si>
  <si>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</si>
  <si>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</si>
  <si>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</si>
  <si>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</si>
  <si>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</si>
  <si>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</si>
  <si>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</si>
  <si>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</si>
  <si>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</si>
  <si>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</si>
  <si>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</si>
  <si>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</si>
  <si>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</si>
  <si>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</si>
  <si>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</si>
  <si>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</si>
  <si>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</si>
  <si>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</si>
  <si>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</si>
  <si>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</si>
  <si>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</si>
  <si>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</si>
  <si>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</si>
  <si>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</si>
  <si>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</si>
  <si>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</si>
  <si>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</si>
  <si>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</si>
  <si>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</si>
  <si>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</si>
  <si>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</si>
  <si>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</si>
  <si>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</si>
  <si>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</si>
  <si>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</si>
  <si>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</si>
  <si>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</si>
  <si>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</si>
  <si>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</si>
  <si>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</si>
  <si>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</si>
  <si>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</si>
  <si>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</si>
  <si>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</si>
  <si>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</si>
  <si>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</si>
  <si>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</si>
  <si>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</si>
  <si>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</si>
  <si>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</si>
  <si>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</si>
  <si>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</si>
  <si>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</si>
  <si>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</si>
  <si>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</si>
  <si>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</si>
  <si>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</si>
  <si>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</si>
  <si>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</si>
  <si>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</si>
  <si>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</si>
  <si>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</si>
  <si>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</si>
  <si>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</si>
  <si>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</si>
  <si>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</si>
  <si>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</si>
  <si>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</si>
  <si>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</si>
  <si>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</si>
  <si>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</si>
  <si>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</si>
  <si>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</si>
  <si>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</si>
  <si>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</si>
  <si>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</si>
  <si>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</si>
  <si>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</si>
  <si>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</si>
  <si>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</si>
  <si>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</si>
  <si>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</si>
  <si>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</si>
  <si>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</si>
  <si>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</si>
  <si>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</si>
  <si>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</si>
  <si>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</si>
  <si>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</si>
  <si>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</si>
  <si>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</si>
  <si>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</si>
  <si>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</si>
  <si>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</si>
  <si>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</si>
  <si>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</si>
  <si>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</si>
  <si>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</si>
  <si>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</si>
  <si>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</si>
  <si>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</si>
  <si>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</si>
  <si>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</si>
  <si>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</si>
  <si>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</si>
  <si>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</si>
  <si>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</si>
  <si>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</si>
  <si>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</si>
  <si>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</si>
  <si>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</si>
  <si>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</si>
  <si>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</si>
  <si>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</si>
  <si>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</si>
  <si>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</si>
  <si>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</si>
  <si>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</si>
  <si>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</si>
  <si>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</si>
  <si>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</si>
  <si>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</si>
  <si>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</si>
  <si>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</si>
  <si>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</si>
  <si>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</si>
  <si>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</si>
  <si>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</si>
  <si>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</si>
  <si>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</si>
  <si>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</si>
  <si>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</si>
  <si>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</si>
  <si>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</si>
  <si>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Documents 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</si>
</sst>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58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8" borderId="0" xfId="0" applyNumberForma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9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10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1" borderId="0" xfId="0" applyFont="1" applyFill="1" applyBorder="1"/>
    <xf numFmtId="0" fontId="12" fillId="12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1" borderId="0" xfId="0" applyNumberFormat="1" applyFont="1" applyFill="1" applyBorder="1"/>
    <xf numFmtId="0" fontId="13" fillId="11" borderId="0" xfId="0" applyFont="1" applyFill="1" applyBorder="1"/>
    <xf numFmtId="2" fontId="13" fillId="11" borderId="0" xfId="0" applyNumberFormat="1" applyFont="1" applyFill="1" applyBorder="1"/>
    <xf numFmtId="8" fontId="13" fillId="11" borderId="0" xfId="0" applyNumberFormat="1" applyFont="1" applyFill="1" applyBorder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/>
  </sheetPr>
  <dimension ref="A1:R743"/>
  <sheetViews>
    <sheetView tabSelected="1" zoomScale="70" zoomScaleNormal="70" workbookViewId="0">
      <pane ySplit="1" topLeftCell="A20" activePane="bottomLeft" state="frozen"/>
      <selection pane="bottomLeft" activeCell="F52" sqref="F52"/>
    </sheetView>
  </sheetViews>
  <sheetFormatPr defaultRowHeight="15" x14ac:dyDescent="0.25"/>
  <cols>
    <col min="1" max="1" width="27.42578125" bestFit="1" customWidth="1"/>
    <col min="2" max="2" width="9.140625" bestFit="1" customWidth="1"/>
    <col min="3" max="3" width="28.5703125" customWidth="1"/>
    <col min="5" max="5" width="17.85546875" bestFit="1" customWidth="1"/>
    <col min="6" max="6" width="16.7109375" style="18" bestFit="1" customWidth="1"/>
    <col min="7" max="7" width="20.5703125" style="34" bestFit="1" customWidth="1"/>
    <col min="8" max="8" width="14.85546875" customWidth="1"/>
    <col min="9" max="9" width="15" style="23" customWidth="1"/>
    <col min="10" max="10" width="16" style="23" customWidth="1"/>
    <col min="11" max="11" width="15.5703125" customWidth="1"/>
    <col min="12" max="12" width="15.42578125" style="23" customWidth="1"/>
    <col min="13" max="13" width="13.7109375" style="23" customWidth="1"/>
    <col min="14" max="14" width="18.42578125" customWidth="1"/>
    <col min="15" max="15" width="18.42578125" style="23" customWidth="1"/>
    <col min="16" max="16" width="22.140625" bestFit="1" customWidth="1"/>
    <col min="17" max="17" width="18.7109375" bestFit="1" customWidth="1"/>
    <col min="18" max="18" width="18.5703125" bestFit="1" customWidth="1"/>
  </cols>
  <sheetData>
    <row r="1" spans="1:18" x14ac:dyDescent="0.25">
      <c r="A1" s="5" t="s">
        <v>2231</v>
      </c>
      <c r="B1" s="5" t="s">
        <v>12199</v>
      </c>
      <c r="C1" s="5" t="s">
        <v>5</v>
      </c>
      <c r="D1" s="5" t="s">
        <v>11524</v>
      </c>
      <c r="E1" s="40" t="s">
        <v>3870</v>
      </c>
      <c r="F1" s="20" t="s">
        <v>11525</v>
      </c>
      <c r="G1" s="33" t="s">
        <v>11812</v>
      </c>
      <c r="H1" s="21" t="s">
        <v>11814</v>
      </c>
      <c r="I1" s="22" t="s">
        <v>12183</v>
      </c>
      <c r="J1" s="24" t="s">
        <v>11813</v>
      </c>
      <c r="K1" s="21" t="s">
        <v>11815</v>
      </c>
      <c r="L1" s="22" t="s">
        <v>11897</v>
      </c>
      <c r="M1" s="24" t="s">
        <v>11816</v>
      </c>
      <c r="N1" s="21" t="s">
        <v>11817</v>
      </c>
      <c r="O1" s="22" t="s">
        <v>11899</v>
      </c>
      <c r="P1" s="21" t="s">
        <v>11526</v>
      </c>
      <c r="Q1" s="21" t="s">
        <v>11527</v>
      </c>
      <c r="R1" s="51" t="s">
        <v>13911</v>
      </c>
    </row>
    <row r="2" spans="1:18" x14ac:dyDescent="0.25">
      <c r="A2" t="s">
        <v>11496</v>
      </c>
      <c r="B2">
        <v>890</v>
      </c>
      <c r="C2" t="s">
        <v>13109</v>
      </c>
      <c r="D2" s="27">
        <v>5.0999999999999996</v>
      </c>
      <c r="E2" t="s">
        <v>12950</v>
      </c>
      <c r="F2" s="28">
        <v>42018</v>
      </c>
      <c r="I2" s="23">
        <v>250</v>
      </c>
      <c r="L2" s="23">
        <v>254.99999999999997</v>
      </c>
      <c r="O2" s="30" t="s">
        <v>11422</v>
      </c>
      <c r="P2" t="str">
        <f>IF(M2&gt;0.01,"",
IF(VLOOKUP(Historical!E2,'Master Input'!B:U,20,FALSE)=TRUE,((VLOOKUP(VLOOKUP(Historical!B2,#REF!,15,FALSE),Payscales!A:C,5,FALSE)*(VLOOKUP(E2,'Master Input'!B:C,2,FALSE)))-(Historical!G2+(IF(Historical!I2="",0,Historical!I2))+Historical!J2+(IF(Historical!L2="",0,Historical!L2)))),""))</f>
        <v/>
      </c>
    </row>
    <row r="3" spans="1:18" x14ac:dyDescent="0.25">
      <c r="A3" t="s">
        <v>2841</v>
      </c>
      <c r="B3">
        <v>340</v>
      </c>
      <c r="C3" t="s">
        <v>11908</v>
      </c>
      <c r="D3" s="27">
        <v>6.375</v>
      </c>
      <c r="E3" t="s">
        <v>11621</v>
      </c>
      <c r="F3" s="18">
        <v>41989</v>
      </c>
      <c r="I3" s="23">
        <v>250</v>
      </c>
      <c r="L3" s="23">
        <v>318.75</v>
      </c>
      <c r="O3" s="30" t="s">
        <v>11422</v>
      </c>
      <c r="P3" t="str">
        <f>IF(M3&gt;0.01,"",
IF(VLOOKUP(Historical!E3,'Master Input'!B:U,20,FALSE)=TRUE,((VLOOKUP(VLOOKUP(Historical!B3,#REF!,15,FALSE),Payscales!A:C,5,FALSE)*(VLOOKUP(E3,'Master Input'!B:C,2,FALSE)))-(Historical!G3+(IF(Historical!I3="",0,Historical!I3))+Historical!J3+(IF(Historical!L3="",0,Historical!L3)))),""))</f>
        <v/>
      </c>
    </row>
    <row r="4" spans="1:18" x14ac:dyDescent="0.25">
      <c r="A4" t="s">
        <v>11466</v>
      </c>
      <c r="B4">
        <v>867</v>
      </c>
      <c r="C4" t="s">
        <v>12787</v>
      </c>
      <c r="D4" s="27">
        <v>7.75</v>
      </c>
      <c r="E4" t="s">
        <v>12655</v>
      </c>
      <c r="F4" s="28">
        <v>42010</v>
      </c>
      <c r="I4" s="23">
        <v>250</v>
      </c>
      <c r="L4" s="23">
        <v>375</v>
      </c>
      <c r="M4" s="23">
        <v>925</v>
      </c>
      <c r="N4" s="18">
        <v>42041</v>
      </c>
      <c r="O4" s="30"/>
      <c r="P4" t="str">
        <f>IF(M4&gt;0.01,"",
IF(VLOOKUP(Historical!E4,'Master Input'!B:U,20,FALSE)=TRUE,((VLOOKUP(VLOOKUP(Historical!B4,#REF!,15,FALSE),Payscales!A:C,5,FALSE)*(VLOOKUP(E4,'Master Input'!B:C,2,FALSE)))-(Historical!G4+(IF(Historical!I4="",0,Historical!I4))+Historical!J4+(IF(Historical!L4="",0,Historical!L4)))),""))</f>
        <v/>
      </c>
    </row>
    <row r="5" spans="1:18" x14ac:dyDescent="0.25">
      <c r="A5" t="s">
        <v>3861</v>
      </c>
      <c r="B5">
        <v>690</v>
      </c>
      <c r="C5" t="s">
        <v>13398</v>
      </c>
      <c r="D5" s="27">
        <v>13</v>
      </c>
      <c r="E5" t="s">
        <v>13375</v>
      </c>
      <c r="F5" s="28">
        <v>42025</v>
      </c>
      <c r="I5" s="23">
        <v>250</v>
      </c>
      <c r="L5" s="23">
        <v>650</v>
      </c>
      <c r="N5" s="17"/>
      <c r="O5" s="30"/>
      <c r="P5" t="str">
        <f>IF(M5&gt;0.01,"",
IF(VLOOKUP(Historical!E5,'Master Input'!B:U,20,FALSE)=TRUE,((VLOOKUP(VLOOKUP(Historical!B5,#REF!,15,FALSE),Payscales!A:C,5,FALSE)*(VLOOKUP(E5,'Master Input'!B:C,2,FALSE)))-(Historical!G5+(IF(Historical!I5="",0,Historical!I5))+Historical!J5+(IF(Historical!L5="",0,Historical!L5)))),""))</f>
        <v/>
      </c>
    </row>
    <row r="6" spans="1:18" x14ac:dyDescent="0.25">
      <c r="A6" t="s">
        <v>2619</v>
      </c>
      <c r="B6">
        <v>222</v>
      </c>
      <c r="C6" t="s">
        <v>12186</v>
      </c>
      <c r="D6" s="27">
        <v>5.75</v>
      </c>
      <c r="E6" t="s">
        <v>12076</v>
      </c>
      <c r="F6" s="18">
        <v>41991</v>
      </c>
      <c r="I6" s="23">
        <v>250</v>
      </c>
      <c r="J6" s="23">
        <v>287.5</v>
      </c>
      <c r="K6" s="18">
        <v>42027</v>
      </c>
      <c r="L6" s="23" t="s">
        <v>11422</v>
      </c>
      <c r="M6" s="23">
        <v>1072.5</v>
      </c>
      <c r="N6" s="18">
        <v>42041</v>
      </c>
      <c r="O6" s="30"/>
      <c r="P6" t="str">
        <f>IF(M6&gt;0.01,"",
IF(VLOOKUP(Historical!E6,'Master Input'!B:U,20,FALSE)=TRUE,((VLOOKUP(VLOOKUP(Historical!B6,#REF!,15,FALSE),Payscales!A:C,5,FALSE)*(VLOOKUP(E6,'Master Input'!B:C,2,FALSE)))-(Historical!G6+(IF(Historical!I6="",0,Historical!I6))+Historical!J6+(IF(Historical!L6="",0,Historical!L6)))),""))</f>
        <v/>
      </c>
    </row>
    <row r="7" spans="1:18" x14ac:dyDescent="0.25">
      <c r="A7" t="s">
        <v>2592</v>
      </c>
      <c r="B7">
        <v>205</v>
      </c>
      <c r="C7" t="s">
        <v>12835</v>
      </c>
      <c r="D7" s="27">
        <v>6.375</v>
      </c>
      <c r="E7" t="s">
        <v>12582</v>
      </c>
      <c r="F7" s="28">
        <v>42014</v>
      </c>
      <c r="J7" s="23">
        <v>318.75</v>
      </c>
      <c r="K7" s="18">
        <v>42034</v>
      </c>
      <c r="L7" s="23" t="s">
        <v>11422</v>
      </c>
      <c r="O7" s="30"/>
      <c r="P7" t="e">
        <f>IF(M7&gt;0.01,"",
IF(VLOOKUP(Historical!E7,'Master Input'!B:U,20,FALSE)=TRUE,((VLOOKUP(VLOOKUP(Historical!B7,#REF!,14,FALSE),Payscales!A:C,5,FALSE)*(VLOOKUP(E7,'Master Input'!B:C,2,FALSE)))-(Historical!G7+(IF(Historical!I7="",0,Historical!I7))+Historical!J7+(IF(Historical!L7="",0,Historical!L7)))),""))</f>
        <v>#REF!</v>
      </c>
    </row>
    <row r="8" spans="1:18" x14ac:dyDescent="0.25">
      <c r="A8" t="s">
        <v>3767</v>
      </c>
      <c r="B8">
        <v>817</v>
      </c>
      <c r="C8" t="s">
        <v>13095</v>
      </c>
      <c r="D8" s="27">
        <v>2.8050000000000002</v>
      </c>
      <c r="E8" t="s">
        <v>12932</v>
      </c>
      <c r="F8" s="28">
        <v>42019</v>
      </c>
      <c r="I8" s="23">
        <v>250</v>
      </c>
      <c r="J8" s="23">
        <v>140.25</v>
      </c>
      <c r="K8" s="18">
        <v>42034</v>
      </c>
      <c r="L8" s="23" t="s">
        <v>11422</v>
      </c>
      <c r="O8" s="30" t="s">
        <v>11422</v>
      </c>
      <c r="P8" t="str">
        <f>IF(M8&gt;0.01,"",
IF(VLOOKUP(Historical!E8,'Master Input'!B:U,20,FALSE)=TRUE,((VLOOKUP(VLOOKUP(Historical!B8,#REF!,14,FALSE),Payscales!A:C,5,FALSE)*(VLOOKUP(E8,'Master Input'!B:C,2,FALSE)))-(Historical!G8+(IF(Historical!I8="",0,Historical!I8))+Historical!J8+(IF(Historical!L8="",0,Historical!L8)))),""))</f>
        <v/>
      </c>
    </row>
    <row r="9" spans="1:18" x14ac:dyDescent="0.25">
      <c r="A9" t="s">
        <v>3751</v>
      </c>
      <c r="B9">
        <v>809</v>
      </c>
      <c r="C9" t="s">
        <v>12849</v>
      </c>
      <c r="D9" s="27">
        <v>7</v>
      </c>
      <c r="E9" t="s">
        <v>12596</v>
      </c>
      <c r="F9" s="28">
        <v>42014</v>
      </c>
      <c r="J9" s="23">
        <v>350</v>
      </c>
      <c r="K9" s="18">
        <v>42027</v>
      </c>
      <c r="L9" s="23" t="s">
        <v>11422</v>
      </c>
      <c r="M9" s="23">
        <v>1610</v>
      </c>
      <c r="N9" s="18">
        <v>42034</v>
      </c>
      <c r="O9" s="30" t="s">
        <v>11422</v>
      </c>
      <c r="P9" t="str">
        <f>IF(M9&gt;0.01,"",
IF(VLOOKUP(Historical!E9,'Master Input'!B:U,20,FALSE)=TRUE,((VLOOKUP(VLOOKUP(Historical!B9,#REF!,14,FALSE),Payscales!A:C,5,FALSE)*(VLOOKUP(E9,'Master Input'!B:C,2,FALSE)))-(Historical!G9+(IF(Historical!I9="",0,Historical!I9))+Historical!J9+(IF(Historical!L9="",0,Historical!L9)))),""))</f>
        <v/>
      </c>
    </row>
    <row r="10" spans="1:18" x14ac:dyDescent="0.25">
      <c r="A10" t="s">
        <v>3361</v>
      </c>
      <c r="B10">
        <v>607</v>
      </c>
      <c r="C10" t="s">
        <v>12879</v>
      </c>
      <c r="D10" s="27">
        <v>3</v>
      </c>
      <c r="E10" t="s">
        <v>12627</v>
      </c>
      <c r="F10" s="28">
        <v>42013</v>
      </c>
      <c r="I10" s="23">
        <v>250</v>
      </c>
      <c r="J10" s="23">
        <v>150</v>
      </c>
      <c r="K10" s="18">
        <v>42027</v>
      </c>
      <c r="L10" s="23" t="s">
        <v>11422</v>
      </c>
      <c r="O10" s="30" t="s">
        <v>11422</v>
      </c>
      <c r="P10" t="str">
        <f>IF(M10&gt;0.01,"",
IF(VLOOKUP(Historical!E10,'Master Input'!B:U,20,FALSE)=TRUE,((VLOOKUP(VLOOKUP(Historical!B10,#REF!,14,FALSE),Payscales!A:C,5,FALSE)*(VLOOKUP(E10,'Master Input'!B:C,2,FALSE)))-(Historical!G10+(IF(Historical!I10="",0,Historical!I10))+Historical!J10+(IF(Historical!L10="",0,Historical!L10)))),""))</f>
        <v/>
      </c>
    </row>
    <row r="11" spans="1:18" x14ac:dyDescent="0.25">
      <c r="A11" t="s">
        <v>2244</v>
      </c>
      <c r="B11">
        <v>23</v>
      </c>
      <c r="C11" t="s">
        <v>12889</v>
      </c>
      <c r="D11" s="27">
        <v>3.57</v>
      </c>
      <c r="E11" t="s">
        <v>12639</v>
      </c>
      <c r="F11" s="28">
        <v>42012</v>
      </c>
      <c r="I11" s="23">
        <v>250</v>
      </c>
      <c r="J11" s="23">
        <v>178.5</v>
      </c>
      <c r="K11" s="18">
        <v>42027</v>
      </c>
      <c r="L11" s="23" t="s">
        <v>11422</v>
      </c>
      <c r="O11" s="30" t="s">
        <v>11422</v>
      </c>
      <c r="P11" t="str">
        <f>IF(M11&gt;0.01,"",
IF(VLOOKUP(Historical!E11,'Master Input'!B:U,20,FALSE)=TRUE,((VLOOKUP(VLOOKUP(Historical!B11,#REF!,14,FALSE),Payscales!A:C,5,FALSE)*(VLOOKUP(E11,'Master Input'!B:C,2,FALSE)))-(Historical!G11+(IF(Historical!I11="",0,Historical!I11))+Historical!J11+(IF(Historical!L11="",0,Historical!L11)))),""))</f>
        <v/>
      </c>
    </row>
    <row r="12" spans="1:18" x14ac:dyDescent="0.25">
      <c r="A12" t="s">
        <v>2599</v>
      </c>
      <c r="B12">
        <v>211</v>
      </c>
      <c r="C12" t="s">
        <v>12060</v>
      </c>
      <c r="D12" s="27">
        <v>4.335</v>
      </c>
      <c r="E12" t="s">
        <v>4875</v>
      </c>
      <c r="F12" s="18">
        <v>41975</v>
      </c>
      <c r="I12" s="23">
        <v>250</v>
      </c>
      <c r="J12" s="23">
        <v>216.75</v>
      </c>
      <c r="K12" s="18">
        <v>42027</v>
      </c>
      <c r="L12" s="23" t="s">
        <v>11422</v>
      </c>
      <c r="O12" s="30" t="s">
        <v>11422</v>
      </c>
      <c r="P12" t="str">
        <f>IF(M12&gt;0.01,"",
IF(VLOOKUP(Historical!E12,'Master Input'!B:U,20,FALSE)=TRUE,((VLOOKUP(VLOOKUP(Historical!B12,#REF!,14,FALSE),Payscales!A:C,5,FALSE)*(VLOOKUP(E12,'Master Input'!B:C,2,FALSE)))-(Historical!G12+(IF(Historical!I12="",0,Historical!I12))+Historical!J12+(IF(Historical!L12="",0,Historical!L12)))),""))</f>
        <v/>
      </c>
    </row>
    <row r="13" spans="1:18" x14ac:dyDescent="0.25">
      <c r="A13" t="s">
        <v>3460</v>
      </c>
      <c r="B13">
        <v>659</v>
      </c>
      <c r="C13" t="s">
        <v>12851</v>
      </c>
      <c r="D13" s="27">
        <v>8.16</v>
      </c>
      <c r="E13" t="s">
        <v>12598</v>
      </c>
      <c r="F13" s="28">
        <v>42014</v>
      </c>
      <c r="I13" s="23">
        <v>250</v>
      </c>
      <c r="J13" s="23">
        <v>408</v>
      </c>
      <c r="K13" s="18">
        <v>42027</v>
      </c>
      <c r="L13" s="23" t="s">
        <v>11422</v>
      </c>
      <c r="O13" s="30" t="s">
        <v>11422</v>
      </c>
      <c r="P13" t="str">
        <f>IF(M13&gt;0.01,"",
IF(VLOOKUP(Historical!E13,'Master Input'!B:U,20,FALSE)=TRUE,((VLOOKUP(VLOOKUP(Historical!B13,#REF!,14,FALSE),Payscales!A:C,5,FALSE)*(VLOOKUP(E13,'Master Input'!B:C,2,FALSE)))-(Historical!G13+(IF(Historical!I13="",0,Historical!I13))+Historical!J13+(IF(Historical!L13="",0,Historical!L13)))),""))</f>
        <v/>
      </c>
    </row>
    <row r="14" spans="1:18" x14ac:dyDescent="0.25">
      <c r="A14" t="s">
        <v>3502</v>
      </c>
      <c r="B14">
        <v>680</v>
      </c>
      <c r="C14" t="s">
        <v>11872</v>
      </c>
      <c r="D14" s="27">
        <v>9.69</v>
      </c>
      <c r="E14" t="s">
        <v>11723</v>
      </c>
      <c r="F14" s="18">
        <v>41985</v>
      </c>
      <c r="I14" s="23">
        <v>250</v>
      </c>
      <c r="J14" s="23">
        <v>484.5</v>
      </c>
      <c r="K14" s="18">
        <v>42027</v>
      </c>
      <c r="L14" s="23" t="s">
        <v>11422</v>
      </c>
      <c r="O14" s="30" t="s">
        <v>11422</v>
      </c>
      <c r="P14" t="str">
        <f>IF(M14&gt;0.01,"",
IF(VLOOKUP(Historical!E14,'Master Input'!B:U,20,FALSE)=TRUE,((VLOOKUP(VLOOKUP(Historical!B14,#REF!,14,FALSE),Payscales!A:C,5,FALSE)*(VLOOKUP(E14,'Master Input'!B:C,2,FALSE)))-(Historical!G14+(IF(Historical!I14="",0,Historical!I14))+Historical!J14+(IF(Historical!L14="",0,Historical!L14)))),""))</f>
        <v/>
      </c>
    </row>
    <row r="15" spans="1:18" x14ac:dyDescent="0.25">
      <c r="A15" t="s">
        <v>2728</v>
      </c>
      <c r="B15">
        <v>282</v>
      </c>
      <c r="C15" t="s">
        <v>12195</v>
      </c>
      <c r="D15" s="27">
        <v>10.5</v>
      </c>
      <c r="E15" t="s">
        <v>12098</v>
      </c>
      <c r="F15" s="18">
        <v>41990</v>
      </c>
      <c r="I15" s="23">
        <v>250</v>
      </c>
      <c r="J15" s="23">
        <v>525</v>
      </c>
      <c r="K15" s="18">
        <v>42020</v>
      </c>
      <c r="L15" s="23" t="s">
        <v>11422</v>
      </c>
      <c r="O15" s="30" t="s">
        <v>11422</v>
      </c>
      <c r="P15" t="str">
        <f>IF(M15&gt;0.01,"",
IF(VLOOKUP(Historical!E15,'Master Input'!B:U,20,FALSE)=TRUE,((VLOOKUP(VLOOKUP(Historical!B15,#REF!,14,FALSE),Payscales!A:C,5,FALSE)*(VLOOKUP(E15,'Master Input'!B:C,2,FALSE)))-(Historical!G15+(IF(Historical!I15="",0,Historical!I15))+Historical!J15+(IF(Historical!L15="",0,Historical!L15)))),""))</f>
        <v/>
      </c>
    </row>
    <row r="16" spans="1:18" x14ac:dyDescent="0.25">
      <c r="A16" t="s">
        <v>12282</v>
      </c>
      <c r="B16">
        <v>949</v>
      </c>
      <c r="C16" t="s">
        <v>12877</v>
      </c>
      <c r="D16" s="27">
        <v>6.8849999999999998</v>
      </c>
      <c r="E16" t="s">
        <v>12625</v>
      </c>
      <c r="F16" s="28">
        <v>42013</v>
      </c>
      <c r="I16" s="23">
        <v>250</v>
      </c>
      <c r="L16" s="23" t="s">
        <v>11422</v>
      </c>
      <c r="O16" s="30" t="s">
        <v>11422</v>
      </c>
      <c r="P16" t="str">
        <f>IF(M16&gt;0.01,"",
IF(VLOOKUP(Historical!E16,'Master Input'!B:U,20,FALSE)=TRUE,((VLOOKUP(VLOOKUP(Historical!B16,#REF!,14,FALSE),Payscales!A:C,5,FALSE)*(VLOOKUP(E16,'Master Input'!B:C,2,FALSE)))-(Historical!G16+(IF(Historical!I16="",0,Historical!I16))+Historical!J16+(IF(Historical!L16="",0,Historical!L16)))),""))</f>
        <v/>
      </c>
    </row>
    <row r="17" spans="1:16" x14ac:dyDescent="0.25">
      <c r="A17" t="s">
        <v>3767</v>
      </c>
      <c r="B17">
        <v>817</v>
      </c>
      <c r="C17" t="s">
        <v>12457</v>
      </c>
      <c r="D17" s="27">
        <v>7.3949999999999996</v>
      </c>
      <c r="E17" t="s">
        <v>12408</v>
      </c>
      <c r="F17" s="28">
        <v>42003</v>
      </c>
      <c r="I17" s="23">
        <v>250</v>
      </c>
      <c r="L17" s="23" t="s">
        <v>11422</v>
      </c>
      <c r="O17" s="30" t="s">
        <v>11422</v>
      </c>
      <c r="P17" t="str">
        <f>IF(M17&gt;0.01,"",
IF(VLOOKUP(Historical!E17,'Master Input'!B:U,20,FALSE)=TRUE,((VLOOKUP(VLOOKUP(Historical!B17,#REF!,14,FALSE),Payscales!A:C,5,FALSE)*(VLOOKUP(E17,'Master Input'!B:C,2,FALSE)))-(Historical!G17+(IF(Historical!I17="",0,Historical!I17))+Historical!J17+(IF(Historical!L17="",0,Historical!L17)))),""))</f>
        <v/>
      </c>
    </row>
    <row r="18" spans="1:16" x14ac:dyDescent="0.25">
      <c r="A18" t="s">
        <v>12206</v>
      </c>
      <c r="B18">
        <v>908</v>
      </c>
      <c r="C18" t="s">
        <v>13058</v>
      </c>
      <c r="D18" s="27">
        <v>5.0999999999999996</v>
      </c>
      <c r="E18" t="s">
        <v>12946</v>
      </c>
      <c r="F18" s="28">
        <v>42018</v>
      </c>
      <c r="I18" s="23">
        <v>250</v>
      </c>
      <c r="L18" s="23" t="s">
        <v>11422</v>
      </c>
      <c r="O18" s="30" t="s">
        <v>11422</v>
      </c>
      <c r="P18" t="str">
        <f>IF(M18&gt;0.01,"",
IF(VLOOKUP(Historical!E18,'Master Input'!B:U,20,FALSE)=TRUE,((VLOOKUP(VLOOKUP(Historical!B18,#REF!,14,FALSE),Payscales!A:C,5,FALSE)*(VLOOKUP(E18,'Master Input'!B:C,2,FALSE)))-(Historical!G18+(IF(Historical!I18="",0,Historical!I18))+Historical!J18+(IF(Historical!L18="",0,Historical!L18)))),""))</f>
        <v/>
      </c>
    </row>
    <row r="19" spans="1:16" x14ac:dyDescent="0.25">
      <c r="A19" t="s">
        <v>12241</v>
      </c>
      <c r="B19">
        <v>930</v>
      </c>
      <c r="C19" t="s">
        <v>13122</v>
      </c>
      <c r="D19" s="27">
        <v>5.3550000000000004</v>
      </c>
      <c r="E19" t="s">
        <v>12971</v>
      </c>
      <c r="F19" s="28">
        <v>42016</v>
      </c>
      <c r="I19" s="23">
        <v>250</v>
      </c>
      <c r="L19" s="23" t="s">
        <v>11422</v>
      </c>
      <c r="O19" s="30" t="s">
        <v>11422</v>
      </c>
      <c r="P19" t="str">
        <f>IF(M19&gt;0.01,"",
IF(VLOOKUP(Historical!E19,'Master Input'!B:U,20,FALSE)=TRUE,((VLOOKUP(VLOOKUP(Historical!B19,#REF!,14,FALSE),Payscales!A:C,5,FALSE)*(VLOOKUP(E19,'Master Input'!B:C,2,FALSE)))-(Historical!G19+(IF(Historical!I19="",0,Historical!I19))+Historical!J19+(IF(Historical!L19="",0,Historical!L19)))),""))</f>
        <v/>
      </c>
    </row>
    <row r="20" spans="1:16" x14ac:dyDescent="0.25">
      <c r="A20" t="s">
        <v>3460</v>
      </c>
      <c r="B20">
        <v>659</v>
      </c>
      <c r="C20" t="s">
        <v>13517</v>
      </c>
      <c r="D20" s="27">
        <v>2.8050000000000002</v>
      </c>
      <c r="E20" t="s">
        <v>13348</v>
      </c>
      <c r="F20" s="28">
        <v>42029</v>
      </c>
      <c r="I20" s="23">
        <v>250</v>
      </c>
      <c r="L20" s="23" t="s">
        <v>11422</v>
      </c>
      <c r="N20" s="17"/>
      <c r="O20" s="30" t="s">
        <v>11422</v>
      </c>
      <c r="P20" t="str">
        <f>IF(M20&gt;0.01,"",
IF(VLOOKUP(Historical!E20,'Master Input'!B:U,20,FALSE)=TRUE,((VLOOKUP(VLOOKUP(Historical!B20,#REF!,14,FALSE),Payscales!A:C,5,FALSE)*(VLOOKUP(E20,'Master Input'!B:C,2,FALSE)))-(Historical!G20+(IF(Historical!I20="",0,Historical!I20))+Historical!J20+(IF(Historical!L20="",0,Historical!L20)))),""))</f>
        <v/>
      </c>
    </row>
    <row r="21" spans="1:16" x14ac:dyDescent="0.25">
      <c r="A21" t="s">
        <v>3555</v>
      </c>
      <c r="B21">
        <v>707</v>
      </c>
      <c r="C21" t="s">
        <v>13535</v>
      </c>
      <c r="D21" s="27">
        <v>8.06</v>
      </c>
      <c r="E21" t="s">
        <v>13269</v>
      </c>
      <c r="F21" s="28">
        <v>42028</v>
      </c>
      <c r="I21" s="23">
        <v>250</v>
      </c>
      <c r="L21" s="23" t="s">
        <v>11422</v>
      </c>
      <c r="N21" s="17"/>
      <c r="O21" s="30" t="s">
        <v>11422</v>
      </c>
      <c r="P21" t="str">
        <f>IF(M21&gt;0.01,"",
IF(VLOOKUP(Historical!E21,'Master Input'!B:U,20,FALSE)=TRUE,((VLOOKUP(VLOOKUP(Historical!B21,#REF!,14,FALSE),Payscales!A:C,5,FALSE)*(VLOOKUP(E21,'Master Input'!B:C,2,FALSE)))-(Historical!G21+(IF(Historical!I21="",0,Historical!I21))+Historical!J21+(IF(Historical!L21="",0,Historical!L21)))),""))</f>
        <v/>
      </c>
    </row>
    <row r="22" spans="1:16" x14ac:dyDescent="0.25">
      <c r="A22" t="s">
        <v>3353</v>
      </c>
      <c r="B22">
        <v>603</v>
      </c>
      <c r="C22" t="s">
        <v>13383</v>
      </c>
      <c r="D22" s="27">
        <v>17.420000000000002</v>
      </c>
      <c r="E22" t="s">
        <v>13202</v>
      </c>
      <c r="F22" s="28">
        <v>42027</v>
      </c>
      <c r="I22" s="23">
        <v>250</v>
      </c>
      <c r="L22" s="23" t="s">
        <v>11422</v>
      </c>
      <c r="N22" s="17"/>
      <c r="O22" s="30" t="s">
        <v>11422</v>
      </c>
      <c r="P22" t="str">
        <f>IF(M22&gt;0.01,"",
IF(VLOOKUP(Historical!E22,'Master Input'!B:U,20,FALSE)=TRUE,((VLOOKUP(VLOOKUP(Historical!B22,#REF!,14,FALSE),Payscales!A:C,5,FALSE)*(VLOOKUP(E22,'Master Input'!B:C,2,FALSE)))-(Historical!G22+(IF(Historical!I22="",0,Historical!I22))+Historical!J22+(IF(Historical!L22="",0,Historical!L22)))),""))</f>
        <v/>
      </c>
    </row>
    <row r="23" spans="1:16" x14ac:dyDescent="0.25">
      <c r="A23" t="s">
        <v>3313</v>
      </c>
      <c r="B23">
        <v>582</v>
      </c>
      <c r="C23" t="s">
        <v>13382</v>
      </c>
      <c r="D23" s="27">
        <v>5.72</v>
      </c>
      <c r="E23" t="s">
        <v>13209</v>
      </c>
      <c r="F23" s="28">
        <v>42027</v>
      </c>
      <c r="I23" s="23">
        <v>250</v>
      </c>
      <c r="L23" s="23" t="s">
        <v>11422</v>
      </c>
      <c r="N23" s="17"/>
      <c r="O23" s="30" t="s">
        <v>11422</v>
      </c>
      <c r="P23" t="str">
        <f>IF(M23&gt;0.01,"",
IF(VLOOKUP(Historical!E23,'Master Input'!B:U,20,FALSE)=TRUE,((VLOOKUP(VLOOKUP(Historical!B23,#REF!,14,FALSE),Payscales!A:C,5,FALSE)*(VLOOKUP(E23,'Master Input'!B:C,2,FALSE)))-(Historical!G23+(IF(Historical!I23="",0,Historical!I23))+Historical!J23+(IF(Historical!L23="",0,Historical!L23)))),""))</f>
        <v/>
      </c>
    </row>
    <row r="24" spans="1:16" x14ac:dyDescent="0.25">
      <c r="A24" t="s">
        <v>12574</v>
      </c>
      <c r="B24">
        <v>974</v>
      </c>
      <c r="C24" t="s">
        <v>13577</v>
      </c>
      <c r="D24" s="27">
        <v>2.2949999999999999</v>
      </c>
      <c r="E24" t="s">
        <v>13205</v>
      </c>
      <c r="F24" s="28">
        <v>42021</v>
      </c>
      <c r="I24" s="23">
        <v>250</v>
      </c>
      <c r="L24" s="23" t="s">
        <v>11422</v>
      </c>
      <c r="N24" s="17"/>
      <c r="O24" s="30" t="s">
        <v>11422</v>
      </c>
      <c r="P24" t="str">
        <f>IF(M24&gt;0.01,"",
IF(VLOOKUP(Historical!E24,'Master Input'!B:U,20,FALSE)=TRUE,((VLOOKUP(VLOOKUP(Historical!B24,#REF!,14,FALSE),Payscales!A:C,5,FALSE)*(VLOOKUP(E24,'Master Input'!B:C,2,FALSE)))-(Historical!G24+(IF(Historical!I24="",0,Historical!I24))+Historical!J24+(IF(Historical!L24="",0,Historical!L24)))),""))</f>
        <v/>
      </c>
    </row>
    <row r="25" spans="1:16" x14ac:dyDescent="0.25">
      <c r="A25" t="s">
        <v>2342</v>
      </c>
      <c r="B25">
        <v>77</v>
      </c>
      <c r="C25" t="s">
        <v>13066</v>
      </c>
      <c r="D25" s="27">
        <v>10.5</v>
      </c>
      <c r="E25" t="s">
        <v>13065</v>
      </c>
      <c r="F25" s="28">
        <v>42021</v>
      </c>
      <c r="I25" s="23">
        <v>250</v>
      </c>
      <c r="L25" s="23" t="s">
        <v>11422</v>
      </c>
      <c r="N25" s="17"/>
      <c r="O25" s="30" t="s">
        <v>11422</v>
      </c>
      <c r="P25" t="str">
        <f>IF(M25&gt;0.01,"",
IF(VLOOKUP(Historical!E25,'Master Input'!B:U,20,FALSE)=TRUE,((VLOOKUP(VLOOKUP(Historical!B25,#REF!,14,FALSE),Payscales!A:C,5,FALSE)*(VLOOKUP(E25,'Master Input'!B:C,2,FALSE)))-(Historical!G25+(IF(Historical!I25="",0,Historical!I25))+Historical!J25+(IF(Historical!L25="",0,Historical!L25)))),""))</f>
        <v/>
      </c>
    </row>
    <row r="26" spans="1:16" x14ac:dyDescent="0.25">
      <c r="A26" t="s">
        <v>12491</v>
      </c>
      <c r="B26">
        <v>962</v>
      </c>
      <c r="C26" t="s">
        <v>13413</v>
      </c>
      <c r="D26" s="27">
        <v>9.18</v>
      </c>
      <c r="E26" t="s">
        <v>13274</v>
      </c>
      <c r="F26" s="28">
        <v>42021</v>
      </c>
      <c r="I26" s="23">
        <v>250</v>
      </c>
      <c r="L26" s="23" t="s">
        <v>11422</v>
      </c>
      <c r="N26" s="17"/>
      <c r="O26" s="30" t="s">
        <v>11422</v>
      </c>
      <c r="P26" t="str">
        <f>IF(M26&gt;0.01,"",
IF(VLOOKUP(Historical!E26,'Master Input'!B:U,20,FALSE)=TRUE,((VLOOKUP(VLOOKUP(Historical!B26,#REF!,14,FALSE),Payscales!A:C,5,FALSE)*(VLOOKUP(E26,'Master Input'!B:C,2,FALSE)))-(Historical!G26+(IF(Historical!I26="",0,Historical!I26))+Historical!J26+(IF(Historical!L26="",0,Historical!L26)))),""))</f>
        <v/>
      </c>
    </row>
    <row r="27" spans="1:16" x14ac:dyDescent="0.25">
      <c r="A27" t="s">
        <v>2890</v>
      </c>
      <c r="B27">
        <v>365</v>
      </c>
      <c r="C27" t="s">
        <v>13816</v>
      </c>
      <c r="D27" s="27">
        <v>6.5</v>
      </c>
      <c r="E27" t="s">
        <v>13637</v>
      </c>
      <c r="F27" s="28">
        <v>42031</v>
      </c>
      <c r="I27" s="23">
        <v>250</v>
      </c>
      <c r="L27" s="23" t="s">
        <v>11422</v>
      </c>
      <c r="O27" s="30" t="s">
        <v>11422</v>
      </c>
      <c r="P27" t="str">
        <f>IF(M27&gt;0.01,"",
IF(VLOOKUP(Historical!E27,'Master Input'!B:U,20,FALSE)=TRUE,((VLOOKUP(VLOOKUP(Historical!B27,#REF!,14,FALSE),Payscales!A:C,5,FALSE)*(VLOOKUP(E27,'Master Input'!B:C,2,FALSE)))-(Historical!G27+(IF(Historical!I27="",0,Historical!I27))+Historical!J27+(IF(Historical!L27="",0,Historical!L27)))),""))</f>
        <v/>
      </c>
    </row>
    <row r="28" spans="1:16" x14ac:dyDescent="0.25">
      <c r="A28" t="s">
        <v>2890</v>
      </c>
      <c r="B28">
        <v>365</v>
      </c>
      <c r="C28" t="s">
        <v>13815</v>
      </c>
      <c r="D28" s="27">
        <v>7.54</v>
      </c>
      <c r="E28" t="s">
        <v>13641</v>
      </c>
      <c r="F28" s="28">
        <v>42031</v>
      </c>
      <c r="I28" s="23">
        <v>250</v>
      </c>
      <c r="L28" s="23" t="s">
        <v>11422</v>
      </c>
      <c r="O28" s="30" t="s">
        <v>11422</v>
      </c>
      <c r="P28" t="str">
        <f>IF(M28&gt;0.01,"",
IF(VLOOKUP(Historical!E28,'Master Input'!B:U,20,FALSE)=TRUE,((VLOOKUP(VLOOKUP(Historical!B28,#REF!,14,FALSE),Payscales!A:C,5,FALSE)*(VLOOKUP(E28,'Master Input'!B:C,2,FALSE)))-(Historical!G28+(IF(Historical!I28="",0,Historical!I28))+Historical!J28+(IF(Historical!L28="",0,Historical!L28)))),""))</f>
        <v/>
      </c>
    </row>
    <row r="29" spans="1:16" x14ac:dyDescent="0.25">
      <c r="A29" t="s">
        <v>3590</v>
      </c>
      <c r="B29">
        <v>726</v>
      </c>
      <c r="C29" t="s">
        <v>12893</v>
      </c>
      <c r="D29" s="27">
        <v>3.3149999999999999</v>
      </c>
      <c r="E29" t="s">
        <v>12643</v>
      </c>
      <c r="F29" s="28">
        <v>42011</v>
      </c>
      <c r="I29" s="23" t="s">
        <v>11422</v>
      </c>
      <c r="L29" s="23">
        <v>165.75</v>
      </c>
      <c r="O29" s="30" t="s">
        <v>11422</v>
      </c>
      <c r="P29" t="str">
        <f>IF(M29&gt;0.01,"",
IF(VLOOKUP(Historical!E29,'Master Input'!B:U,20,FALSE)=TRUE,((VLOOKUP(VLOOKUP(Historical!B29,#REF!,14,FALSE),Payscales!A:C,5,FALSE)*(VLOOKUP(E29,'Master Input'!B:C,2,FALSE)))-(Historical!G29+(IF(Historical!I29="",0,Historical!I29))+Historical!J29+(IF(Historical!L29="",0,Historical!L29)))),""))</f>
        <v/>
      </c>
    </row>
    <row r="30" spans="1:16" x14ac:dyDescent="0.25">
      <c r="A30" t="s">
        <v>2252</v>
      </c>
      <c r="B30">
        <v>28</v>
      </c>
      <c r="C30" t="s">
        <v>11970</v>
      </c>
      <c r="D30" s="27">
        <v>4.75</v>
      </c>
      <c r="E30" t="s">
        <v>11751</v>
      </c>
      <c r="F30" s="18">
        <v>41981</v>
      </c>
      <c r="G30" s="34">
        <v>250</v>
      </c>
      <c r="H30" s="18">
        <v>42027</v>
      </c>
      <c r="I30" s="23" t="s">
        <v>11422</v>
      </c>
      <c r="L30" s="23">
        <v>237.5</v>
      </c>
      <c r="O30" s="30" t="s">
        <v>11422</v>
      </c>
      <c r="P30" t="str">
        <f>IF(M30&gt;0.01,"",
IF(VLOOKUP(Historical!E30,'Master Input'!B:U,20,FALSE)=TRUE,((VLOOKUP(VLOOKUP(Historical!B30,#REF!,14,FALSE),Payscales!A:C,5,FALSE)*(VLOOKUP(E30,'Master Input'!B:C,2,FALSE)))-(Historical!G30+(IF(Historical!I30="",0,Historical!I30))+Historical!J30+(IF(Historical!L30="",0,Historical!L30)))),""))</f>
        <v/>
      </c>
    </row>
    <row r="31" spans="1:16" x14ac:dyDescent="0.25">
      <c r="A31" t="s">
        <v>3651</v>
      </c>
      <c r="B31">
        <v>758</v>
      </c>
      <c r="C31" t="s">
        <v>13565</v>
      </c>
      <c r="D31" s="27">
        <v>5.5</v>
      </c>
      <c r="E31" t="s">
        <v>13154</v>
      </c>
      <c r="F31" s="28">
        <v>42023</v>
      </c>
      <c r="I31" s="23" t="s">
        <v>11422</v>
      </c>
      <c r="N31" s="17"/>
      <c r="O31" s="30" t="s">
        <v>11422</v>
      </c>
      <c r="P31" t="str">
        <f>IF(M31&gt;0.01,"",
IF(VLOOKUP(Historical!E31,'Master Input'!B:U,20,FALSE)=TRUE,((VLOOKUP(VLOOKUP(Historical!B31,#REF!,14,FALSE),Payscales!A:C,5,FALSE)*(VLOOKUP(E31,'Master Input'!B:C,2,FALSE)))-(Historical!G31+(IF(Historical!I31="",0,Historical!I31))+Historical!J31+(IF(Historical!L31="",0,Historical!L31)))),""))</f>
        <v/>
      </c>
    </row>
    <row r="32" spans="1:16" x14ac:dyDescent="0.25">
      <c r="A32" t="s">
        <v>2619</v>
      </c>
      <c r="B32">
        <v>222</v>
      </c>
      <c r="C32" t="s">
        <v>12197</v>
      </c>
      <c r="D32" s="27">
        <v>5.25</v>
      </c>
      <c r="E32" t="s">
        <v>12104</v>
      </c>
      <c r="F32" s="18">
        <v>41990</v>
      </c>
      <c r="I32" s="23" t="s">
        <v>11422</v>
      </c>
      <c r="L32" s="23">
        <v>262.5</v>
      </c>
      <c r="O32" s="30" t="s">
        <v>11422</v>
      </c>
      <c r="P32" t="str">
        <f>IF(M32&gt;0.01,"",
IF(VLOOKUP(Historical!E32,'Master Input'!B:U,20,FALSE)=TRUE,((VLOOKUP(VLOOKUP(Historical!B32,#REF!,14,FALSE),Payscales!A:C,5,FALSE)*(VLOOKUP(E32,'Master Input'!B:C,2,FALSE)))-(Historical!G32+(IF(Historical!I32="",0,Historical!I32))+Historical!J32+(IF(Historical!L32="",0,Historical!L32)))),""))</f>
        <v/>
      </c>
    </row>
    <row r="33" spans="1:16" x14ac:dyDescent="0.25">
      <c r="A33" t="s">
        <v>11502</v>
      </c>
      <c r="B33">
        <v>893</v>
      </c>
      <c r="C33" t="s">
        <v>12883</v>
      </c>
      <c r="D33" s="27">
        <v>5.3550000000000004</v>
      </c>
      <c r="E33" t="s">
        <v>12631</v>
      </c>
      <c r="F33" s="28">
        <v>42013</v>
      </c>
      <c r="I33" s="23" t="s">
        <v>11422</v>
      </c>
      <c r="L33" s="23">
        <v>267.75</v>
      </c>
      <c r="O33" s="30" t="s">
        <v>11422</v>
      </c>
      <c r="P33" t="str">
        <f>IF(M33&gt;0.01,"",
IF(VLOOKUP(Historical!E33,'Master Input'!B:U,20,FALSE)=TRUE,((VLOOKUP(VLOOKUP(Historical!B33,#REF!,14,FALSE),Payscales!A:C,5,FALSE)*(VLOOKUP(E33,'Master Input'!B:C,2,FALSE)))-(Historical!G33+(IF(Historical!I33="",0,Historical!I33))+Historical!J33+(IF(Historical!L33="",0,Historical!L33)))),""))</f>
        <v/>
      </c>
    </row>
    <row r="34" spans="1:16" x14ac:dyDescent="0.25">
      <c r="A34" t="s">
        <v>3635</v>
      </c>
      <c r="B34">
        <v>750</v>
      </c>
      <c r="C34" t="s">
        <v>12049</v>
      </c>
      <c r="D34" s="27">
        <v>5.75</v>
      </c>
      <c r="E34" t="s">
        <v>8020</v>
      </c>
      <c r="F34" s="18">
        <v>41976</v>
      </c>
      <c r="I34" s="23" t="s">
        <v>11422</v>
      </c>
      <c r="L34" s="23">
        <v>273</v>
      </c>
      <c r="O34" s="30" t="s">
        <v>11422</v>
      </c>
      <c r="P34" t="str">
        <f>IF(M34&gt;0.01,"",
IF(VLOOKUP(Historical!E34,'Master Input'!B:U,20,FALSE)=TRUE,((VLOOKUP(VLOOKUP(Historical!B34,#REF!,14,FALSE),Payscales!A:C,5,FALSE)*(VLOOKUP(E34,'Master Input'!B:C,2,FALSE)))-(Historical!G34+(IF(Historical!I34="",0,Historical!I34))+Historical!J34+(IF(Historical!L34="",0,Historical!L34)))),""))</f>
        <v/>
      </c>
    </row>
    <row r="35" spans="1:16" x14ac:dyDescent="0.25">
      <c r="A35" t="s">
        <v>2588</v>
      </c>
      <c r="B35">
        <v>203</v>
      </c>
      <c r="C35" t="s">
        <v>13064</v>
      </c>
      <c r="D35" s="27">
        <v>5.5</v>
      </c>
      <c r="E35" t="s">
        <v>13063</v>
      </c>
      <c r="F35" s="28">
        <v>42021</v>
      </c>
      <c r="I35" s="23" t="s">
        <v>11422</v>
      </c>
      <c r="L35" s="23">
        <v>275</v>
      </c>
      <c r="N35" s="17"/>
      <c r="O35" s="30" t="s">
        <v>11422</v>
      </c>
      <c r="P35" t="str">
        <f>IF(M35&gt;0.01,"",
IF(VLOOKUP(Historical!E35,'Master Input'!B:U,20,FALSE)=TRUE,((VLOOKUP(VLOOKUP(Historical!B35,#REF!,14,FALSE),Payscales!A:C,5,FALSE)*(VLOOKUP(E35,'Master Input'!B:C,2,FALSE)))-(Historical!G35+(IF(Historical!I35="",0,Historical!I35))+Historical!J35+(IF(Historical!L35="",0,Historical!L35)))),""))</f>
        <v/>
      </c>
    </row>
    <row r="36" spans="1:16" x14ac:dyDescent="0.25">
      <c r="A36" t="s">
        <v>11502</v>
      </c>
      <c r="B36">
        <v>893</v>
      </c>
      <c r="C36" t="s">
        <v>13120</v>
      </c>
      <c r="D36" s="27">
        <v>5.8650000000000002</v>
      </c>
      <c r="E36" t="s">
        <v>12968</v>
      </c>
      <c r="F36" s="28">
        <v>42016</v>
      </c>
      <c r="I36" s="23" t="s">
        <v>11422</v>
      </c>
      <c r="L36" s="23">
        <v>293.25</v>
      </c>
      <c r="O36" s="30" t="s">
        <v>11422</v>
      </c>
      <c r="P36" t="str">
        <f>IF(M36&gt;0.01,"",
IF(VLOOKUP(Historical!E36,'Master Input'!B:U,20,FALSE)=TRUE,((VLOOKUP(VLOOKUP(Historical!B36,#REF!,14,FALSE),Payscales!A:C,5,FALSE)*(VLOOKUP(E36,'Master Input'!B:C,2,FALSE)))-(Historical!G36+(IF(Historical!I36="",0,Historical!I36))+Historical!J36+(IF(Historical!L36="",0,Historical!L36)))),""))</f>
        <v/>
      </c>
    </row>
    <row r="37" spans="1:16" x14ac:dyDescent="0.25">
      <c r="A37" t="s">
        <v>11502</v>
      </c>
      <c r="B37">
        <v>893</v>
      </c>
      <c r="C37" t="s">
        <v>12547</v>
      </c>
      <c r="D37" s="27">
        <v>6.12</v>
      </c>
      <c r="E37" t="s">
        <v>12410</v>
      </c>
      <c r="F37" s="28">
        <v>42007</v>
      </c>
      <c r="I37" s="23" t="s">
        <v>11422</v>
      </c>
      <c r="L37" s="23">
        <v>306</v>
      </c>
      <c r="O37" s="30" t="s">
        <v>11422</v>
      </c>
      <c r="P37" t="str">
        <f>IF(M37&gt;0.01,"",
IF(VLOOKUP(Historical!E37,'Master Input'!B:U,20,FALSE)=TRUE,((VLOOKUP(VLOOKUP(Historical!B37,#REF!,14,FALSE),Payscales!A:C,5,FALSE)*(VLOOKUP(E37,'Master Input'!B:C,2,FALSE)))-(Historical!G37+(IF(Historical!I37="",0,Historical!I37))+Historical!J37+(IF(Historical!L37="",0,Historical!L37)))),""))</f>
        <v/>
      </c>
    </row>
    <row r="38" spans="1:16" x14ac:dyDescent="0.25">
      <c r="A38" t="s">
        <v>12574</v>
      </c>
      <c r="B38">
        <v>974</v>
      </c>
      <c r="C38" t="s">
        <v>13576</v>
      </c>
      <c r="D38" s="27">
        <v>6.12</v>
      </c>
      <c r="E38" t="s">
        <v>13191</v>
      </c>
      <c r="F38" s="28">
        <v>42021</v>
      </c>
      <c r="I38" s="23" t="s">
        <v>11422</v>
      </c>
      <c r="L38" s="23">
        <v>306</v>
      </c>
      <c r="N38" s="17"/>
      <c r="O38" s="30" t="s">
        <v>11422</v>
      </c>
      <c r="P38" t="str">
        <f>IF(M38&gt;0.01,"",
IF(VLOOKUP(Historical!E38,'Master Input'!B:U,20,FALSE)=TRUE,((VLOOKUP(VLOOKUP(Historical!B38,#REF!,14,FALSE),Payscales!A:C,5,FALSE)*(VLOOKUP(E38,'Master Input'!B:C,2,FALSE)))-(Historical!G38+(IF(Historical!I38="",0,Historical!I38))+Historical!J38+(IF(Historical!L38="",0,Historical!L38)))),""))</f>
        <v/>
      </c>
    </row>
    <row r="39" spans="1:16" x14ac:dyDescent="0.25">
      <c r="A39" t="s">
        <v>11510</v>
      </c>
      <c r="B39">
        <v>897</v>
      </c>
      <c r="C39" t="s">
        <v>13385</v>
      </c>
      <c r="D39" s="27">
        <v>6.5</v>
      </c>
      <c r="E39" t="s">
        <v>13185</v>
      </c>
      <c r="F39" s="28">
        <v>42027</v>
      </c>
      <c r="I39" s="23" t="s">
        <v>11422</v>
      </c>
      <c r="L39" s="23">
        <v>312.5</v>
      </c>
      <c r="N39" s="17"/>
      <c r="O39" s="30" t="s">
        <v>11422</v>
      </c>
      <c r="P39" t="str">
        <f>IF(M39&gt;0.01,"",
IF(VLOOKUP(Historical!E39,'Master Input'!B:U,20,FALSE)=TRUE,((VLOOKUP(VLOOKUP(Historical!B39,#REF!,14,FALSE),Payscales!A:C,5,FALSE)*(VLOOKUP(E39,'Master Input'!B:C,2,FALSE)))-(Historical!G39+(IF(Historical!I39="",0,Historical!I39))+Historical!J39+(IF(Historical!L39="",0,Historical!L39)))),""))</f>
        <v/>
      </c>
    </row>
    <row r="40" spans="1:16" x14ac:dyDescent="0.25">
      <c r="A40" t="s">
        <v>12274</v>
      </c>
      <c r="B40">
        <v>945</v>
      </c>
      <c r="C40" t="s">
        <v>13564</v>
      </c>
      <c r="D40" s="27">
        <v>6.25</v>
      </c>
      <c r="E40" t="s">
        <v>13290</v>
      </c>
      <c r="F40" s="28">
        <v>42024</v>
      </c>
      <c r="I40" s="23" t="s">
        <v>11422</v>
      </c>
      <c r="L40" s="23">
        <v>312.5</v>
      </c>
      <c r="N40" s="17"/>
      <c r="O40" s="30" t="s">
        <v>11422</v>
      </c>
      <c r="P40" t="str">
        <f>IF(M40&gt;0.01,"",
IF(VLOOKUP(Historical!E40,'Master Input'!B:U,20,FALSE)=TRUE,((VLOOKUP(VLOOKUP(Historical!B40,#REF!,14,FALSE),Payscales!A:C,5,FALSE)*(VLOOKUP(E40,'Master Input'!B:C,2,FALSE)))-(Historical!G40+(IF(Historical!I40="",0,Historical!I40))+Historical!J40+(IF(Historical!L40="",0,Historical!L40)))),""))</f>
        <v/>
      </c>
    </row>
    <row r="41" spans="1:16" x14ac:dyDescent="0.25">
      <c r="A41" t="s">
        <v>3651</v>
      </c>
      <c r="B41">
        <v>758</v>
      </c>
      <c r="C41" t="s">
        <v>12844</v>
      </c>
      <c r="D41" s="27">
        <v>6.5</v>
      </c>
      <c r="E41" t="s">
        <v>13722</v>
      </c>
      <c r="F41" s="28">
        <v>42030</v>
      </c>
      <c r="I41" s="23" t="s">
        <v>11422</v>
      </c>
      <c r="O41" s="30" t="s">
        <v>11422</v>
      </c>
      <c r="P41" t="str">
        <f>IF(M41&gt;0.01,"",
IF(VLOOKUP(Historical!E41,'Master Input'!B:U,20,FALSE)=TRUE,((VLOOKUP(VLOOKUP(Historical!B41,#REF!,14,FALSE),Payscales!A:C,5,FALSE)*(VLOOKUP(E41,'Master Input'!B:C,2,FALSE)))-(Historical!G41+(IF(Historical!I41="",0,Historical!I41))+Historical!J41+(IF(Historical!L41="",0,Historical!L41)))),""))</f>
        <v/>
      </c>
    </row>
    <row r="42" spans="1:16" x14ac:dyDescent="0.25">
      <c r="A42" t="s">
        <v>11428</v>
      </c>
      <c r="B42">
        <v>860</v>
      </c>
      <c r="C42" t="s">
        <v>11988</v>
      </c>
      <c r="D42" s="27">
        <v>7</v>
      </c>
      <c r="E42" t="s">
        <v>6516</v>
      </c>
      <c r="F42" s="18">
        <v>41979</v>
      </c>
      <c r="G42" s="34">
        <v>450</v>
      </c>
      <c r="H42" s="18">
        <v>41992</v>
      </c>
      <c r="I42" s="23" t="s">
        <v>11422</v>
      </c>
      <c r="M42" s="23">
        <v>1300</v>
      </c>
      <c r="N42" s="18">
        <v>42034</v>
      </c>
      <c r="O42" s="30" t="s">
        <v>11422</v>
      </c>
      <c r="P42" t="str">
        <f>IF(M42&gt;0.01,"",
IF(VLOOKUP(Historical!E42,'Master Input'!B:U,20,FALSE)=TRUE,((VLOOKUP(VLOOKUP(Historical!B42,#REF!,14,FALSE),Payscales!A:C,5,FALSE)*(VLOOKUP(E42,'Master Input'!B:C,2,FALSE)))-(Historical!G42+(IF(Historical!I42="",0,Historical!I42))+Historical!J42+(IF(Historical!L42="",0,Historical!L42)))),""))</f>
        <v/>
      </c>
    </row>
    <row r="43" spans="1:16" x14ac:dyDescent="0.25">
      <c r="A43" t="s">
        <v>8673</v>
      </c>
      <c r="B43">
        <v>856</v>
      </c>
      <c r="C43" t="s">
        <v>13555</v>
      </c>
      <c r="D43" s="27">
        <v>7.5</v>
      </c>
      <c r="E43" t="s">
        <v>13134</v>
      </c>
      <c r="F43" s="28">
        <v>42025</v>
      </c>
      <c r="I43" s="23" t="s">
        <v>11422</v>
      </c>
      <c r="L43" s="23">
        <v>375</v>
      </c>
      <c r="N43" s="17"/>
      <c r="O43" s="30" t="s">
        <v>11422</v>
      </c>
      <c r="P43" t="str">
        <f>IF(M43&gt;0.01,"",
IF(VLOOKUP(Historical!E43,'Master Input'!B:U,20,FALSE)=TRUE,((VLOOKUP(VLOOKUP(Historical!B43,#REF!,14,FALSE),Payscales!A:C,5,FALSE)*(VLOOKUP(E43,'Master Input'!B:C,2,FALSE)))-(Historical!G43+(IF(Historical!I43="",0,Historical!I43))+Historical!J43+(IF(Historical!L43="",0,Historical!L43)))),""))</f>
        <v/>
      </c>
    </row>
    <row r="44" spans="1:16" x14ac:dyDescent="0.25">
      <c r="A44" t="s">
        <v>3830</v>
      </c>
      <c r="B44">
        <v>261</v>
      </c>
      <c r="C44" t="s">
        <v>12853</v>
      </c>
      <c r="D44" s="27">
        <v>7.54</v>
      </c>
      <c r="E44" t="s">
        <v>12601</v>
      </c>
      <c r="F44" s="28">
        <v>42014</v>
      </c>
      <c r="G44" s="34">
        <v>350</v>
      </c>
      <c r="H44" s="18">
        <v>42020</v>
      </c>
      <c r="I44" s="23" t="s">
        <v>11422</v>
      </c>
      <c r="L44" s="23">
        <v>377</v>
      </c>
      <c r="O44" s="30" t="s">
        <v>11422</v>
      </c>
      <c r="P44" t="str">
        <f>IF(M44&gt;0.01,"",
IF(VLOOKUP(Historical!E44,'Master Input'!B:U,20,FALSE)=TRUE,((VLOOKUP(VLOOKUP(Historical!B44,#REF!,14,FALSE),Payscales!A:C,5,FALSE)*(VLOOKUP(E44,'Master Input'!B:C,2,FALSE)))-(Historical!G44+(IF(Historical!I44="",0,Historical!I44))+Historical!J44+(IF(Historical!L44="",0,Historical!L44)))),""))</f>
        <v/>
      </c>
    </row>
    <row r="45" spans="1:16" x14ac:dyDescent="0.25">
      <c r="A45" t="s">
        <v>8673</v>
      </c>
      <c r="B45">
        <v>856</v>
      </c>
      <c r="C45" t="s">
        <v>13557</v>
      </c>
      <c r="D45" s="27">
        <v>8</v>
      </c>
      <c r="E45" t="s">
        <v>13241</v>
      </c>
      <c r="F45" s="28">
        <v>42025</v>
      </c>
      <c r="I45" s="23" t="s">
        <v>11422</v>
      </c>
      <c r="L45" s="23">
        <v>400</v>
      </c>
      <c r="M45" s="23">
        <v>1200</v>
      </c>
      <c r="N45" s="41">
        <v>42041</v>
      </c>
      <c r="O45" s="30" t="s">
        <v>11422</v>
      </c>
      <c r="P45" t="str">
        <f>IF(M45&gt;0.01,"",
IF(VLOOKUP(Historical!E45,'Master Input'!B:U,20,FALSE)=TRUE,((VLOOKUP(VLOOKUP(Historical!B45,#REF!,14,FALSE),Payscales!A:C,5,FALSE)*(VLOOKUP(E45,'Master Input'!B:C,2,FALSE)))-(Historical!G45+(IF(Historical!I45="",0,Historical!I45))+Historical!J45+(IF(Historical!L45="",0,Historical!L45)))),""))</f>
        <v/>
      </c>
    </row>
    <row r="46" spans="1:16" x14ac:dyDescent="0.25">
      <c r="A46" t="s">
        <v>3830</v>
      </c>
      <c r="B46">
        <v>261</v>
      </c>
      <c r="C46" t="s">
        <v>12853</v>
      </c>
      <c r="D46" s="27">
        <v>8.06</v>
      </c>
      <c r="E46" t="s">
        <v>12600</v>
      </c>
      <c r="F46" s="28">
        <v>42014</v>
      </c>
      <c r="G46" s="34">
        <v>350</v>
      </c>
      <c r="H46" s="18">
        <v>42020</v>
      </c>
      <c r="I46" s="23" t="s">
        <v>11422</v>
      </c>
      <c r="L46" s="23">
        <v>403</v>
      </c>
      <c r="O46" s="30" t="s">
        <v>11422</v>
      </c>
      <c r="P46" t="str">
        <f>IF(M46&gt;0.01,"",
IF(VLOOKUP(Historical!E46,'Master Input'!B:U,20,FALSE)=TRUE,((VLOOKUP(VLOOKUP(Historical!B46,#REF!,14,FALSE),Payscales!A:C,5,FALSE)*(VLOOKUP(E46,'Master Input'!B:C,2,FALSE)))-(Historical!G46+(IF(Historical!I46="",0,Historical!I46))+Historical!J46+(IF(Historical!L46="",0,Historical!L46)))),""))</f>
        <v/>
      </c>
    </row>
    <row r="47" spans="1:16" x14ac:dyDescent="0.25">
      <c r="A47" t="s">
        <v>3582</v>
      </c>
      <c r="B47">
        <v>722</v>
      </c>
      <c r="C47" t="s">
        <v>13410</v>
      </c>
      <c r="D47" s="27">
        <v>8.84</v>
      </c>
      <c r="E47" t="s">
        <v>13316</v>
      </c>
      <c r="F47" s="28">
        <v>42021</v>
      </c>
      <c r="I47" s="23" t="s">
        <v>11422</v>
      </c>
      <c r="L47" s="23">
        <v>416</v>
      </c>
      <c r="N47" s="17"/>
      <c r="O47" s="30" t="s">
        <v>11422</v>
      </c>
      <c r="P47" t="str">
        <f>IF(M47&gt;0.01,"",
IF(VLOOKUP(Historical!E47,'Master Input'!B:U,20,FALSE)=TRUE,((VLOOKUP(VLOOKUP(Historical!B47,#REF!,14,FALSE),Payscales!A:C,5,FALSE)*(VLOOKUP(E47,'Master Input'!B:C,2,FALSE)))-(Historical!G47+(IF(Historical!I47="",0,Historical!I47))+Historical!J47+(IF(Historical!L47="",0,Historical!L47)))),""))</f>
        <v/>
      </c>
    </row>
    <row r="48" spans="1:16" x14ac:dyDescent="0.25">
      <c r="A48" t="s">
        <v>3345</v>
      </c>
      <c r="B48">
        <v>599</v>
      </c>
      <c r="C48" t="s">
        <v>11994</v>
      </c>
      <c r="D48" s="27">
        <v>8.5</v>
      </c>
      <c r="E48" t="s">
        <v>8701</v>
      </c>
      <c r="F48" s="18">
        <v>41979</v>
      </c>
      <c r="G48" s="34">
        <v>250</v>
      </c>
      <c r="H48" s="18">
        <v>41992</v>
      </c>
      <c r="I48" s="23" t="s">
        <v>11422</v>
      </c>
      <c r="L48" s="23">
        <v>425</v>
      </c>
      <c r="O48" s="30" t="s">
        <v>11422</v>
      </c>
      <c r="P48" t="str">
        <f>IF(M48&gt;0.01,"",
IF(VLOOKUP(Historical!E48,'Master Input'!B:U,20,FALSE)=TRUE,((VLOOKUP(VLOOKUP(Historical!B48,#REF!,14,FALSE),Payscales!A:C,5,FALSE)*(VLOOKUP(E48,'Master Input'!B:C,2,FALSE)))-(Historical!G48+(IF(Historical!I48="",0,Historical!I48))+Historical!J48+(IF(Historical!L48="",0,Historical!L48)))),""))</f>
        <v/>
      </c>
    </row>
    <row r="49" spans="1:17" x14ac:dyDescent="0.25">
      <c r="A49" t="s">
        <v>3830</v>
      </c>
      <c r="B49">
        <v>261</v>
      </c>
      <c r="C49" t="s">
        <v>11929</v>
      </c>
      <c r="D49" s="27">
        <v>10.4</v>
      </c>
      <c r="E49" t="s">
        <v>11574</v>
      </c>
      <c r="F49" s="18">
        <v>41986</v>
      </c>
      <c r="I49" s="23" t="s">
        <v>11422</v>
      </c>
      <c r="L49" s="23">
        <v>520</v>
      </c>
      <c r="O49" s="30" t="s">
        <v>11422</v>
      </c>
      <c r="P49" t="str">
        <f>IF(M49&gt;0.01,"",
IF(VLOOKUP(Historical!E49,'Master Input'!B:U,20,FALSE)=TRUE,((VLOOKUP(VLOOKUP(Historical!B49,#REF!,14,FALSE),Payscales!A:C,5,FALSE)*(VLOOKUP(E49,'Master Input'!B:C,2,FALSE)))-(Historical!G49+(IF(Historical!I49="",0,Historical!I49))+Historical!J49+(IF(Historical!L49="",0,Historical!L49)))),""))</f>
        <v/>
      </c>
    </row>
    <row r="50" spans="1:17" x14ac:dyDescent="0.25">
      <c r="A50" t="s">
        <v>13216</v>
      </c>
      <c r="B50">
        <v>0</v>
      </c>
      <c r="C50" t="s">
        <v>13399</v>
      </c>
      <c r="D50" s="27">
        <v>11</v>
      </c>
      <c r="E50" t="s">
        <v>13215</v>
      </c>
      <c r="F50" s="28">
        <v>42025</v>
      </c>
      <c r="I50" s="23" t="s">
        <v>11422</v>
      </c>
      <c r="L50" s="23">
        <v>550</v>
      </c>
      <c r="N50" s="17"/>
      <c r="O50" s="30" t="s">
        <v>11422</v>
      </c>
      <c r="P50" t="str">
        <f>IF(M50&gt;0.01,"",
IF(VLOOKUP(Historical!E50,'Master Input'!B:U,20,FALSE)=TRUE,((VLOOKUP(VLOOKUP(Historical!B50,#REF!,14,FALSE),Payscales!A:C,5,FALSE)*(VLOOKUP(E50,'Master Input'!B:C,2,FALSE)))-(Historical!G50+(IF(Historical!I50="",0,Historical!I50))+Historical!J50+(IF(Historical!L50="",0,Historical!L50)))),""))</f>
        <v/>
      </c>
    </row>
    <row r="51" spans="1:17" x14ac:dyDescent="0.25">
      <c r="A51" t="s">
        <v>3107</v>
      </c>
      <c r="B51">
        <v>475</v>
      </c>
      <c r="C51" t="s">
        <v>12037</v>
      </c>
      <c r="D51" s="27">
        <v>11.5</v>
      </c>
      <c r="E51" t="s">
        <v>10720</v>
      </c>
      <c r="F51" s="18">
        <v>41977</v>
      </c>
      <c r="G51" s="34">
        <v>350</v>
      </c>
      <c r="H51" s="18">
        <v>41992</v>
      </c>
      <c r="I51" s="23" t="s">
        <v>11422</v>
      </c>
      <c r="L51" s="23">
        <v>575</v>
      </c>
      <c r="O51" s="30" t="s">
        <v>11422</v>
      </c>
      <c r="P51" t="str">
        <f>IF(M51&gt;0.01,"",
IF(VLOOKUP(Historical!E51,'Master Input'!B:U,20,FALSE)=TRUE,((VLOOKUP(VLOOKUP(Historical!B51,#REF!,14,FALSE),Payscales!A:C,5,FALSE)*(VLOOKUP(E51,'Master Input'!B:C,2,FALSE)))-(Historical!G51+(IF(Historical!I51="",0,Historical!I51))+Historical!J51+(IF(Historical!L51="",0,Historical!L51)))),""))</f>
        <v/>
      </c>
    </row>
    <row r="52" spans="1:17" x14ac:dyDescent="0.25">
      <c r="A52" t="s">
        <v>3582</v>
      </c>
      <c r="B52">
        <v>722</v>
      </c>
      <c r="C52" t="s">
        <v>12057</v>
      </c>
      <c r="D52" s="27">
        <v>3.38</v>
      </c>
      <c r="E52" t="s">
        <v>9770</v>
      </c>
      <c r="F52" s="18">
        <v>41976</v>
      </c>
      <c r="G52" s="34">
        <v>250</v>
      </c>
      <c r="H52" s="18">
        <v>42027</v>
      </c>
      <c r="I52" s="23" t="s">
        <v>11422</v>
      </c>
      <c r="J52" s="23">
        <v>169</v>
      </c>
      <c r="K52" s="18">
        <v>42027</v>
      </c>
      <c r="L52" s="23" t="s">
        <v>11422</v>
      </c>
      <c r="M52" s="23">
        <v>257</v>
      </c>
      <c r="N52" s="18">
        <v>42041</v>
      </c>
      <c r="O52" s="30">
        <f>D52*200</f>
        <v>676</v>
      </c>
      <c r="P52" t="str">
        <f>IF(M52&gt;0.01,"",
IF(VLOOKUP(Historical!E52,'Master Input'!B:U,20,FALSE)=TRUE,((VLOOKUP(VLOOKUP(Historical!B52,#REF!,15,FALSE),Payscales!A:C,5,FALSE)*(VLOOKUP(E52,'Master Input'!B:C,2,FALSE)))-(Historical!G52+(IF(Historical!I52="",0,Historical!I52))+Historical!J52+(IF(Historical!L52="",0,Historical!L52)))),""))</f>
        <v/>
      </c>
      <c r="Q52" s="23"/>
    </row>
    <row r="53" spans="1:17" x14ac:dyDescent="0.25">
      <c r="A53" t="s">
        <v>2401</v>
      </c>
      <c r="B53">
        <v>107</v>
      </c>
      <c r="C53" t="s">
        <v>12455</v>
      </c>
      <c r="D53" s="27">
        <v>3.5</v>
      </c>
      <c r="E53" t="s">
        <v>12425</v>
      </c>
      <c r="F53" s="28">
        <v>42003</v>
      </c>
      <c r="G53" s="34">
        <v>250</v>
      </c>
      <c r="H53" s="18">
        <v>42027</v>
      </c>
      <c r="I53" s="23" t="s">
        <v>11422</v>
      </c>
      <c r="J53" s="23">
        <v>175</v>
      </c>
      <c r="K53" s="18">
        <v>42020</v>
      </c>
      <c r="L53" s="23" t="s">
        <v>11422</v>
      </c>
      <c r="M53" s="23">
        <v>275</v>
      </c>
      <c r="N53" s="18">
        <v>42041</v>
      </c>
      <c r="O53" s="30">
        <f>D53*200</f>
        <v>700</v>
      </c>
      <c r="P53" t="str">
        <f>IF(M53&gt;0.01,"",
IF(VLOOKUP(Historical!E53,'Master Input'!B:U,20,FALSE)=TRUE,((VLOOKUP(VLOOKUP(Historical!B53,#REF!,15,FALSE),Payscales!A:C,5,FALSE)*(VLOOKUP(E53,'Master Input'!B:C,2,FALSE)))-(Historical!G53+(IF(Historical!I53="",0,Historical!I53))+Historical!J53+(IF(Historical!L53="",0,Historical!L53)))),""))</f>
        <v/>
      </c>
    </row>
    <row r="54" spans="1:17" x14ac:dyDescent="0.25">
      <c r="A54" t="s">
        <v>11433</v>
      </c>
      <c r="B54">
        <v>832</v>
      </c>
      <c r="C54" t="s">
        <v>12020</v>
      </c>
      <c r="D54" s="27">
        <v>6.5</v>
      </c>
      <c r="E54" t="s">
        <v>4464</v>
      </c>
      <c r="F54" s="18">
        <v>41977</v>
      </c>
      <c r="G54" s="34">
        <v>250</v>
      </c>
      <c r="H54" s="18">
        <v>41992</v>
      </c>
      <c r="I54" s="23" t="s">
        <v>11422</v>
      </c>
      <c r="J54" s="23">
        <v>325</v>
      </c>
      <c r="K54" s="18">
        <v>42013</v>
      </c>
      <c r="L54" s="23" t="s">
        <v>11422</v>
      </c>
      <c r="M54" s="23">
        <v>725</v>
      </c>
      <c r="N54" s="18">
        <v>42041</v>
      </c>
      <c r="O54" s="30">
        <f>D54*200</f>
        <v>1300</v>
      </c>
      <c r="P54" t="str">
        <f>IF(M54&gt;0.01,"",
IF(VLOOKUP(Historical!E54,'Master Input'!B:U,20,FALSE)=TRUE,((VLOOKUP(VLOOKUP(Historical!B54,#REF!,15,FALSE),Payscales!A:C,5,FALSE)*(VLOOKUP(E54,'Master Input'!B:C,2,FALSE)))-(Historical!G54+(IF(Historical!I54="",0,Historical!I54))+Historical!J54+(IF(Historical!L54="",0,Historical!L54)))),""))</f>
        <v/>
      </c>
    </row>
    <row r="55" spans="1:17" x14ac:dyDescent="0.25">
      <c r="A55" t="s">
        <v>3546</v>
      </c>
      <c r="B55">
        <v>702</v>
      </c>
      <c r="C55" t="s">
        <v>11975</v>
      </c>
      <c r="D55" s="27">
        <v>8.5</v>
      </c>
      <c r="E55" t="s">
        <v>10197</v>
      </c>
      <c r="F55" s="18">
        <v>41980</v>
      </c>
      <c r="G55" s="34">
        <v>250</v>
      </c>
      <c r="H55" s="18">
        <v>41992</v>
      </c>
      <c r="I55" s="23" t="s">
        <v>11422</v>
      </c>
      <c r="J55" s="23">
        <v>425</v>
      </c>
      <c r="K55" s="18">
        <v>42013</v>
      </c>
      <c r="L55" s="23" t="s">
        <v>11422</v>
      </c>
      <c r="M55" s="23">
        <v>1025</v>
      </c>
      <c r="N55" s="18">
        <v>42041</v>
      </c>
      <c r="O55" s="30">
        <f>D55*200</f>
        <v>1700</v>
      </c>
      <c r="P55" t="str">
        <f>IF(M55&gt;0.01,"",
IF(VLOOKUP(Historical!E55,'Master Input'!B:U,20,FALSE)=TRUE,((VLOOKUP(VLOOKUP(Historical!B55,#REF!,15,FALSE),Payscales!A:C,5,FALSE)*(VLOOKUP(E55,'Master Input'!B:C,2,FALSE)))-(Historical!G55+(IF(Historical!I55="",0,Historical!I55))+Historical!J55+(IF(Historical!L55="",0,Historical!L55)))),""))</f>
        <v/>
      </c>
    </row>
    <row r="56" spans="1:17" x14ac:dyDescent="0.25">
      <c r="A56" t="s">
        <v>2242</v>
      </c>
      <c r="B56">
        <v>22</v>
      </c>
      <c r="C56" t="s">
        <v>11920</v>
      </c>
      <c r="D56" s="27">
        <v>10.5</v>
      </c>
      <c r="E56" t="s">
        <v>11610</v>
      </c>
      <c r="F56" s="18">
        <v>41988</v>
      </c>
      <c r="G56" s="34">
        <v>250</v>
      </c>
      <c r="H56" s="18">
        <v>42013</v>
      </c>
      <c r="I56" s="23" t="s">
        <v>11422</v>
      </c>
      <c r="J56" s="23">
        <v>525</v>
      </c>
      <c r="K56" s="18">
        <v>42020</v>
      </c>
      <c r="L56" s="23" t="s">
        <v>11422</v>
      </c>
      <c r="O56" s="30"/>
    </row>
    <row r="57" spans="1:17" x14ac:dyDescent="0.25">
      <c r="A57" t="s">
        <v>3830</v>
      </c>
      <c r="B57">
        <v>261</v>
      </c>
      <c r="C57" t="s">
        <v>11903</v>
      </c>
      <c r="D57" s="27">
        <v>8.4149999999999991</v>
      </c>
      <c r="E57" t="s">
        <v>11567</v>
      </c>
      <c r="F57" s="18">
        <v>41989</v>
      </c>
      <c r="G57" s="34">
        <v>350</v>
      </c>
      <c r="H57" s="18">
        <v>42013</v>
      </c>
      <c r="I57" s="23" t="s">
        <v>11422</v>
      </c>
      <c r="J57" s="23">
        <v>420.74999999999994</v>
      </c>
      <c r="K57" s="18">
        <v>42013</v>
      </c>
      <c r="L57" s="23" t="s">
        <v>11422</v>
      </c>
      <c r="M57" s="23">
        <v>912.24999999999977</v>
      </c>
      <c r="N57" s="18">
        <v>42041</v>
      </c>
      <c r="O57" s="30">
        <f>D57*200</f>
        <v>1682.9999999999998</v>
      </c>
      <c r="P57" t="str">
        <f>IF(M57&gt;0.01,"",
IF(VLOOKUP(Historical!E57,'Master Input'!B:U,20,FALSE)=TRUE,((VLOOKUP(VLOOKUP(Historical!B57,#REF!,15,FALSE),Payscales!A:C,5,FALSE)*(VLOOKUP(E57,'Master Input'!B:C,2,FALSE)))-(Historical!G57+(IF(Historical!I57="",0,Historical!I57))+Historical!J57+(IF(Historical!L57="",0,Historical!L57)))),""))</f>
        <v/>
      </c>
    </row>
    <row r="58" spans="1:17" x14ac:dyDescent="0.25">
      <c r="A58" t="s">
        <v>11428</v>
      </c>
      <c r="B58">
        <v>860</v>
      </c>
      <c r="C58" t="s">
        <v>12043</v>
      </c>
      <c r="D58" s="27">
        <v>7.5</v>
      </c>
      <c r="E58" t="s">
        <v>6305</v>
      </c>
      <c r="F58" s="18">
        <v>41976</v>
      </c>
      <c r="G58" s="34">
        <v>450</v>
      </c>
      <c r="H58" s="18">
        <v>41992</v>
      </c>
      <c r="I58" s="23" t="s">
        <v>11422</v>
      </c>
      <c r="L58" s="23" t="s">
        <v>11422</v>
      </c>
      <c r="O58" s="30">
        <v>-450</v>
      </c>
      <c r="P58" t="s">
        <v>11422</v>
      </c>
    </row>
    <row r="59" spans="1:17" x14ac:dyDescent="0.25">
      <c r="A59" t="s">
        <v>11512</v>
      </c>
      <c r="B59">
        <v>898</v>
      </c>
      <c r="C59" t="s">
        <v>11924</v>
      </c>
      <c r="D59" s="27">
        <v>3.8250000000000002</v>
      </c>
      <c r="E59" t="s">
        <v>11725</v>
      </c>
      <c r="F59" s="18">
        <v>41988</v>
      </c>
      <c r="G59" s="34">
        <v>250</v>
      </c>
      <c r="H59" s="18">
        <v>42013</v>
      </c>
      <c r="I59" s="23" t="s">
        <v>11422</v>
      </c>
      <c r="J59" s="23">
        <v>191.25</v>
      </c>
      <c r="K59" s="18">
        <v>42013</v>
      </c>
      <c r="L59" s="23" t="s">
        <v>11422</v>
      </c>
      <c r="O59" s="30">
        <v>-441.25</v>
      </c>
      <c r="P59" t="s">
        <v>11422</v>
      </c>
    </row>
    <row r="60" spans="1:17" x14ac:dyDescent="0.25">
      <c r="A60" t="s">
        <v>12228</v>
      </c>
      <c r="B60">
        <v>927</v>
      </c>
      <c r="C60" t="s">
        <v>12450</v>
      </c>
      <c r="D60" s="27">
        <v>6.375</v>
      </c>
      <c r="E60" t="s">
        <v>12394</v>
      </c>
      <c r="F60" s="28">
        <v>42007</v>
      </c>
      <c r="I60" s="23" t="s">
        <v>11422</v>
      </c>
      <c r="J60" s="23">
        <v>318.75</v>
      </c>
      <c r="K60" s="18">
        <v>42027</v>
      </c>
      <c r="L60" s="23" t="s">
        <v>11422</v>
      </c>
      <c r="O60" s="30">
        <v>-318.75</v>
      </c>
      <c r="P60" t="s">
        <v>11422</v>
      </c>
    </row>
    <row r="61" spans="1:17" x14ac:dyDescent="0.25">
      <c r="A61" t="s">
        <v>3701</v>
      </c>
      <c r="B61">
        <v>784</v>
      </c>
      <c r="C61" t="s">
        <v>12549</v>
      </c>
      <c r="D61" s="27">
        <v>5.0999999999999996</v>
      </c>
      <c r="E61" t="s">
        <v>12387</v>
      </c>
      <c r="F61" s="28">
        <v>42006</v>
      </c>
      <c r="I61" s="23" t="s">
        <v>11422</v>
      </c>
      <c r="J61" s="23">
        <v>254.99999999999997</v>
      </c>
      <c r="K61" s="18">
        <v>42027</v>
      </c>
      <c r="L61" s="23" t="s">
        <v>11422</v>
      </c>
      <c r="O61" s="30">
        <v>-254.99999999999997</v>
      </c>
      <c r="P61" t="s">
        <v>11422</v>
      </c>
    </row>
    <row r="62" spans="1:17" x14ac:dyDescent="0.25">
      <c r="A62" t="s">
        <v>2278</v>
      </c>
      <c r="B62">
        <v>41</v>
      </c>
      <c r="C62" t="s">
        <v>12041</v>
      </c>
      <c r="D62" s="27">
        <v>2.04</v>
      </c>
      <c r="E62" t="s">
        <v>664</v>
      </c>
      <c r="F62" s="18">
        <v>41976</v>
      </c>
      <c r="G62" s="34">
        <v>250</v>
      </c>
      <c r="H62" s="18">
        <v>41999</v>
      </c>
      <c r="I62" s="23" t="s">
        <v>11422</v>
      </c>
      <c r="L62" s="23" t="s">
        <v>11422</v>
      </c>
      <c r="O62" s="30">
        <v>-250</v>
      </c>
      <c r="P62" t="s">
        <v>11422</v>
      </c>
    </row>
    <row r="63" spans="1:17" x14ac:dyDescent="0.25">
      <c r="A63" t="s">
        <v>3813</v>
      </c>
      <c r="B63">
        <v>841</v>
      </c>
      <c r="C63" t="s">
        <v>12040</v>
      </c>
      <c r="D63" s="27">
        <v>3.75</v>
      </c>
      <c r="E63" t="s">
        <v>5280</v>
      </c>
      <c r="F63" s="18">
        <v>41976</v>
      </c>
      <c r="G63" s="34">
        <v>250</v>
      </c>
      <c r="H63" s="18">
        <v>41992</v>
      </c>
      <c r="I63" s="23" t="s">
        <v>11422</v>
      </c>
      <c r="L63" s="23" t="s">
        <v>11422</v>
      </c>
      <c r="O63" s="30">
        <v>-250</v>
      </c>
      <c r="P63" t="s">
        <v>11422</v>
      </c>
    </row>
    <row r="64" spans="1:17" x14ac:dyDescent="0.25">
      <c r="A64" t="s">
        <v>3567</v>
      </c>
      <c r="B64">
        <v>714</v>
      </c>
      <c r="C64" t="s">
        <v>12550</v>
      </c>
      <c r="D64" s="27">
        <v>4.08</v>
      </c>
      <c r="E64" t="s">
        <v>12423</v>
      </c>
      <c r="F64" s="28">
        <v>42006</v>
      </c>
      <c r="I64" s="23" t="s">
        <v>11422</v>
      </c>
      <c r="J64" s="23">
        <v>204</v>
      </c>
      <c r="K64" s="18">
        <v>42027</v>
      </c>
      <c r="L64" s="23" t="s">
        <v>11422</v>
      </c>
      <c r="O64" s="30">
        <v>-204</v>
      </c>
      <c r="P64" t="s">
        <v>11422</v>
      </c>
    </row>
    <row r="65" spans="1:16" x14ac:dyDescent="0.25">
      <c r="A65" t="s">
        <v>3460</v>
      </c>
      <c r="B65">
        <v>659</v>
      </c>
      <c r="C65" t="s">
        <v>12843</v>
      </c>
      <c r="D65" s="27">
        <v>3.3149999999999999</v>
      </c>
      <c r="E65" t="s">
        <v>12590</v>
      </c>
      <c r="F65" s="28">
        <v>42014</v>
      </c>
      <c r="I65" s="23" t="s">
        <v>11422</v>
      </c>
      <c r="J65" s="23">
        <v>165.75</v>
      </c>
      <c r="K65" s="18">
        <v>42034</v>
      </c>
      <c r="L65" s="23" t="s">
        <v>11422</v>
      </c>
      <c r="O65" s="30">
        <v>-165.75</v>
      </c>
      <c r="P65" t="s">
        <v>11422</v>
      </c>
    </row>
    <row r="66" spans="1:16" x14ac:dyDescent="0.25">
      <c r="A66" t="s">
        <v>137</v>
      </c>
      <c r="B66">
        <v>648</v>
      </c>
      <c r="C66" t="s">
        <v>12909</v>
      </c>
      <c r="D66" s="27">
        <v>8</v>
      </c>
      <c r="E66" t="s">
        <v>12664</v>
      </c>
      <c r="F66" s="28">
        <v>42009</v>
      </c>
      <c r="I66" s="23" t="s">
        <v>11422</v>
      </c>
      <c r="L66" s="23" t="s">
        <v>11422</v>
      </c>
      <c r="O66" s="30">
        <v>0</v>
      </c>
      <c r="P66" t="s">
        <v>11422</v>
      </c>
    </row>
    <row r="67" spans="1:16" x14ac:dyDescent="0.25">
      <c r="A67" t="s">
        <v>12499</v>
      </c>
      <c r="B67">
        <v>966</v>
      </c>
      <c r="C67" t="s">
        <v>12875</v>
      </c>
      <c r="D67" s="27">
        <v>4.8449999999999998</v>
      </c>
      <c r="E67" t="s">
        <v>12623</v>
      </c>
      <c r="F67" s="28">
        <v>42013</v>
      </c>
      <c r="I67" s="23" t="s">
        <v>11422</v>
      </c>
      <c r="L67" s="23" t="s">
        <v>11422</v>
      </c>
      <c r="O67" s="30">
        <v>0</v>
      </c>
      <c r="P67" t="s">
        <v>11422</v>
      </c>
    </row>
    <row r="68" spans="1:16" x14ac:dyDescent="0.25">
      <c r="A68" t="s">
        <v>3470</v>
      </c>
      <c r="B68">
        <v>664</v>
      </c>
      <c r="C68" t="s">
        <v>1081</v>
      </c>
      <c r="D68" s="27">
        <v>19.25</v>
      </c>
      <c r="E68" t="s">
        <v>1080</v>
      </c>
      <c r="F68" s="18">
        <v>41975</v>
      </c>
      <c r="I68" s="23" t="s">
        <v>11422</v>
      </c>
      <c r="L68" s="23" t="s">
        <v>11422</v>
      </c>
      <c r="O68" s="30">
        <v>0</v>
      </c>
      <c r="P68" t="s">
        <v>11422</v>
      </c>
    </row>
    <row r="69" spans="1:16" x14ac:dyDescent="0.25">
      <c r="A69" t="s">
        <v>3759</v>
      </c>
      <c r="B69">
        <v>813</v>
      </c>
      <c r="C69" t="s">
        <v>11821</v>
      </c>
      <c r="D69" s="27">
        <v>7.65</v>
      </c>
      <c r="E69" t="s">
        <v>5828</v>
      </c>
      <c r="F69" s="18">
        <v>41977</v>
      </c>
      <c r="I69" s="23" t="s">
        <v>11422</v>
      </c>
      <c r="L69" s="23" t="s">
        <v>11422</v>
      </c>
      <c r="O69" s="30">
        <v>0</v>
      </c>
      <c r="P69" t="s">
        <v>11422</v>
      </c>
    </row>
    <row r="70" spans="1:16" x14ac:dyDescent="0.25">
      <c r="A70" t="s">
        <v>3500</v>
      </c>
      <c r="B70">
        <v>679</v>
      </c>
      <c r="C70" t="s">
        <v>11823</v>
      </c>
      <c r="D70" s="27">
        <v>18.25</v>
      </c>
      <c r="E70" t="s">
        <v>6429</v>
      </c>
      <c r="F70" s="18">
        <v>41977</v>
      </c>
      <c r="I70" s="23" t="s">
        <v>11422</v>
      </c>
      <c r="L70" s="23" t="s">
        <v>11422</v>
      </c>
      <c r="O70" s="30">
        <v>0</v>
      </c>
      <c r="P70" t="s">
        <v>11422</v>
      </c>
    </row>
    <row r="71" spans="1:16" x14ac:dyDescent="0.25">
      <c r="A71" t="s">
        <v>3588</v>
      </c>
      <c r="B71">
        <v>725</v>
      </c>
      <c r="C71" t="s">
        <v>1078</v>
      </c>
      <c r="D71" s="27">
        <v>8.75</v>
      </c>
      <c r="E71" t="s">
        <v>1077</v>
      </c>
      <c r="F71" s="18">
        <v>41977</v>
      </c>
      <c r="I71" s="23" t="s">
        <v>11422</v>
      </c>
      <c r="L71" s="23" t="s">
        <v>11422</v>
      </c>
      <c r="O71" s="30">
        <v>0</v>
      </c>
      <c r="P71" t="s">
        <v>11422</v>
      </c>
    </row>
    <row r="72" spans="1:16" x14ac:dyDescent="0.25">
      <c r="A72" t="s">
        <v>3567</v>
      </c>
      <c r="B72">
        <v>714</v>
      </c>
      <c r="C72" t="s">
        <v>11835</v>
      </c>
      <c r="D72" s="27">
        <v>6.5</v>
      </c>
      <c r="E72" t="s">
        <v>5838</v>
      </c>
      <c r="F72" s="18">
        <v>41979</v>
      </c>
      <c r="I72" s="23" t="s">
        <v>11422</v>
      </c>
      <c r="L72" s="23" t="s">
        <v>11422</v>
      </c>
      <c r="O72" s="30">
        <v>0</v>
      </c>
      <c r="P72" t="s">
        <v>11422</v>
      </c>
    </row>
    <row r="73" spans="1:16" x14ac:dyDescent="0.25">
      <c r="A73" t="s">
        <v>3677</v>
      </c>
      <c r="B73">
        <v>772</v>
      </c>
      <c r="C73" t="s">
        <v>11834</v>
      </c>
      <c r="D73" s="27">
        <v>5</v>
      </c>
      <c r="E73" t="s">
        <v>6053</v>
      </c>
      <c r="F73" s="18">
        <v>41979</v>
      </c>
      <c r="I73" s="23" t="s">
        <v>11422</v>
      </c>
      <c r="L73" s="23" t="s">
        <v>11422</v>
      </c>
      <c r="O73" s="30">
        <v>0</v>
      </c>
      <c r="P73" t="s">
        <v>11422</v>
      </c>
    </row>
    <row r="74" spans="1:16" x14ac:dyDescent="0.25">
      <c r="A74" s="32" t="s">
        <v>3215</v>
      </c>
      <c r="B74">
        <v>530</v>
      </c>
      <c r="C74" t="s">
        <v>11842</v>
      </c>
      <c r="D74" s="27">
        <v>7.75</v>
      </c>
      <c r="E74" t="s">
        <v>11598</v>
      </c>
      <c r="F74" s="18">
        <v>41981</v>
      </c>
      <c r="I74" s="23" t="s">
        <v>11422</v>
      </c>
      <c r="L74" s="23" t="s">
        <v>11422</v>
      </c>
      <c r="O74" s="30">
        <v>0</v>
      </c>
      <c r="P74" t="s">
        <v>11422</v>
      </c>
    </row>
    <row r="75" spans="1:16" x14ac:dyDescent="0.25">
      <c r="A75" t="s">
        <v>3567</v>
      </c>
      <c r="B75">
        <v>714</v>
      </c>
      <c r="C75" t="s">
        <v>11846</v>
      </c>
      <c r="D75" s="27">
        <v>4</v>
      </c>
      <c r="E75" t="s">
        <v>11607</v>
      </c>
      <c r="F75" s="18">
        <v>41981</v>
      </c>
      <c r="I75" s="23" t="s">
        <v>11422</v>
      </c>
      <c r="L75" s="23" t="s">
        <v>11422</v>
      </c>
      <c r="O75" s="30">
        <v>0</v>
      </c>
      <c r="P75" t="s">
        <v>11422</v>
      </c>
    </row>
    <row r="76" spans="1:16" x14ac:dyDescent="0.25">
      <c r="A76" t="s">
        <v>1007</v>
      </c>
      <c r="B76">
        <v>703</v>
      </c>
      <c r="C76" t="s">
        <v>11969</v>
      </c>
      <c r="D76" s="27">
        <v>2.5</v>
      </c>
      <c r="E76" t="s">
        <v>11677</v>
      </c>
      <c r="F76" s="18">
        <v>41981</v>
      </c>
      <c r="I76" s="23" t="s">
        <v>11422</v>
      </c>
      <c r="L76" s="23" t="s">
        <v>11422</v>
      </c>
      <c r="O76" s="30">
        <v>0</v>
      </c>
      <c r="P76" t="s">
        <v>11422</v>
      </c>
    </row>
    <row r="77" spans="1:16" x14ac:dyDescent="0.25">
      <c r="A77" t="s">
        <v>3512</v>
      </c>
      <c r="B77">
        <v>685</v>
      </c>
      <c r="C77" t="s">
        <v>11843</v>
      </c>
      <c r="D77" s="27">
        <v>7.25</v>
      </c>
      <c r="E77" t="s">
        <v>11686</v>
      </c>
      <c r="F77" s="18">
        <v>41981</v>
      </c>
      <c r="I77" s="23" t="s">
        <v>11422</v>
      </c>
      <c r="L77" s="23" t="s">
        <v>11422</v>
      </c>
      <c r="O77" s="30">
        <v>0</v>
      </c>
      <c r="P77" t="s">
        <v>11422</v>
      </c>
    </row>
    <row r="78" spans="1:16" x14ac:dyDescent="0.25">
      <c r="A78" t="s">
        <v>3590</v>
      </c>
      <c r="B78">
        <v>726</v>
      </c>
      <c r="C78" t="s">
        <v>11860</v>
      </c>
      <c r="D78" s="27">
        <v>11</v>
      </c>
      <c r="E78" t="s">
        <v>11697</v>
      </c>
      <c r="F78" s="18">
        <v>41983</v>
      </c>
      <c r="I78" s="23" t="s">
        <v>11422</v>
      </c>
      <c r="L78" s="23" t="s">
        <v>11422</v>
      </c>
      <c r="O78" s="30">
        <v>0</v>
      </c>
      <c r="P78" t="s">
        <v>11422</v>
      </c>
    </row>
    <row r="79" spans="1:16" x14ac:dyDescent="0.25">
      <c r="A79" t="s">
        <v>3460</v>
      </c>
      <c r="B79">
        <v>659</v>
      </c>
      <c r="C79" t="s">
        <v>11916</v>
      </c>
      <c r="D79" s="27">
        <v>6.63</v>
      </c>
      <c r="E79" t="s">
        <v>11762</v>
      </c>
      <c r="F79" s="18">
        <v>41989</v>
      </c>
      <c r="I79" s="23" t="s">
        <v>11422</v>
      </c>
      <c r="L79" s="23" t="s">
        <v>11422</v>
      </c>
      <c r="O79" s="30">
        <v>0</v>
      </c>
      <c r="P79" t="s">
        <v>11422</v>
      </c>
    </row>
    <row r="80" spans="1:16" x14ac:dyDescent="0.25">
      <c r="A80" t="s">
        <v>3486</v>
      </c>
      <c r="B80">
        <v>672</v>
      </c>
      <c r="C80" t="s">
        <v>11896</v>
      </c>
      <c r="D80" s="27">
        <v>9.4350000000000005</v>
      </c>
      <c r="E80" t="s">
        <v>11805</v>
      </c>
      <c r="F80" s="18">
        <v>41989</v>
      </c>
      <c r="I80" s="23" t="s">
        <v>11422</v>
      </c>
      <c r="L80" s="23" t="s">
        <v>11422</v>
      </c>
      <c r="O80" s="30">
        <v>0</v>
      </c>
      <c r="P80" t="s">
        <v>11422</v>
      </c>
    </row>
    <row r="81" spans="1:16" x14ac:dyDescent="0.25">
      <c r="A81" t="s">
        <v>3371</v>
      </c>
      <c r="B81">
        <v>612</v>
      </c>
      <c r="C81" t="s">
        <v>12198</v>
      </c>
      <c r="D81" s="27">
        <v>7.25</v>
      </c>
      <c r="E81" t="s">
        <v>12106</v>
      </c>
      <c r="F81" s="18">
        <v>41990</v>
      </c>
      <c r="I81" s="23" t="s">
        <v>11422</v>
      </c>
      <c r="L81" s="23" t="s">
        <v>11422</v>
      </c>
      <c r="O81" s="30">
        <v>0</v>
      </c>
      <c r="P81" t="s">
        <v>11422</v>
      </c>
    </row>
    <row r="82" spans="1:16" x14ac:dyDescent="0.25">
      <c r="A82" t="s">
        <v>3486</v>
      </c>
      <c r="B82">
        <v>672</v>
      </c>
      <c r="C82" t="s">
        <v>12073</v>
      </c>
      <c r="D82" s="27">
        <v>9.9450000000000003</v>
      </c>
      <c r="E82" t="s">
        <v>12072</v>
      </c>
      <c r="F82" s="18">
        <v>41992</v>
      </c>
      <c r="I82" s="23" t="s">
        <v>11422</v>
      </c>
      <c r="L82" s="23" t="s">
        <v>11422</v>
      </c>
      <c r="O82" s="30">
        <v>0</v>
      </c>
      <c r="P82" t="s">
        <v>11422</v>
      </c>
    </row>
    <row r="83" spans="1:16" x14ac:dyDescent="0.25">
      <c r="A83" t="s">
        <v>3719</v>
      </c>
      <c r="B83">
        <v>793</v>
      </c>
      <c r="C83" t="s">
        <v>11828</v>
      </c>
      <c r="D83" s="27">
        <v>8.75</v>
      </c>
      <c r="E83" t="s">
        <v>8978</v>
      </c>
      <c r="F83" s="18">
        <v>41979</v>
      </c>
      <c r="I83" s="23" t="s">
        <v>11422</v>
      </c>
      <c r="L83" s="23" t="s">
        <v>11422</v>
      </c>
      <c r="O83" s="30">
        <v>0</v>
      </c>
      <c r="P83" t="s">
        <v>11422</v>
      </c>
    </row>
    <row r="84" spans="1:16" x14ac:dyDescent="0.25">
      <c r="A84" t="s">
        <v>3588</v>
      </c>
      <c r="B84">
        <v>725</v>
      </c>
      <c r="C84" t="s">
        <v>11907</v>
      </c>
      <c r="D84" s="27">
        <v>4.59</v>
      </c>
      <c r="E84" t="s">
        <v>11619</v>
      </c>
      <c r="F84" s="18">
        <v>41989</v>
      </c>
      <c r="I84" s="23" t="s">
        <v>11422</v>
      </c>
      <c r="L84" s="23" t="s">
        <v>11422</v>
      </c>
      <c r="O84" s="30">
        <v>0</v>
      </c>
      <c r="P84" t="s">
        <v>11422</v>
      </c>
    </row>
    <row r="85" spans="1:16" x14ac:dyDescent="0.25">
      <c r="A85" t="s">
        <v>3590</v>
      </c>
      <c r="B85">
        <v>726</v>
      </c>
      <c r="C85" t="s">
        <v>12516</v>
      </c>
      <c r="D85" s="27">
        <v>4.8449999999999998</v>
      </c>
      <c r="E85" t="s">
        <v>12301</v>
      </c>
      <c r="F85" s="28">
        <v>41996</v>
      </c>
      <c r="I85" s="23" t="s">
        <v>11422</v>
      </c>
      <c r="L85" s="23" t="s">
        <v>11422</v>
      </c>
      <c r="O85" s="30">
        <v>0</v>
      </c>
      <c r="P85" t="s">
        <v>11422</v>
      </c>
    </row>
    <row r="86" spans="1:16" x14ac:dyDescent="0.25">
      <c r="A86" t="s">
        <v>3753</v>
      </c>
      <c r="B86">
        <v>810</v>
      </c>
      <c r="C86" t="s">
        <v>12518</v>
      </c>
      <c r="D86" s="27">
        <v>2.5499999999999998</v>
      </c>
      <c r="E86" t="s">
        <v>12333</v>
      </c>
      <c r="F86" s="28">
        <v>41996</v>
      </c>
      <c r="I86" s="23" t="s">
        <v>11422</v>
      </c>
      <c r="L86" s="23" t="s">
        <v>11422</v>
      </c>
      <c r="O86" s="30">
        <v>0</v>
      </c>
      <c r="P86" t="s">
        <v>11422</v>
      </c>
    </row>
    <row r="87" spans="1:16" x14ac:dyDescent="0.25">
      <c r="A87" t="s">
        <v>3641</v>
      </c>
      <c r="B87">
        <v>753</v>
      </c>
      <c r="C87" t="s">
        <v>12546</v>
      </c>
      <c r="D87" s="27">
        <v>4.8449999999999998</v>
      </c>
      <c r="E87" t="s">
        <v>12406</v>
      </c>
      <c r="F87" s="28">
        <v>42007</v>
      </c>
      <c r="I87" s="23" t="s">
        <v>11422</v>
      </c>
      <c r="L87" s="23" t="s">
        <v>11422</v>
      </c>
      <c r="O87" s="30">
        <v>0</v>
      </c>
      <c r="P87" t="s">
        <v>11422</v>
      </c>
    </row>
    <row r="88" spans="1:16" x14ac:dyDescent="0.25">
      <c r="A88" t="s">
        <v>12575</v>
      </c>
      <c r="B88">
        <v>975</v>
      </c>
      <c r="C88" t="s">
        <v>13088</v>
      </c>
      <c r="D88" s="27">
        <v>12.75</v>
      </c>
      <c r="E88" t="s">
        <v>12924</v>
      </c>
      <c r="F88" s="28">
        <v>42019</v>
      </c>
      <c r="G88" s="34">
        <v>250</v>
      </c>
      <c r="H88" s="18">
        <v>42041</v>
      </c>
      <c r="I88" s="23" t="s">
        <v>11422</v>
      </c>
      <c r="L88" s="23" t="s">
        <v>11422</v>
      </c>
      <c r="O88" s="30">
        <v>0</v>
      </c>
      <c r="P88" t="s">
        <v>11422</v>
      </c>
    </row>
    <row r="89" spans="1:16" x14ac:dyDescent="0.25">
      <c r="A89" t="s">
        <v>3651</v>
      </c>
      <c r="B89">
        <v>758</v>
      </c>
      <c r="C89" t="s">
        <v>12852</v>
      </c>
      <c r="D89" s="27">
        <v>5.61</v>
      </c>
      <c r="E89" t="s">
        <v>12599</v>
      </c>
      <c r="F89" s="28">
        <v>42014</v>
      </c>
      <c r="I89" s="23" t="s">
        <v>11422</v>
      </c>
      <c r="L89" s="23" t="s">
        <v>11422</v>
      </c>
      <c r="O89" s="30">
        <v>0</v>
      </c>
      <c r="P89" t="s">
        <v>11422</v>
      </c>
    </row>
    <row r="90" spans="1:16" x14ac:dyDescent="0.25">
      <c r="A90" t="s">
        <v>12499</v>
      </c>
      <c r="B90">
        <v>966</v>
      </c>
      <c r="C90" t="s">
        <v>12867</v>
      </c>
      <c r="D90" s="27">
        <v>3.8250000000000002</v>
      </c>
      <c r="E90" t="s">
        <v>12615</v>
      </c>
      <c r="F90" s="28">
        <v>42013</v>
      </c>
      <c r="I90" s="23" t="s">
        <v>11422</v>
      </c>
      <c r="L90" s="23" t="s">
        <v>11422</v>
      </c>
      <c r="O90" s="30">
        <v>0</v>
      </c>
      <c r="P90" t="s">
        <v>11422</v>
      </c>
    </row>
    <row r="91" spans="1:16" x14ac:dyDescent="0.25">
      <c r="A91" t="s">
        <v>11496</v>
      </c>
      <c r="B91">
        <v>890</v>
      </c>
      <c r="C91" t="s">
        <v>12907</v>
      </c>
      <c r="D91" s="27">
        <v>5.61</v>
      </c>
      <c r="E91" t="s">
        <v>12438</v>
      </c>
      <c r="F91" s="28">
        <v>42009</v>
      </c>
      <c r="I91" s="23" t="s">
        <v>11422</v>
      </c>
      <c r="L91" s="23" t="s">
        <v>11422</v>
      </c>
      <c r="O91" s="30">
        <v>0</v>
      </c>
      <c r="P91" t="s">
        <v>11422</v>
      </c>
    </row>
    <row r="92" spans="1:16" x14ac:dyDescent="0.25">
      <c r="A92" t="s">
        <v>3582</v>
      </c>
      <c r="B92">
        <v>722</v>
      </c>
      <c r="C92" t="s">
        <v>12345</v>
      </c>
      <c r="D92" s="27">
        <v>4.68</v>
      </c>
      <c r="E92" t="s">
        <v>12293</v>
      </c>
      <c r="F92" s="28">
        <v>42000</v>
      </c>
      <c r="I92" s="23" t="s">
        <v>11422</v>
      </c>
      <c r="L92" s="23" t="s">
        <v>11422</v>
      </c>
      <c r="O92" s="30">
        <v>0</v>
      </c>
      <c r="P92" t="s">
        <v>11422</v>
      </c>
    </row>
    <row r="93" spans="1:16" x14ac:dyDescent="0.25">
      <c r="A93" t="s">
        <v>3582</v>
      </c>
      <c r="B93">
        <v>722</v>
      </c>
      <c r="C93" t="s">
        <v>12527</v>
      </c>
      <c r="D93" s="27">
        <v>5.46</v>
      </c>
      <c r="E93" t="s">
        <v>12154</v>
      </c>
      <c r="F93" s="28">
        <v>41993</v>
      </c>
      <c r="I93" s="23" t="s">
        <v>11422</v>
      </c>
      <c r="L93" s="23" t="s">
        <v>11422</v>
      </c>
      <c r="O93" s="30">
        <v>0</v>
      </c>
      <c r="P93" t="s">
        <v>11422</v>
      </c>
    </row>
    <row r="94" spans="1:16" x14ac:dyDescent="0.25">
      <c r="A94" t="s">
        <v>11496</v>
      </c>
      <c r="B94">
        <v>890</v>
      </c>
      <c r="C94" t="s">
        <v>13089</v>
      </c>
      <c r="D94" s="27">
        <v>7.3949999999999996</v>
      </c>
      <c r="E94" t="s">
        <v>12925</v>
      </c>
      <c r="F94" s="28">
        <v>42019</v>
      </c>
      <c r="I94" s="23" t="s">
        <v>11422</v>
      </c>
      <c r="L94" s="23" t="s">
        <v>11422</v>
      </c>
      <c r="O94" s="30">
        <v>0</v>
      </c>
      <c r="P94" t="s">
        <v>11422</v>
      </c>
    </row>
    <row r="95" spans="1:16" x14ac:dyDescent="0.25">
      <c r="A95" t="s">
        <v>12495</v>
      </c>
      <c r="B95">
        <v>964</v>
      </c>
      <c r="C95" t="s">
        <v>13511</v>
      </c>
      <c r="D95" s="27">
        <v>12.24</v>
      </c>
      <c r="E95" t="s">
        <v>13161</v>
      </c>
      <c r="F95" s="28">
        <v>42025</v>
      </c>
      <c r="I95" s="23" t="s">
        <v>11422</v>
      </c>
      <c r="L95" s="23" t="s">
        <v>11422</v>
      </c>
      <c r="N95" s="17"/>
      <c r="O95" s="30">
        <v>0</v>
      </c>
      <c r="P95" t="s">
        <v>11422</v>
      </c>
    </row>
    <row r="96" spans="1:16" x14ac:dyDescent="0.25">
      <c r="A96" t="s">
        <v>3567</v>
      </c>
      <c r="B96">
        <v>714</v>
      </c>
      <c r="C96" t="s">
        <v>11864</v>
      </c>
      <c r="D96" s="27">
        <v>11</v>
      </c>
      <c r="E96" t="s">
        <v>11767</v>
      </c>
      <c r="F96" s="18">
        <v>41983</v>
      </c>
      <c r="I96" s="23" t="s">
        <v>11422</v>
      </c>
      <c r="L96" s="23" t="s">
        <v>11422</v>
      </c>
      <c r="O96" s="30">
        <v>0</v>
      </c>
      <c r="P96" t="s">
        <v>11422</v>
      </c>
    </row>
    <row r="97" spans="1:16" x14ac:dyDescent="0.25">
      <c r="A97" t="s">
        <v>3015</v>
      </c>
      <c r="B97">
        <v>428</v>
      </c>
      <c r="C97" t="s">
        <v>12512</v>
      </c>
      <c r="D97" s="27">
        <v>5.8650000000000002</v>
      </c>
      <c r="E97" t="s">
        <v>12339</v>
      </c>
      <c r="F97" s="28">
        <v>42000</v>
      </c>
      <c r="I97" s="23" t="s">
        <v>11422</v>
      </c>
      <c r="L97" s="23" t="s">
        <v>11422</v>
      </c>
      <c r="O97" s="30">
        <v>0</v>
      </c>
      <c r="P97" t="s">
        <v>11422</v>
      </c>
    </row>
    <row r="98" spans="1:16" x14ac:dyDescent="0.25">
      <c r="A98" t="s">
        <v>12499</v>
      </c>
      <c r="B98">
        <v>966</v>
      </c>
      <c r="C98" t="s">
        <v>13105</v>
      </c>
      <c r="D98" s="27">
        <v>8.16</v>
      </c>
      <c r="E98" t="s">
        <v>12943</v>
      </c>
      <c r="F98" s="28">
        <v>42018</v>
      </c>
      <c r="I98" s="23" t="s">
        <v>11422</v>
      </c>
      <c r="L98" s="23" t="s">
        <v>11422</v>
      </c>
      <c r="O98" s="30">
        <v>0</v>
      </c>
      <c r="P98" t="s">
        <v>11422</v>
      </c>
    </row>
    <row r="99" spans="1:16" x14ac:dyDescent="0.25">
      <c r="A99" t="s">
        <v>12204</v>
      </c>
      <c r="B99">
        <v>938</v>
      </c>
      <c r="C99" t="s">
        <v>13578</v>
      </c>
      <c r="D99" s="27">
        <v>8.67</v>
      </c>
      <c r="E99" t="s">
        <v>13225</v>
      </c>
      <c r="F99" s="28">
        <v>42021</v>
      </c>
      <c r="I99" s="23" t="s">
        <v>11422</v>
      </c>
      <c r="L99" s="23" t="s">
        <v>11422</v>
      </c>
      <c r="N99" s="17"/>
      <c r="O99" s="30">
        <v>0</v>
      </c>
      <c r="P99" t="s">
        <v>11422</v>
      </c>
    </row>
    <row r="100" spans="1:16" x14ac:dyDescent="0.25">
      <c r="A100" t="s">
        <v>3460</v>
      </c>
      <c r="B100">
        <v>659</v>
      </c>
      <c r="C100" t="s">
        <v>12894</v>
      </c>
      <c r="D100" s="27">
        <v>4.59</v>
      </c>
      <c r="E100" t="s">
        <v>12646</v>
      </c>
      <c r="F100" s="28">
        <v>42011</v>
      </c>
      <c r="G100" s="34">
        <v>250</v>
      </c>
      <c r="H100" s="18">
        <v>42034</v>
      </c>
      <c r="I100" s="23" t="s">
        <v>11422</v>
      </c>
      <c r="J100" s="23">
        <v>229.5</v>
      </c>
      <c r="K100" s="18">
        <v>42034</v>
      </c>
      <c r="L100" s="23" t="s">
        <v>11422</v>
      </c>
      <c r="O100" s="30" t="s">
        <v>11422</v>
      </c>
      <c r="P100" t="s">
        <v>11422</v>
      </c>
    </row>
    <row r="101" spans="1:16" x14ac:dyDescent="0.25">
      <c r="A101" t="s">
        <v>2592</v>
      </c>
      <c r="B101">
        <v>205</v>
      </c>
      <c r="C101" t="s">
        <v>12896</v>
      </c>
      <c r="D101" s="27">
        <v>8.67</v>
      </c>
      <c r="E101" t="s">
        <v>12650</v>
      </c>
      <c r="F101" s="28">
        <v>42011</v>
      </c>
      <c r="G101" s="34">
        <v>250</v>
      </c>
      <c r="H101" s="18">
        <v>42034</v>
      </c>
      <c r="I101" s="23" t="s">
        <v>11422</v>
      </c>
      <c r="J101" s="23">
        <v>433.5</v>
      </c>
      <c r="K101" s="18">
        <v>42034</v>
      </c>
      <c r="L101" s="23" t="s">
        <v>11422</v>
      </c>
      <c r="O101" s="30" t="s">
        <v>11422</v>
      </c>
      <c r="P101" t="s">
        <v>11422</v>
      </c>
    </row>
    <row r="102" spans="1:16" x14ac:dyDescent="0.25">
      <c r="A102" t="s">
        <v>3697</v>
      </c>
      <c r="B102">
        <v>782</v>
      </c>
      <c r="C102" t="s">
        <v>11898</v>
      </c>
      <c r="D102" s="27">
        <v>3.38</v>
      </c>
      <c r="E102" t="s">
        <v>6396</v>
      </c>
      <c r="F102" s="18">
        <v>41976</v>
      </c>
      <c r="G102" s="34">
        <v>250</v>
      </c>
      <c r="H102" s="18">
        <v>42034</v>
      </c>
      <c r="I102" s="23" t="s">
        <v>11422</v>
      </c>
      <c r="J102" s="23">
        <v>169</v>
      </c>
      <c r="K102" s="18">
        <v>42027</v>
      </c>
      <c r="L102" s="23" t="s">
        <v>11422</v>
      </c>
      <c r="M102" s="23">
        <v>527.4</v>
      </c>
      <c r="N102" s="18">
        <v>42034</v>
      </c>
      <c r="O102" s="30" t="s">
        <v>11422</v>
      </c>
      <c r="P102" t="s">
        <v>11422</v>
      </c>
    </row>
    <row r="103" spans="1:16" x14ac:dyDescent="0.25">
      <c r="A103" t="s">
        <v>3486</v>
      </c>
      <c r="B103">
        <v>672</v>
      </c>
      <c r="C103" t="s">
        <v>12544</v>
      </c>
      <c r="D103" s="27">
        <v>7.8</v>
      </c>
      <c r="E103" t="s">
        <v>12383</v>
      </c>
      <c r="F103" s="28">
        <v>42007</v>
      </c>
      <c r="G103" s="34">
        <v>250</v>
      </c>
      <c r="H103" s="18">
        <v>42034</v>
      </c>
      <c r="I103" s="23" t="s">
        <v>11422</v>
      </c>
      <c r="J103" s="23">
        <v>390</v>
      </c>
      <c r="K103" s="18">
        <v>42020</v>
      </c>
      <c r="L103" s="23" t="s">
        <v>11422</v>
      </c>
      <c r="M103" s="23">
        <v>1544</v>
      </c>
      <c r="N103" s="18">
        <v>42034</v>
      </c>
      <c r="O103" s="30" t="s">
        <v>11422</v>
      </c>
      <c r="P103" t="s">
        <v>11422</v>
      </c>
    </row>
    <row r="104" spans="1:16" x14ac:dyDescent="0.25">
      <c r="A104" t="s">
        <v>3767</v>
      </c>
      <c r="B104">
        <v>817</v>
      </c>
      <c r="C104" t="s">
        <v>12458</v>
      </c>
      <c r="D104" s="27">
        <v>8.16</v>
      </c>
      <c r="E104" t="s">
        <v>12392</v>
      </c>
      <c r="F104" s="28">
        <v>42003</v>
      </c>
      <c r="G104" s="34">
        <v>250</v>
      </c>
      <c r="H104" s="18">
        <v>42034</v>
      </c>
      <c r="I104" s="23" t="s">
        <v>11422</v>
      </c>
      <c r="J104" s="23">
        <v>408</v>
      </c>
      <c r="K104" s="18">
        <v>42027</v>
      </c>
      <c r="L104" s="23" t="s">
        <v>11422</v>
      </c>
      <c r="O104" s="30" t="s">
        <v>11422</v>
      </c>
      <c r="P104" t="s">
        <v>11422</v>
      </c>
    </row>
    <row r="105" spans="1:16" x14ac:dyDescent="0.25">
      <c r="A105" t="s">
        <v>2252</v>
      </c>
      <c r="B105">
        <v>28</v>
      </c>
      <c r="C105" t="s">
        <v>12844</v>
      </c>
      <c r="D105" s="27">
        <v>3.64</v>
      </c>
      <c r="E105" t="s">
        <v>12591</v>
      </c>
      <c r="F105" s="28">
        <v>42014</v>
      </c>
      <c r="G105" s="34">
        <v>250</v>
      </c>
      <c r="H105" s="18">
        <v>42034</v>
      </c>
      <c r="I105" s="23" t="s">
        <v>11422</v>
      </c>
      <c r="L105" s="23" t="s">
        <v>11422</v>
      </c>
      <c r="O105" s="30" t="s">
        <v>11422</v>
      </c>
      <c r="P105" t="s">
        <v>11422</v>
      </c>
    </row>
    <row r="106" spans="1:16" x14ac:dyDescent="0.25">
      <c r="A106" t="s">
        <v>3651</v>
      </c>
      <c r="B106">
        <v>758</v>
      </c>
      <c r="C106" t="s">
        <v>12864</v>
      </c>
      <c r="D106" s="27">
        <v>4.08</v>
      </c>
      <c r="E106" t="s">
        <v>12612</v>
      </c>
      <c r="F106" s="28">
        <v>42013</v>
      </c>
      <c r="G106" s="34">
        <v>250</v>
      </c>
      <c r="H106" s="18">
        <v>42034</v>
      </c>
      <c r="I106" s="23" t="s">
        <v>11422</v>
      </c>
      <c r="L106" s="23" t="s">
        <v>11422</v>
      </c>
      <c r="O106" s="30" t="s">
        <v>11422</v>
      </c>
      <c r="P106" t="s">
        <v>11422</v>
      </c>
    </row>
    <row r="107" spans="1:16" x14ac:dyDescent="0.25">
      <c r="A107" t="s">
        <v>11428</v>
      </c>
      <c r="B107">
        <v>860</v>
      </c>
      <c r="C107" t="s">
        <v>12874</v>
      </c>
      <c r="D107" s="27">
        <v>8.5</v>
      </c>
      <c r="E107" t="s">
        <v>12622</v>
      </c>
      <c r="F107" s="28">
        <v>42013</v>
      </c>
      <c r="G107" s="34">
        <v>250</v>
      </c>
      <c r="H107" s="18">
        <v>42034</v>
      </c>
      <c r="I107" s="23" t="s">
        <v>11422</v>
      </c>
      <c r="L107" s="23" t="s">
        <v>11422</v>
      </c>
      <c r="O107" s="30" t="s">
        <v>11422</v>
      </c>
      <c r="P107" t="s">
        <v>11422</v>
      </c>
    </row>
    <row r="108" spans="1:16" x14ac:dyDescent="0.25">
      <c r="A108" t="s">
        <v>2704</v>
      </c>
      <c r="B108">
        <v>268</v>
      </c>
      <c r="C108" t="s">
        <v>12433</v>
      </c>
      <c r="D108" s="27">
        <v>12.75</v>
      </c>
      <c r="E108" t="s">
        <v>12432</v>
      </c>
      <c r="F108" s="28">
        <v>42009</v>
      </c>
      <c r="G108" s="34">
        <v>250</v>
      </c>
      <c r="H108" s="18">
        <v>42034</v>
      </c>
      <c r="I108" s="23" t="s">
        <v>11422</v>
      </c>
      <c r="J108" s="23">
        <v>637.5</v>
      </c>
      <c r="K108" s="18">
        <v>42020</v>
      </c>
      <c r="L108" s="23" t="s">
        <v>11422</v>
      </c>
      <c r="O108" s="30" t="s">
        <v>11422</v>
      </c>
      <c r="P108" t="s">
        <v>11422</v>
      </c>
    </row>
    <row r="109" spans="1:16" x14ac:dyDescent="0.25">
      <c r="A109" t="s">
        <v>2925</v>
      </c>
      <c r="B109">
        <v>382</v>
      </c>
      <c r="C109" t="s">
        <v>12008</v>
      </c>
      <c r="D109" s="27">
        <v>9.25</v>
      </c>
      <c r="E109" t="s">
        <v>5786</v>
      </c>
      <c r="F109" s="18">
        <v>41978</v>
      </c>
      <c r="G109" s="34">
        <v>250</v>
      </c>
      <c r="H109" s="18">
        <v>42034</v>
      </c>
      <c r="I109" s="23" t="s">
        <v>11422</v>
      </c>
      <c r="L109" s="23" t="s">
        <v>11422</v>
      </c>
      <c r="O109" s="30" t="s">
        <v>11422</v>
      </c>
      <c r="P109" t="s">
        <v>11422</v>
      </c>
    </row>
    <row r="110" spans="1:16" x14ac:dyDescent="0.25">
      <c r="A110" t="s">
        <v>2993</v>
      </c>
      <c r="B110">
        <v>417</v>
      </c>
      <c r="C110" t="s">
        <v>12086</v>
      </c>
      <c r="D110" s="27">
        <v>9.18</v>
      </c>
      <c r="E110" t="s">
        <v>12085</v>
      </c>
      <c r="F110" s="18">
        <v>41992</v>
      </c>
      <c r="G110" s="34">
        <v>250</v>
      </c>
      <c r="H110" s="18">
        <v>42034</v>
      </c>
      <c r="I110" s="23" t="s">
        <v>11422</v>
      </c>
      <c r="L110" s="23" t="s">
        <v>11422</v>
      </c>
      <c r="O110" s="30" t="s">
        <v>11422</v>
      </c>
      <c r="P110" t="s">
        <v>11422</v>
      </c>
    </row>
    <row r="111" spans="1:16" x14ac:dyDescent="0.25">
      <c r="A111" t="s">
        <v>2250</v>
      </c>
      <c r="B111">
        <v>27</v>
      </c>
      <c r="C111" t="s">
        <v>12348</v>
      </c>
      <c r="D111" s="27">
        <v>11.22</v>
      </c>
      <c r="E111" t="s">
        <v>12326</v>
      </c>
      <c r="F111" s="28">
        <v>41995</v>
      </c>
      <c r="G111" s="34">
        <v>250</v>
      </c>
      <c r="H111" s="18">
        <v>42034</v>
      </c>
      <c r="I111" s="23" t="s">
        <v>11422</v>
      </c>
      <c r="L111" s="23" t="s">
        <v>11422</v>
      </c>
      <c r="O111" s="30" t="s">
        <v>11422</v>
      </c>
      <c r="P111" t="s">
        <v>11422</v>
      </c>
    </row>
    <row r="112" spans="1:16" x14ac:dyDescent="0.25">
      <c r="A112" t="s">
        <v>2704</v>
      </c>
      <c r="B112">
        <v>268</v>
      </c>
      <c r="C112" t="s">
        <v>13046</v>
      </c>
      <c r="D112" s="27">
        <v>9.18</v>
      </c>
      <c r="E112" t="s">
        <v>12963</v>
      </c>
      <c r="F112" s="28">
        <v>42016</v>
      </c>
      <c r="G112" s="34">
        <v>250</v>
      </c>
      <c r="H112" s="18">
        <v>42034</v>
      </c>
      <c r="I112" s="23" t="s">
        <v>11422</v>
      </c>
      <c r="L112" s="23" t="s">
        <v>11422</v>
      </c>
      <c r="O112" s="30" t="s">
        <v>11422</v>
      </c>
      <c r="P112" t="s">
        <v>11422</v>
      </c>
    </row>
    <row r="113" spans="1:16" x14ac:dyDescent="0.25">
      <c r="A113" t="s">
        <v>3333</v>
      </c>
      <c r="B113">
        <v>593</v>
      </c>
      <c r="C113" t="s">
        <v>11936</v>
      </c>
      <c r="D113" s="27">
        <v>3.8250000000000002</v>
      </c>
      <c r="E113" t="s">
        <v>11727</v>
      </c>
      <c r="F113" s="18">
        <v>41986</v>
      </c>
      <c r="G113" s="34">
        <v>250</v>
      </c>
      <c r="H113" s="18">
        <v>42034</v>
      </c>
      <c r="I113" s="23" t="s">
        <v>11422</v>
      </c>
      <c r="J113" s="23">
        <v>191.25</v>
      </c>
      <c r="K113" s="18">
        <v>42027</v>
      </c>
      <c r="L113" s="23" t="s">
        <v>11422</v>
      </c>
      <c r="O113" s="30" t="s">
        <v>11422</v>
      </c>
      <c r="P113" t="s">
        <v>11422</v>
      </c>
    </row>
    <row r="114" spans="1:16" x14ac:dyDescent="0.25">
      <c r="A114" t="s">
        <v>2825</v>
      </c>
      <c r="B114">
        <v>332</v>
      </c>
      <c r="C114" t="s">
        <v>12863</v>
      </c>
      <c r="D114" s="27">
        <v>5</v>
      </c>
      <c r="E114" t="s">
        <v>12611</v>
      </c>
      <c r="F114" s="28">
        <v>42013</v>
      </c>
      <c r="G114" s="34">
        <v>250</v>
      </c>
      <c r="H114" s="18">
        <v>42034</v>
      </c>
      <c r="I114" s="23" t="s">
        <v>11422</v>
      </c>
      <c r="L114" s="23" t="s">
        <v>11422</v>
      </c>
      <c r="O114" s="30" t="s">
        <v>11422</v>
      </c>
      <c r="P114" t="s">
        <v>11422</v>
      </c>
    </row>
    <row r="115" spans="1:16" x14ac:dyDescent="0.25">
      <c r="A115" t="s">
        <v>11438</v>
      </c>
      <c r="B115">
        <v>859</v>
      </c>
      <c r="C115" t="s">
        <v>12876</v>
      </c>
      <c r="D115" s="27">
        <v>8</v>
      </c>
      <c r="E115" t="s">
        <v>12624</v>
      </c>
      <c r="F115" s="28">
        <v>42013</v>
      </c>
      <c r="G115" s="34">
        <v>250</v>
      </c>
      <c r="H115" s="18">
        <v>42034</v>
      </c>
      <c r="I115" s="23" t="s">
        <v>11422</v>
      </c>
      <c r="L115" s="23" t="s">
        <v>11422</v>
      </c>
      <c r="O115" s="30" t="s">
        <v>11422</v>
      </c>
      <c r="P115" t="s">
        <v>11422</v>
      </c>
    </row>
    <row r="116" spans="1:16" x14ac:dyDescent="0.25">
      <c r="A116" t="s">
        <v>2278</v>
      </c>
      <c r="B116">
        <v>41</v>
      </c>
      <c r="C116" t="s">
        <v>12782</v>
      </c>
      <c r="D116" s="27">
        <v>9.25</v>
      </c>
      <c r="E116" t="s">
        <v>12636</v>
      </c>
      <c r="F116" s="28">
        <v>42012</v>
      </c>
      <c r="G116" s="34">
        <v>250</v>
      </c>
      <c r="H116" s="18">
        <v>42034</v>
      </c>
      <c r="I116" s="23" t="s">
        <v>11422</v>
      </c>
      <c r="L116" s="23" t="s">
        <v>11422</v>
      </c>
      <c r="O116" s="30" t="s">
        <v>11422</v>
      </c>
      <c r="P116" t="s">
        <v>11422</v>
      </c>
    </row>
    <row r="117" spans="1:16" x14ac:dyDescent="0.25">
      <c r="A117" t="s">
        <v>2278</v>
      </c>
      <c r="B117">
        <v>41</v>
      </c>
      <c r="C117" t="s">
        <v>12900</v>
      </c>
      <c r="D117" s="27">
        <v>15.75</v>
      </c>
      <c r="E117" t="s">
        <v>12654</v>
      </c>
      <c r="F117" s="28">
        <v>42010</v>
      </c>
      <c r="G117" s="34">
        <v>250</v>
      </c>
      <c r="H117" s="18">
        <v>42034</v>
      </c>
      <c r="I117" s="23" t="s">
        <v>11422</v>
      </c>
      <c r="L117" s="23" t="s">
        <v>11422</v>
      </c>
      <c r="O117" s="30" t="s">
        <v>11422</v>
      </c>
      <c r="P117" t="s">
        <v>11422</v>
      </c>
    </row>
    <row r="118" spans="1:16" x14ac:dyDescent="0.25">
      <c r="A118" t="s">
        <v>3413</v>
      </c>
      <c r="B118">
        <v>635</v>
      </c>
      <c r="C118" t="s">
        <v>12905</v>
      </c>
      <c r="D118" s="27">
        <v>5.46</v>
      </c>
      <c r="E118" t="s">
        <v>12661</v>
      </c>
      <c r="F118" s="28">
        <v>42010</v>
      </c>
      <c r="G118" s="34">
        <v>250</v>
      </c>
      <c r="H118" s="18">
        <v>42034</v>
      </c>
      <c r="I118" s="23" t="s">
        <v>11422</v>
      </c>
      <c r="L118" s="23" t="s">
        <v>11422</v>
      </c>
      <c r="O118" s="30" t="s">
        <v>11422</v>
      </c>
      <c r="P118" t="s">
        <v>11422</v>
      </c>
    </row>
    <row r="119" spans="1:16" x14ac:dyDescent="0.25">
      <c r="A119" t="s">
        <v>3635</v>
      </c>
      <c r="B119">
        <v>750</v>
      </c>
      <c r="C119" t="s">
        <v>11992</v>
      </c>
      <c r="D119" s="27">
        <v>6.75</v>
      </c>
      <c r="E119" t="s">
        <v>7872</v>
      </c>
      <c r="F119" s="18">
        <v>41979</v>
      </c>
      <c r="G119" s="34">
        <v>250</v>
      </c>
      <c r="H119" s="18">
        <v>42034</v>
      </c>
      <c r="I119" s="23" t="s">
        <v>11422</v>
      </c>
      <c r="L119" s="23" t="s">
        <v>11422</v>
      </c>
      <c r="O119" s="30" t="s">
        <v>11422</v>
      </c>
      <c r="P119" t="s">
        <v>11422</v>
      </c>
    </row>
    <row r="120" spans="1:16" x14ac:dyDescent="0.25">
      <c r="A120" t="s">
        <v>3635</v>
      </c>
      <c r="B120">
        <v>750</v>
      </c>
      <c r="C120" t="s">
        <v>12002</v>
      </c>
      <c r="D120" s="27">
        <v>4.9400000000000004</v>
      </c>
      <c r="E120" t="s">
        <v>10647</v>
      </c>
      <c r="F120" s="18">
        <v>41979</v>
      </c>
      <c r="G120" s="34">
        <v>250</v>
      </c>
      <c r="H120" s="18">
        <v>42034</v>
      </c>
      <c r="I120" s="23" t="s">
        <v>11422</v>
      </c>
      <c r="L120" s="23" t="s">
        <v>11422</v>
      </c>
      <c r="O120" s="30" t="s">
        <v>11422</v>
      </c>
      <c r="P120" t="s">
        <v>11422</v>
      </c>
    </row>
    <row r="121" spans="1:16" x14ac:dyDescent="0.25">
      <c r="A121" t="s">
        <v>12206</v>
      </c>
      <c r="B121">
        <v>908</v>
      </c>
      <c r="C121" t="s">
        <v>12206</v>
      </c>
      <c r="D121" s="27">
        <v>6.375</v>
      </c>
      <c r="E121" t="s">
        <v>12389</v>
      </c>
      <c r="F121" s="28">
        <v>42004</v>
      </c>
      <c r="G121" s="34">
        <v>250</v>
      </c>
      <c r="H121" s="18">
        <v>42034</v>
      </c>
      <c r="I121" s="23" t="s">
        <v>11422</v>
      </c>
      <c r="L121" s="23" t="s">
        <v>11422</v>
      </c>
      <c r="O121" s="30" t="s">
        <v>11422</v>
      </c>
      <c r="P121" t="s">
        <v>11422</v>
      </c>
    </row>
    <row r="122" spans="1:16" x14ac:dyDescent="0.25">
      <c r="A122" t="s">
        <v>2264</v>
      </c>
      <c r="B122">
        <v>34</v>
      </c>
      <c r="C122" t="s">
        <v>12206</v>
      </c>
      <c r="D122" s="27">
        <v>2.04</v>
      </c>
      <c r="E122" t="s">
        <v>12390</v>
      </c>
      <c r="F122" s="28">
        <v>42004</v>
      </c>
      <c r="G122" s="34">
        <v>250</v>
      </c>
      <c r="H122" s="18">
        <v>42034</v>
      </c>
      <c r="I122" s="23" t="s">
        <v>11422</v>
      </c>
      <c r="L122" s="23" t="s">
        <v>11422</v>
      </c>
      <c r="O122" s="30" t="s">
        <v>11422</v>
      </c>
      <c r="P122" t="s">
        <v>11422</v>
      </c>
    </row>
    <row r="123" spans="1:16" x14ac:dyDescent="0.25">
      <c r="A123" t="s">
        <v>12266</v>
      </c>
      <c r="B123">
        <v>941</v>
      </c>
      <c r="C123" t="s">
        <v>12556</v>
      </c>
      <c r="D123" s="27">
        <v>3.8250000000000002</v>
      </c>
      <c r="E123" t="s">
        <v>12412</v>
      </c>
      <c r="F123" s="28">
        <v>42002</v>
      </c>
      <c r="G123" s="34">
        <v>250</v>
      </c>
      <c r="H123" s="18">
        <v>42034</v>
      </c>
      <c r="I123" s="23" t="s">
        <v>11422</v>
      </c>
      <c r="L123" s="23" t="s">
        <v>11422</v>
      </c>
      <c r="O123" s="30" t="s">
        <v>11422</v>
      </c>
      <c r="P123" t="s">
        <v>11422</v>
      </c>
    </row>
    <row r="124" spans="1:16" x14ac:dyDescent="0.25">
      <c r="A124" t="s">
        <v>3532</v>
      </c>
      <c r="B124">
        <v>695</v>
      </c>
      <c r="C124" t="s">
        <v>13055</v>
      </c>
      <c r="D124" s="27">
        <v>7.14</v>
      </c>
      <c r="E124" t="s">
        <v>12941</v>
      </c>
      <c r="F124" s="28">
        <v>42018</v>
      </c>
      <c r="G124" s="34">
        <v>250</v>
      </c>
      <c r="H124" s="18">
        <v>42034</v>
      </c>
      <c r="I124" s="23" t="s">
        <v>11422</v>
      </c>
      <c r="L124" s="23" t="s">
        <v>11422</v>
      </c>
      <c r="O124" s="30" t="s">
        <v>11422</v>
      </c>
      <c r="P124" t="s">
        <v>11422</v>
      </c>
    </row>
    <row r="125" spans="1:16" x14ac:dyDescent="0.25">
      <c r="A125" t="s">
        <v>12495</v>
      </c>
      <c r="B125">
        <v>964</v>
      </c>
      <c r="C125" t="s">
        <v>13051</v>
      </c>
      <c r="D125" s="27">
        <v>5.61</v>
      </c>
      <c r="E125" t="s">
        <v>12951</v>
      </c>
      <c r="F125" s="28">
        <v>42017</v>
      </c>
      <c r="G125" s="34">
        <v>250</v>
      </c>
      <c r="H125" s="18">
        <v>42034</v>
      </c>
      <c r="I125" s="23" t="s">
        <v>11422</v>
      </c>
      <c r="L125" s="23" t="s">
        <v>11422</v>
      </c>
      <c r="O125" s="30" t="s">
        <v>11422</v>
      </c>
      <c r="P125" t="s">
        <v>11422</v>
      </c>
    </row>
    <row r="126" spans="1:16" x14ac:dyDescent="0.25">
      <c r="A126" t="s">
        <v>3313</v>
      </c>
      <c r="B126">
        <v>582</v>
      </c>
      <c r="C126" t="s">
        <v>13115</v>
      </c>
      <c r="D126" s="27">
        <v>5.98</v>
      </c>
      <c r="E126" t="s">
        <v>12960</v>
      </c>
      <c r="F126" s="28">
        <v>42017</v>
      </c>
      <c r="G126" s="34">
        <v>250</v>
      </c>
      <c r="H126" s="18">
        <v>42034</v>
      </c>
      <c r="I126" s="23" t="s">
        <v>11422</v>
      </c>
      <c r="L126" s="23" t="s">
        <v>11422</v>
      </c>
      <c r="O126" s="30" t="s">
        <v>11422</v>
      </c>
      <c r="P126" t="s">
        <v>11422</v>
      </c>
    </row>
    <row r="127" spans="1:16" x14ac:dyDescent="0.25">
      <c r="A127" t="s">
        <v>12270</v>
      </c>
      <c r="B127">
        <v>943</v>
      </c>
      <c r="C127" t="s">
        <v>13390</v>
      </c>
      <c r="D127" s="27">
        <v>6.375</v>
      </c>
      <c r="E127" t="s">
        <v>13178</v>
      </c>
      <c r="F127" s="28">
        <v>42026</v>
      </c>
      <c r="G127" s="34">
        <v>250</v>
      </c>
      <c r="H127" s="18">
        <v>42034</v>
      </c>
      <c r="I127" s="23" t="s">
        <v>11422</v>
      </c>
      <c r="L127" s="23" t="s">
        <v>11422</v>
      </c>
      <c r="N127" s="17"/>
      <c r="O127" s="30" t="s">
        <v>11422</v>
      </c>
      <c r="P127" t="s">
        <v>11422</v>
      </c>
    </row>
    <row r="128" spans="1:16" x14ac:dyDescent="0.25">
      <c r="A128" t="s">
        <v>3582</v>
      </c>
      <c r="B128">
        <v>722</v>
      </c>
      <c r="C128" t="s">
        <v>12543</v>
      </c>
      <c r="D128" s="27">
        <v>5.2</v>
      </c>
      <c r="E128" t="s">
        <v>12361</v>
      </c>
      <c r="F128" s="28">
        <v>42007</v>
      </c>
      <c r="G128" s="34">
        <v>350</v>
      </c>
      <c r="H128" s="18">
        <v>42034</v>
      </c>
      <c r="I128" s="23" t="s">
        <v>11422</v>
      </c>
      <c r="J128" s="23">
        <v>260</v>
      </c>
      <c r="K128" s="18">
        <v>42034</v>
      </c>
      <c r="L128" s="23" t="s">
        <v>11422</v>
      </c>
      <c r="M128" s="23">
        <v>846</v>
      </c>
      <c r="N128" s="18">
        <v>42034</v>
      </c>
      <c r="O128" s="30" t="s">
        <v>11422</v>
      </c>
      <c r="P128" t="s">
        <v>11422</v>
      </c>
    </row>
    <row r="129" spans="1:16" x14ac:dyDescent="0.25">
      <c r="A129" t="s">
        <v>2890</v>
      </c>
      <c r="B129">
        <v>365</v>
      </c>
      <c r="C129" t="s">
        <v>12830</v>
      </c>
      <c r="D129" s="27">
        <v>5.46</v>
      </c>
      <c r="E129" t="s">
        <v>12577</v>
      </c>
      <c r="F129" s="28">
        <v>42014</v>
      </c>
      <c r="G129" s="34">
        <v>350</v>
      </c>
      <c r="H129" s="18">
        <v>42034</v>
      </c>
      <c r="I129" s="23" t="s">
        <v>11422</v>
      </c>
      <c r="J129" s="23">
        <v>273</v>
      </c>
      <c r="K129" s="18">
        <v>42034</v>
      </c>
      <c r="L129" s="23" t="s">
        <v>11422</v>
      </c>
      <c r="O129" s="30" t="s">
        <v>11422</v>
      </c>
      <c r="P129" t="s">
        <v>11422</v>
      </c>
    </row>
    <row r="130" spans="1:16" x14ac:dyDescent="0.25">
      <c r="A130" t="s">
        <v>3582</v>
      </c>
      <c r="B130">
        <v>722</v>
      </c>
      <c r="C130" t="s">
        <v>13404</v>
      </c>
      <c r="D130" s="27">
        <v>6.76</v>
      </c>
      <c r="E130" t="s">
        <v>13342</v>
      </c>
      <c r="F130" s="28">
        <v>42023</v>
      </c>
      <c r="G130" s="34">
        <v>350</v>
      </c>
      <c r="H130" s="18">
        <v>42034</v>
      </c>
      <c r="I130" s="23" t="s">
        <v>11422</v>
      </c>
      <c r="J130" s="23">
        <v>338</v>
      </c>
      <c r="K130" s="18">
        <v>42034</v>
      </c>
      <c r="L130" s="23" t="s">
        <v>11422</v>
      </c>
      <c r="N130" s="17"/>
      <c r="O130" s="30" t="s">
        <v>11422</v>
      </c>
      <c r="P130" t="s">
        <v>11422</v>
      </c>
    </row>
    <row r="131" spans="1:16" x14ac:dyDescent="0.25">
      <c r="A131" t="s">
        <v>3582</v>
      </c>
      <c r="B131">
        <v>722</v>
      </c>
      <c r="C131" t="s">
        <v>12858</v>
      </c>
      <c r="D131" s="27">
        <v>4.42</v>
      </c>
      <c r="E131" t="s">
        <v>12606</v>
      </c>
      <c r="F131" s="28">
        <v>42014</v>
      </c>
      <c r="G131" s="34">
        <v>350</v>
      </c>
      <c r="H131" s="18">
        <v>42034</v>
      </c>
      <c r="I131" s="23" t="s">
        <v>11422</v>
      </c>
      <c r="L131" s="23" t="s">
        <v>11422</v>
      </c>
      <c r="O131" s="30" t="s">
        <v>11422</v>
      </c>
      <c r="P131" t="s">
        <v>11422</v>
      </c>
    </row>
    <row r="132" spans="1:16" x14ac:dyDescent="0.25">
      <c r="A132" t="s">
        <v>2890</v>
      </c>
      <c r="B132">
        <v>365</v>
      </c>
      <c r="C132" t="s">
        <v>13104</v>
      </c>
      <c r="D132" s="27">
        <v>4.16</v>
      </c>
      <c r="E132" t="s">
        <v>12942</v>
      </c>
      <c r="F132" s="28">
        <v>42018</v>
      </c>
      <c r="G132" s="34">
        <v>350</v>
      </c>
      <c r="H132" s="18">
        <v>42034</v>
      </c>
      <c r="I132" s="23" t="s">
        <v>11422</v>
      </c>
      <c r="L132" s="23" t="s">
        <v>11422</v>
      </c>
      <c r="O132" s="30" t="s">
        <v>11422</v>
      </c>
      <c r="P132" t="s">
        <v>11422</v>
      </c>
    </row>
    <row r="133" spans="1:16" x14ac:dyDescent="0.25">
      <c r="A133" t="s">
        <v>2890</v>
      </c>
      <c r="B133">
        <v>365</v>
      </c>
      <c r="C133" t="s">
        <v>13384</v>
      </c>
      <c r="D133" s="27">
        <v>4.42</v>
      </c>
      <c r="E133" t="s">
        <v>13263</v>
      </c>
      <c r="F133" s="28">
        <v>42027</v>
      </c>
      <c r="G133" s="34">
        <v>350</v>
      </c>
      <c r="H133" s="18">
        <v>42034</v>
      </c>
      <c r="I133" s="23" t="s">
        <v>11422</v>
      </c>
      <c r="L133" s="23" t="s">
        <v>11422</v>
      </c>
      <c r="N133" s="17"/>
      <c r="O133" s="30" t="s">
        <v>11422</v>
      </c>
      <c r="P133" t="s">
        <v>11422</v>
      </c>
    </row>
    <row r="134" spans="1:16" x14ac:dyDescent="0.25">
      <c r="A134" t="s">
        <v>11504</v>
      </c>
      <c r="B134">
        <v>894</v>
      </c>
      <c r="C134" t="s">
        <v>11940</v>
      </c>
      <c r="D134" s="27">
        <v>5.72</v>
      </c>
      <c r="E134" t="s">
        <v>11795</v>
      </c>
      <c r="F134" s="18">
        <v>41986</v>
      </c>
      <c r="G134" s="34">
        <v>10000000</v>
      </c>
      <c r="H134" t="s">
        <v>13584</v>
      </c>
      <c r="I134" s="23" t="s">
        <v>11422</v>
      </c>
      <c r="J134" s="23">
        <v>286</v>
      </c>
      <c r="K134" s="18">
        <v>42020</v>
      </c>
      <c r="L134" s="23" t="s">
        <v>11422</v>
      </c>
      <c r="M134" s="30">
        <v>858</v>
      </c>
      <c r="N134" s="18">
        <v>42020</v>
      </c>
      <c r="O134" s="30" t="s">
        <v>11422</v>
      </c>
      <c r="P134" t="s">
        <v>11422</v>
      </c>
    </row>
    <row r="135" spans="1:16" x14ac:dyDescent="0.25">
      <c r="A135" t="s">
        <v>11504</v>
      </c>
      <c r="B135">
        <v>894</v>
      </c>
      <c r="C135" t="s">
        <v>13408</v>
      </c>
      <c r="D135" s="27">
        <v>4.16</v>
      </c>
      <c r="E135" t="s">
        <v>13243</v>
      </c>
      <c r="F135" s="28">
        <v>42021</v>
      </c>
      <c r="G135" s="34">
        <v>350</v>
      </c>
      <c r="H135" s="18">
        <v>42034</v>
      </c>
      <c r="I135" s="23" t="s">
        <v>11422</v>
      </c>
      <c r="L135" s="23" t="s">
        <v>11422</v>
      </c>
      <c r="N135" s="17"/>
      <c r="O135" s="30" t="s">
        <v>11422</v>
      </c>
      <c r="P135" t="s">
        <v>11422</v>
      </c>
    </row>
    <row r="136" spans="1:16" x14ac:dyDescent="0.25">
      <c r="A136" t="s">
        <v>3486</v>
      </c>
      <c r="B136">
        <v>672</v>
      </c>
      <c r="C136" t="s">
        <v>13048</v>
      </c>
      <c r="D136" s="27">
        <v>2.5499999999999998</v>
      </c>
      <c r="E136" t="s">
        <v>12974</v>
      </c>
      <c r="F136" s="28">
        <v>42016</v>
      </c>
      <c r="I136" s="23" t="s">
        <v>11422</v>
      </c>
      <c r="J136" s="23">
        <v>127.49999999999999</v>
      </c>
      <c r="K136" s="18">
        <v>42034</v>
      </c>
      <c r="L136" s="23" t="s">
        <v>11422</v>
      </c>
      <c r="O136" s="30" t="s">
        <v>11422</v>
      </c>
      <c r="P136" t="s">
        <v>11422</v>
      </c>
    </row>
    <row r="137" spans="1:16" x14ac:dyDescent="0.25">
      <c r="A137" t="s">
        <v>3486</v>
      </c>
      <c r="B137">
        <v>672</v>
      </c>
      <c r="C137" t="s">
        <v>13416</v>
      </c>
      <c r="D137" s="27">
        <v>2.6</v>
      </c>
      <c r="E137" t="s">
        <v>13307</v>
      </c>
      <c r="F137" s="28">
        <v>42020</v>
      </c>
      <c r="I137" s="23" t="s">
        <v>11422</v>
      </c>
      <c r="J137" s="23">
        <v>130</v>
      </c>
      <c r="K137" s="18">
        <v>42034</v>
      </c>
      <c r="L137" s="23" t="s">
        <v>11422</v>
      </c>
      <c r="N137" s="17"/>
      <c r="O137" s="30" t="s">
        <v>11422</v>
      </c>
      <c r="P137" t="s">
        <v>11422</v>
      </c>
    </row>
    <row r="138" spans="1:16" x14ac:dyDescent="0.25">
      <c r="A138" t="s">
        <v>3555</v>
      </c>
      <c r="B138">
        <v>707</v>
      </c>
      <c r="C138" t="s">
        <v>12051</v>
      </c>
      <c r="D138" s="27">
        <v>4.16</v>
      </c>
      <c r="E138" t="s">
        <v>8584</v>
      </c>
      <c r="F138" s="18">
        <v>41976</v>
      </c>
      <c r="I138" s="23" t="s">
        <v>11422</v>
      </c>
      <c r="J138" s="23">
        <v>208</v>
      </c>
      <c r="K138" s="18">
        <v>42034</v>
      </c>
      <c r="L138" s="23" t="s">
        <v>11422</v>
      </c>
      <c r="O138" s="30" t="s">
        <v>11422</v>
      </c>
      <c r="P138" t="s">
        <v>11422</v>
      </c>
    </row>
    <row r="139" spans="1:16" x14ac:dyDescent="0.25">
      <c r="A139" t="s">
        <v>2252</v>
      </c>
      <c r="B139">
        <v>28</v>
      </c>
      <c r="C139" t="s">
        <v>12880</v>
      </c>
      <c r="D139" s="27">
        <v>4.42</v>
      </c>
      <c r="E139" t="s">
        <v>12628</v>
      </c>
      <c r="F139" s="28">
        <v>42013</v>
      </c>
      <c r="I139" s="23" t="s">
        <v>11422</v>
      </c>
      <c r="J139" s="23">
        <v>221</v>
      </c>
      <c r="K139" s="18">
        <v>42034</v>
      </c>
      <c r="L139" s="23" t="s">
        <v>11422</v>
      </c>
      <c r="O139" s="30" t="s">
        <v>11422</v>
      </c>
      <c r="P139" t="s">
        <v>11422</v>
      </c>
    </row>
    <row r="140" spans="1:16" x14ac:dyDescent="0.25">
      <c r="A140" t="s">
        <v>3590</v>
      </c>
      <c r="B140">
        <v>726</v>
      </c>
      <c r="C140" t="s">
        <v>13056</v>
      </c>
      <c r="D140" s="27">
        <v>5.3550000000000004</v>
      </c>
      <c r="E140" t="s">
        <v>12949</v>
      </c>
      <c r="F140" s="28">
        <v>42018</v>
      </c>
      <c r="I140" s="23" t="s">
        <v>11422</v>
      </c>
      <c r="J140" s="23">
        <v>267.75</v>
      </c>
      <c r="K140" s="18">
        <v>42034</v>
      </c>
      <c r="L140" s="23" t="s">
        <v>11422</v>
      </c>
      <c r="O140" s="30" t="s">
        <v>11422</v>
      </c>
      <c r="P140" t="s">
        <v>11422</v>
      </c>
    </row>
    <row r="141" spans="1:16" x14ac:dyDescent="0.25">
      <c r="A141" t="s">
        <v>2592</v>
      </c>
      <c r="B141">
        <v>205</v>
      </c>
      <c r="C141" t="s">
        <v>12886</v>
      </c>
      <c r="D141" s="27">
        <v>5.8650000000000002</v>
      </c>
      <c r="E141" t="s">
        <v>12634</v>
      </c>
      <c r="F141" s="28">
        <v>42012</v>
      </c>
      <c r="I141" s="23" t="s">
        <v>11422</v>
      </c>
      <c r="J141" s="23">
        <v>293.25</v>
      </c>
      <c r="K141" s="18">
        <v>42034</v>
      </c>
      <c r="L141" s="23" t="s">
        <v>11422</v>
      </c>
      <c r="O141" s="30" t="s">
        <v>11422</v>
      </c>
      <c r="P141" t="s">
        <v>11422</v>
      </c>
    </row>
    <row r="142" spans="1:16" x14ac:dyDescent="0.25">
      <c r="A142" t="s">
        <v>8673</v>
      </c>
      <c r="B142">
        <v>856</v>
      </c>
      <c r="C142" t="s">
        <v>12869</v>
      </c>
      <c r="D142" s="27">
        <v>6.12</v>
      </c>
      <c r="E142" t="s">
        <v>12617</v>
      </c>
      <c r="F142" s="28">
        <v>42013</v>
      </c>
      <c r="I142" s="23" t="s">
        <v>11422</v>
      </c>
      <c r="J142" s="23">
        <v>306</v>
      </c>
      <c r="K142" s="18">
        <v>42034</v>
      </c>
      <c r="L142" s="23" t="s">
        <v>11422</v>
      </c>
      <c r="O142" s="30" t="s">
        <v>11422</v>
      </c>
      <c r="P142" t="s">
        <v>11422</v>
      </c>
    </row>
    <row r="143" spans="1:16" x14ac:dyDescent="0.25">
      <c r="A143" t="s">
        <v>3641</v>
      </c>
      <c r="B143">
        <v>753</v>
      </c>
      <c r="C143" t="s">
        <v>12046</v>
      </c>
      <c r="D143" s="27">
        <v>6.12</v>
      </c>
      <c r="E143" t="s">
        <v>1471</v>
      </c>
      <c r="F143" s="18">
        <v>41976</v>
      </c>
      <c r="I143" s="23" t="s">
        <v>11422</v>
      </c>
      <c r="J143" s="23">
        <v>306</v>
      </c>
      <c r="K143" s="18">
        <v>42034</v>
      </c>
      <c r="L143" s="23" t="s">
        <v>11422</v>
      </c>
      <c r="O143" s="30" t="s">
        <v>11422</v>
      </c>
      <c r="P143" t="s">
        <v>11422</v>
      </c>
    </row>
    <row r="144" spans="1:16" x14ac:dyDescent="0.25">
      <c r="A144" t="s">
        <v>3651</v>
      </c>
      <c r="B144">
        <v>758</v>
      </c>
      <c r="C144" t="s">
        <v>12892</v>
      </c>
      <c r="D144" s="27">
        <v>6.375</v>
      </c>
      <c r="E144" t="s">
        <v>12642</v>
      </c>
      <c r="F144" s="28">
        <v>42012</v>
      </c>
      <c r="I144" s="23" t="s">
        <v>11422</v>
      </c>
      <c r="J144" s="23">
        <v>318.75</v>
      </c>
      <c r="K144" s="18">
        <v>42034</v>
      </c>
      <c r="L144" s="23" t="s">
        <v>11422</v>
      </c>
      <c r="O144" s="30" t="s">
        <v>11422</v>
      </c>
      <c r="P144" t="s">
        <v>11422</v>
      </c>
    </row>
    <row r="145" spans="1:16" x14ac:dyDescent="0.25">
      <c r="A145" t="s">
        <v>3830</v>
      </c>
      <c r="B145">
        <v>261</v>
      </c>
      <c r="C145" t="s">
        <v>12786</v>
      </c>
      <c r="D145" s="27">
        <v>6.375</v>
      </c>
      <c r="E145" t="s">
        <v>12644</v>
      </c>
      <c r="F145" s="28">
        <v>42011</v>
      </c>
      <c r="I145" s="23" t="s">
        <v>11422</v>
      </c>
      <c r="J145" s="23">
        <v>318.75</v>
      </c>
      <c r="K145" s="18">
        <v>42034</v>
      </c>
      <c r="L145" s="23" t="s">
        <v>11422</v>
      </c>
      <c r="O145" s="30" t="s">
        <v>11422</v>
      </c>
      <c r="P145" t="s">
        <v>11422</v>
      </c>
    </row>
    <row r="146" spans="1:16" x14ac:dyDescent="0.25">
      <c r="A146" t="s">
        <v>12200</v>
      </c>
      <c r="B146">
        <v>906</v>
      </c>
      <c r="C146" t="s">
        <v>12910</v>
      </c>
      <c r="D146" s="27">
        <v>7</v>
      </c>
      <c r="E146" t="s">
        <v>12666</v>
      </c>
      <c r="F146" s="28">
        <v>42009</v>
      </c>
      <c r="I146" s="23" t="s">
        <v>11422</v>
      </c>
      <c r="J146" s="23">
        <v>350</v>
      </c>
      <c r="K146" s="18">
        <v>42034</v>
      </c>
      <c r="L146" s="23" t="s">
        <v>11422</v>
      </c>
      <c r="O146" s="30" t="s">
        <v>11422</v>
      </c>
      <c r="P146" t="s">
        <v>11422</v>
      </c>
    </row>
    <row r="147" spans="1:16" x14ac:dyDescent="0.25">
      <c r="A147" t="s">
        <v>2401</v>
      </c>
      <c r="B147">
        <v>107</v>
      </c>
      <c r="C147" t="s">
        <v>13102</v>
      </c>
      <c r="D147" s="27">
        <v>7</v>
      </c>
      <c r="E147" t="s">
        <v>12939</v>
      </c>
      <c r="F147" s="28">
        <v>42019</v>
      </c>
      <c r="I147" s="23" t="s">
        <v>11422</v>
      </c>
      <c r="J147" s="23">
        <v>350</v>
      </c>
      <c r="K147" s="18">
        <v>42034</v>
      </c>
      <c r="L147" s="23" t="s">
        <v>11422</v>
      </c>
      <c r="O147" s="30" t="s">
        <v>11422</v>
      </c>
      <c r="P147" t="s">
        <v>11422</v>
      </c>
    </row>
    <row r="148" spans="1:16" x14ac:dyDescent="0.25">
      <c r="A148" t="s">
        <v>2993</v>
      </c>
      <c r="B148">
        <v>417</v>
      </c>
      <c r="C148" t="s">
        <v>12454</v>
      </c>
      <c r="D148" s="27">
        <v>7.14</v>
      </c>
      <c r="E148" t="s">
        <v>12363</v>
      </c>
      <c r="F148" s="28">
        <v>42004</v>
      </c>
      <c r="I148" s="23" t="s">
        <v>11422</v>
      </c>
      <c r="J148" s="23">
        <v>357</v>
      </c>
      <c r="K148" s="18">
        <v>42034</v>
      </c>
      <c r="L148" s="23" t="s">
        <v>11422</v>
      </c>
      <c r="O148" s="30" t="s">
        <v>11422</v>
      </c>
      <c r="P148" t="s">
        <v>11422</v>
      </c>
    </row>
    <row r="149" spans="1:16" x14ac:dyDescent="0.25">
      <c r="A149" t="s">
        <v>2252</v>
      </c>
      <c r="B149">
        <v>28</v>
      </c>
      <c r="C149" t="s">
        <v>12854</v>
      </c>
      <c r="D149" s="27">
        <v>7.28</v>
      </c>
      <c r="E149" t="s">
        <v>12602</v>
      </c>
      <c r="F149" s="28">
        <v>42014</v>
      </c>
      <c r="G149" s="34">
        <v>250</v>
      </c>
      <c r="H149" s="18">
        <v>42020</v>
      </c>
      <c r="I149" s="23" t="s">
        <v>11422</v>
      </c>
      <c r="J149" s="23">
        <v>364</v>
      </c>
      <c r="K149" s="18">
        <v>42034</v>
      </c>
      <c r="L149" s="23" t="s">
        <v>11422</v>
      </c>
      <c r="O149" s="30" t="s">
        <v>11422</v>
      </c>
      <c r="P149" t="s">
        <v>11422</v>
      </c>
    </row>
    <row r="150" spans="1:16" x14ac:dyDescent="0.25">
      <c r="A150" t="s">
        <v>3767</v>
      </c>
      <c r="B150">
        <v>817</v>
      </c>
      <c r="C150" t="s">
        <v>12781</v>
      </c>
      <c r="D150" s="27">
        <v>10.199999999999999</v>
      </c>
      <c r="E150" t="s">
        <v>12638</v>
      </c>
      <c r="F150" s="28">
        <v>42012</v>
      </c>
      <c r="I150" s="23" t="s">
        <v>11422</v>
      </c>
      <c r="J150" s="23">
        <v>509.99999999999994</v>
      </c>
      <c r="K150" s="18">
        <v>42034</v>
      </c>
      <c r="L150" s="23" t="s">
        <v>11422</v>
      </c>
      <c r="O150" s="30" t="s">
        <v>11422</v>
      </c>
      <c r="P150" t="s">
        <v>11422</v>
      </c>
    </row>
    <row r="151" spans="1:16" x14ac:dyDescent="0.25">
      <c r="A151" t="s">
        <v>3567</v>
      </c>
      <c r="B151">
        <v>714</v>
      </c>
      <c r="C151" t="s">
        <v>12011</v>
      </c>
      <c r="D151" s="27">
        <v>2.5499999999999998</v>
      </c>
      <c r="E151" t="s">
        <v>8466</v>
      </c>
      <c r="F151" s="18">
        <v>41978</v>
      </c>
      <c r="I151" s="23" t="s">
        <v>11422</v>
      </c>
      <c r="L151" s="23" t="s">
        <v>11422</v>
      </c>
      <c r="M151" s="23">
        <v>714</v>
      </c>
      <c r="N151" s="18">
        <v>42034</v>
      </c>
      <c r="O151" s="30" t="s">
        <v>11422</v>
      </c>
      <c r="P151" t="s">
        <v>11422</v>
      </c>
    </row>
    <row r="152" spans="1:16" x14ac:dyDescent="0.25">
      <c r="A152" t="s">
        <v>3460</v>
      </c>
      <c r="B152">
        <v>659</v>
      </c>
      <c r="C152" t="s">
        <v>12346</v>
      </c>
      <c r="D152" s="27">
        <v>4.59</v>
      </c>
      <c r="E152" t="s">
        <v>12291</v>
      </c>
      <c r="F152" s="28">
        <v>41996</v>
      </c>
      <c r="G152" s="34">
        <v>250</v>
      </c>
      <c r="H152" s="18">
        <v>42027</v>
      </c>
      <c r="I152" s="23" t="s">
        <v>11422</v>
      </c>
      <c r="J152" s="23">
        <v>229.5</v>
      </c>
      <c r="K152" s="18">
        <v>42027</v>
      </c>
      <c r="L152" s="23" t="s">
        <v>11422</v>
      </c>
      <c r="M152" s="23">
        <v>805.7</v>
      </c>
      <c r="N152" s="18">
        <v>42034</v>
      </c>
      <c r="O152" s="30" t="s">
        <v>11422</v>
      </c>
      <c r="P152" t="s">
        <v>11422</v>
      </c>
    </row>
    <row r="153" spans="1:16" x14ac:dyDescent="0.25">
      <c r="A153" t="s">
        <v>3255</v>
      </c>
      <c r="B153">
        <v>551</v>
      </c>
      <c r="C153" t="s">
        <v>11436</v>
      </c>
      <c r="D153" s="27">
        <v>5.75</v>
      </c>
      <c r="E153" t="s">
        <v>4493</v>
      </c>
      <c r="F153" s="18">
        <v>41974</v>
      </c>
      <c r="G153" s="34">
        <v>250</v>
      </c>
      <c r="H153" s="18">
        <v>41999</v>
      </c>
      <c r="I153" s="23" t="s">
        <v>11422</v>
      </c>
      <c r="J153" s="23">
        <v>287.5</v>
      </c>
      <c r="K153" s="18">
        <v>42013</v>
      </c>
      <c r="L153" s="23" t="s">
        <v>11422</v>
      </c>
      <c r="M153" s="23">
        <v>1072.5</v>
      </c>
      <c r="N153" s="18">
        <v>42034</v>
      </c>
      <c r="O153" s="30" t="s">
        <v>11422</v>
      </c>
      <c r="P153" t="s">
        <v>11422</v>
      </c>
    </row>
    <row r="154" spans="1:16" x14ac:dyDescent="0.25">
      <c r="A154" t="s">
        <v>3675</v>
      </c>
      <c r="B154">
        <v>771</v>
      </c>
      <c r="C154" t="s">
        <v>12351</v>
      </c>
      <c r="D154" s="27">
        <v>6</v>
      </c>
      <c r="E154" t="s">
        <v>12159</v>
      </c>
      <c r="F154" s="28">
        <v>41993</v>
      </c>
      <c r="I154" s="23" t="s">
        <v>11422</v>
      </c>
      <c r="J154" s="23">
        <v>300</v>
      </c>
      <c r="K154" s="18">
        <v>42027</v>
      </c>
      <c r="L154" s="23" t="s">
        <v>11422</v>
      </c>
      <c r="M154" s="23">
        <v>1380</v>
      </c>
      <c r="N154" s="18">
        <v>42034</v>
      </c>
      <c r="O154" s="30" t="s">
        <v>11422</v>
      </c>
      <c r="P154" t="s">
        <v>11422</v>
      </c>
    </row>
    <row r="155" spans="1:16" x14ac:dyDescent="0.25">
      <c r="A155" t="s">
        <v>2401</v>
      </c>
      <c r="B155">
        <v>107</v>
      </c>
      <c r="C155" t="s">
        <v>11857</v>
      </c>
      <c r="D155" s="27">
        <v>8</v>
      </c>
      <c r="E155" t="s">
        <v>11617</v>
      </c>
      <c r="F155" s="18">
        <v>41983</v>
      </c>
      <c r="I155" s="23" t="s">
        <v>11422</v>
      </c>
      <c r="L155" s="23" t="s">
        <v>11422</v>
      </c>
      <c r="M155" s="23">
        <v>2240</v>
      </c>
      <c r="N155" s="18">
        <v>42034</v>
      </c>
      <c r="O155" s="30" t="s">
        <v>11422</v>
      </c>
      <c r="P155" t="s">
        <v>11422</v>
      </c>
    </row>
    <row r="156" spans="1:16" x14ac:dyDescent="0.25">
      <c r="A156" t="s">
        <v>3767</v>
      </c>
      <c r="B156">
        <v>817</v>
      </c>
      <c r="C156" t="s">
        <v>11945</v>
      </c>
      <c r="D156" s="27">
        <v>9.18</v>
      </c>
      <c r="E156" t="s">
        <v>11631</v>
      </c>
      <c r="F156" s="18">
        <v>41985</v>
      </c>
      <c r="I156" s="23" t="s">
        <v>11422</v>
      </c>
      <c r="L156" s="23" t="s">
        <v>11422</v>
      </c>
      <c r="M156" s="23">
        <v>2570.4</v>
      </c>
      <c r="N156" s="18">
        <v>42034</v>
      </c>
      <c r="O156" s="30" t="s">
        <v>11422</v>
      </c>
      <c r="P156" t="s">
        <v>11422</v>
      </c>
    </row>
    <row r="157" spans="1:16" x14ac:dyDescent="0.25">
      <c r="A157" t="s">
        <v>3486</v>
      </c>
      <c r="B157">
        <v>672</v>
      </c>
      <c r="C157" t="s">
        <v>12509</v>
      </c>
      <c r="D157" s="27">
        <v>2.5499999999999998</v>
      </c>
      <c r="E157" t="s">
        <v>12305</v>
      </c>
      <c r="F157" s="28">
        <v>42000</v>
      </c>
      <c r="G157" s="34">
        <v>250</v>
      </c>
      <c r="H157" s="18">
        <v>42027</v>
      </c>
      <c r="I157" s="23" t="s">
        <v>11422</v>
      </c>
      <c r="J157" s="23">
        <v>127.49999999999999</v>
      </c>
      <c r="K157" s="18">
        <v>42027</v>
      </c>
      <c r="L157" s="23" t="s">
        <v>11422</v>
      </c>
      <c r="M157" s="23">
        <v>132.49999999999994</v>
      </c>
      <c r="N157" s="18">
        <v>42027</v>
      </c>
      <c r="O157" s="30" t="s">
        <v>11422</v>
      </c>
      <c r="P157" t="s">
        <v>11422</v>
      </c>
    </row>
    <row r="158" spans="1:16" x14ac:dyDescent="0.25">
      <c r="A158" t="s">
        <v>3830</v>
      </c>
      <c r="B158">
        <v>261</v>
      </c>
      <c r="C158" t="s">
        <v>11949</v>
      </c>
      <c r="D158" s="27">
        <v>2.86</v>
      </c>
      <c r="E158" t="s">
        <v>11799</v>
      </c>
      <c r="F158" s="18">
        <v>41985</v>
      </c>
      <c r="G158" s="34">
        <v>250</v>
      </c>
      <c r="H158" s="18">
        <v>42027</v>
      </c>
      <c r="I158" s="23" t="s">
        <v>11422</v>
      </c>
      <c r="J158" s="23">
        <v>143</v>
      </c>
      <c r="K158" s="18">
        <v>42027</v>
      </c>
      <c r="L158" s="23" t="s">
        <v>11422</v>
      </c>
      <c r="M158" s="23">
        <v>179</v>
      </c>
      <c r="N158" s="18">
        <v>42027</v>
      </c>
      <c r="O158" s="30" t="s">
        <v>11422</v>
      </c>
      <c r="P158" t="s">
        <v>11422</v>
      </c>
    </row>
    <row r="159" spans="1:16" x14ac:dyDescent="0.25">
      <c r="A159" t="s">
        <v>2611</v>
      </c>
      <c r="B159">
        <v>218</v>
      </c>
      <c r="C159" t="s">
        <v>12064</v>
      </c>
      <c r="D159" s="27">
        <v>5.61</v>
      </c>
      <c r="E159" t="s">
        <v>2216</v>
      </c>
      <c r="F159" s="18">
        <v>41975</v>
      </c>
      <c r="G159" s="34">
        <v>250</v>
      </c>
      <c r="H159" s="18">
        <v>42027</v>
      </c>
      <c r="I159" s="23" t="s">
        <v>11422</v>
      </c>
      <c r="J159" s="23">
        <v>280.5</v>
      </c>
      <c r="K159" s="18">
        <v>42027</v>
      </c>
      <c r="L159" s="23" t="s">
        <v>11422</v>
      </c>
      <c r="O159" s="30" t="s">
        <v>11422</v>
      </c>
      <c r="P159" t="s">
        <v>11422</v>
      </c>
    </row>
    <row r="160" spans="1:16" x14ac:dyDescent="0.25">
      <c r="A160" t="s">
        <v>23</v>
      </c>
      <c r="B160">
        <v>255</v>
      </c>
      <c r="C160" t="s">
        <v>12196</v>
      </c>
      <c r="D160" s="27">
        <v>5.75</v>
      </c>
      <c r="E160" t="s">
        <v>12100</v>
      </c>
      <c r="F160" s="18">
        <v>41990</v>
      </c>
      <c r="G160" s="34">
        <v>250</v>
      </c>
      <c r="H160" s="18">
        <v>42027</v>
      </c>
      <c r="I160" s="23" t="s">
        <v>11422</v>
      </c>
      <c r="J160" s="23">
        <v>287.5</v>
      </c>
      <c r="K160" s="18">
        <v>42027</v>
      </c>
      <c r="L160" s="23" t="s">
        <v>11422</v>
      </c>
      <c r="O160" s="30" t="s">
        <v>11422</v>
      </c>
      <c r="P160" t="s">
        <v>11422</v>
      </c>
    </row>
    <row r="161" spans="1:16" x14ac:dyDescent="0.25">
      <c r="A161" t="s">
        <v>2250</v>
      </c>
      <c r="B161">
        <v>27</v>
      </c>
      <c r="C161" t="s">
        <v>12540</v>
      </c>
      <c r="D161" s="27">
        <v>6.375</v>
      </c>
      <c r="E161" t="s">
        <v>12135</v>
      </c>
      <c r="F161" s="28">
        <v>41991</v>
      </c>
      <c r="G161" s="34">
        <v>250</v>
      </c>
      <c r="H161" s="18">
        <v>42027</v>
      </c>
      <c r="I161" s="23" t="s">
        <v>11422</v>
      </c>
      <c r="J161" s="23">
        <v>318.75</v>
      </c>
      <c r="K161" s="18">
        <v>42027</v>
      </c>
      <c r="L161" s="23" t="s">
        <v>11422</v>
      </c>
      <c r="M161" s="30">
        <v>1025</v>
      </c>
      <c r="N161" s="18">
        <v>42020</v>
      </c>
      <c r="O161" s="30" t="s">
        <v>11422</v>
      </c>
      <c r="P161" t="s">
        <v>11422</v>
      </c>
    </row>
    <row r="162" spans="1:16" x14ac:dyDescent="0.25">
      <c r="A162" t="s">
        <v>2890</v>
      </c>
      <c r="B162">
        <v>365</v>
      </c>
      <c r="C162" t="s">
        <v>13119</v>
      </c>
      <c r="D162" s="27">
        <v>7.28</v>
      </c>
      <c r="E162" t="s">
        <v>12967</v>
      </c>
      <c r="F162" s="28">
        <v>42016</v>
      </c>
      <c r="G162" s="34">
        <v>250</v>
      </c>
      <c r="H162" s="18">
        <v>42027</v>
      </c>
      <c r="I162" s="23" t="s">
        <v>11422</v>
      </c>
      <c r="J162" s="23">
        <v>364</v>
      </c>
      <c r="K162" s="18">
        <v>42027</v>
      </c>
      <c r="L162" s="23" t="s">
        <v>11422</v>
      </c>
      <c r="O162" s="30" t="s">
        <v>11422</v>
      </c>
      <c r="P162" t="s">
        <v>11422</v>
      </c>
    </row>
    <row r="163" spans="1:16" x14ac:dyDescent="0.25">
      <c r="A163" t="s">
        <v>3582</v>
      </c>
      <c r="B163">
        <v>722</v>
      </c>
      <c r="C163" t="s">
        <v>11984</v>
      </c>
      <c r="D163" s="27">
        <v>8.32</v>
      </c>
      <c r="E163" t="s">
        <v>6285</v>
      </c>
      <c r="F163" s="18">
        <v>41979</v>
      </c>
      <c r="G163" s="34">
        <v>250</v>
      </c>
      <c r="H163" s="18">
        <v>42027</v>
      </c>
      <c r="I163" s="23" t="s">
        <v>11422</v>
      </c>
      <c r="J163" s="23">
        <v>416</v>
      </c>
      <c r="K163" s="18">
        <v>42027</v>
      </c>
      <c r="L163" s="23" t="s">
        <v>11422</v>
      </c>
      <c r="M163" s="23">
        <v>998</v>
      </c>
      <c r="N163" s="18">
        <v>42027</v>
      </c>
      <c r="O163" s="30" t="s">
        <v>11422</v>
      </c>
      <c r="P163" t="s">
        <v>11422</v>
      </c>
    </row>
    <row r="164" spans="1:16" x14ac:dyDescent="0.25">
      <c r="A164" t="s">
        <v>137</v>
      </c>
      <c r="B164">
        <v>648</v>
      </c>
      <c r="C164" t="s">
        <v>12448</v>
      </c>
      <c r="D164" s="27">
        <v>12.5</v>
      </c>
      <c r="E164" t="s">
        <v>12403</v>
      </c>
      <c r="F164" s="28">
        <v>42007</v>
      </c>
      <c r="G164" s="34">
        <v>250</v>
      </c>
      <c r="H164" s="18">
        <v>42027</v>
      </c>
      <c r="I164" s="23" t="s">
        <v>11422</v>
      </c>
      <c r="J164" s="23">
        <v>625</v>
      </c>
      <c r="K164" s="18">
        <v>42027</v>
      </c>
      <c r="L164" s="23" t="s">
        <v>11422</v>
      </c>
      <c r="O164" s="30" t="s">
        <v>11422</v>
      </c>
      <c r="P164" t="s">
        <v>11422</v>
      </c>
    </row>
    <row r="165" spans="1:16" x14ac:dyDescent="0.25">
      <c r="A165" t="s">
        <v>2250</v>
      </c>
      <c r="B165">
        <v>27</v>
      </c>
      <c r="C165" t="s">
        <v>12541</v>
      </c>
      <c r="D165" s="27">
        <v>13.78</v>
      </c>
      <c r="E165" t="s">
        <v>12148</v>
      </c>
      <c r="F165" s="28">
        <v>41991</v>
      </c>
      <c r="G165" s="34">
        <v>250</v>
      </c>
      <c r="H165" s="18">
        <v>42027</v>
      </c>
      <c r="I165" s="23" t="s">
        <v>11422</v>
      </c>
      <c r="J165" s="23">
        <v>689</v>
      </c>
      <c r="K165" s="18">
        <v>42027</v>
      </c>
      <c r="L165" s="23" t="s">
        <v>11422</v>
      </c>
      <c r="O165" s="30" t="s">
        <v>11422</v>
      </c>
      <c r="P165" t="s">
        <v>11422</v>
      </c>
    </row>
    <row r="166" spans="1:16" x14ac:dyDescent="0.25">
      <c r="A166" t="s">
        <v>2430</v>
      </c>
      <c r="B166">
        <v>121</v>
      </c>
      <c r="C166" t="s">
        <v>12467</v>
      </c>
      <c r="D166" s="27">
        <v>5.25</v>
      </c>
      <c r="E166" t="s">
        <v>12328</v>
      </c>
      <c r="F166" s="28">
        <v>42000</v>
      </c>
      <c r="G166" s="34">
        <v>250</v>
      </c>
      <c r="H166" s="18">
        <v>42027</v>
      </c>
      <c r="I166" s="23" t="s">
        <v>11422</v>
      </c>
      <c r="J166" s="23">
        <v>262.5</v>
      </c>
      <c r="K166" s="18">
        <v>42020</v>
      </c>
      <c r="L166" s="23" t="s">
        <v>11422</v>
      </c>
      <c r="O166" s="30" t="s">
        <v>11422</v>
      </c>
      <c r="P166" t="s">
        <v>11422</v>
      </c>
    </row>
    <row r="167" spans="1:16" x14ac:dyDescent="0.25">
      <c r="A167" t="s">
        <v>2814</v>
      </c>
      <c r="B167">
        <v>326</v>
      </c>
      <c r="C167" t="s">
        <v>12783</v>
      </c>
      <c r="D167" s="27">
        <v>8.25</v>
      </c>
      <c r="E167" t="s">
        <v>12647</v>
      </c>
      <c r="F167" s="28">
        <v>42011</v>
      </c>
      <c r="G167" s="34">
        <v>250</v>
      </c>
      <c r="H167" s="18">
        <v>42027</v>
      </c>
      <c r="I167" s="23" t="s">
        <v>11422</v>
      </c>
      <c r="L167" s="23" t="s">
        <v>11422</v>
      </c>
      <c r="O167" s="30" t="s">
        <v>11422</v>
      </c>
      <c r="P167" t="s">
        <v>11422</v>
      </c>
    </row>
    <row r="168" spans="1:16" x14ac:dyDescent="0.25">
      <c r="A168" t="s">
        <v>23</v>
      </c>
      <c r="B168">
        <v>255</v>
      </c>
      <c r="C168" t="s">
        <v>12788</v>
      </c>
      <c r="D168" s="27">
        <v>3</v>
      </c>
      <c r="E168" t="s">
        <v>12657</v>
      </c>
      <c r="F168" s="28">
        <v>42010</v>
      </c>
      <c r="G168" s="34">
        <v>250</v>
      </c>
      <c r="H168" s="18">
        <v>42027</v>
      </c>
      <c r="I168" s="23" t="s">
        <v>11422</v>
      </c>
      <c r="L168" s="23" t="s">
        <v>11422</v>
      </c>
      <c r="O168" s="30" t="s">
        <v>11422</v>
      </c>
      <c r="P168" t="s">
        <v>11422</v>
      </c>
    </row>
    <row r="169" spans="1:16" x14ac:dyDescent="0.25">
      <c r="A169" t="s">
        <v>3299</v>
      </c>
      <c r="B169">
        <v>575</v>
      </c>
      <c r="C169" t="s">
        <v>11892</v>
      </c>
      <c r="D169" s="27">
        <v>11.73</v>
      </c>
      <c r="E169" t="s">
        <v>11695</v>
      </c>
      <c r="F169" s="18">
        <v>41988</v>
      </c>
      <c r="G169" s="34">
        <v>250</v>
      </c>
      <c r="H169" s="18">
        <v>42027</v>
      </c>
      <c r="I169" s="23" t="s">
        <v>11422</v>
      </c>
      <c r="L169" s="23" t="s">
        <v>11422</v>
      </c>
      <c r="O169" s="30" t="s">
        <v>11422</v>
      </c>
      <c r="P169" t="s">
        <v>11422</v>
      </c>
    </row>
    <row r="170" spans="1:16" x14ac:dyDescent="0.25">
      <c r="A170" t="s">
        <v>2592</v>
      </c>
      <c r="B170">
        <v>205</v>
      </c>
      <c r="C170" t="s">
        <v>12067</v>
      </c>
      <c r="D170" s="27">
        <v>7</v>
      </c>
      <c r="E170" t="s">
        <v>374</v>
      </c>
      <c r="F170" s="18">
        <v>41974</v>
      </c>
      <c r="G170" s="34">
        <v>450</v>
      </c>
      <c r="H170" s="18">
        <v>42027</v>
      </c>
      <c r="I170" s="23" t="s">
        <v>11422</v>
      </c>
      <c r="J170" s="23">
        <v>350</v>
      </c>
      <c r="K170" s="18">
        <v>42027</v>
      </c>
      <c r="L170" s="23" t="s">
        <v>11422</v>
      </c>
      <c r="O170" s="30" t="s">
        <v>11422</v>
      </c>
      <c r="P170" t="s">
        <v>11422</v>
      </c>
    </row>
    <row r="171" spans="1:16" x14ac:dyDescent="0.25">
      <c r="A171" t="s">
        <v>2592</v>
      </c>
      <c r="B171">
        <v>205</v>
      </c>
      <c r="C171" t="s">
        <v>12065</v>
      </c>
      <c r="D171" s="27">
        <v>13.75</v>
      </c>
      <c r="E171" t="s">
        <v>8906</v>
      </c>
      <c r="F171" s="18">
        <v>41975</v>
      </c>
      <c r="G171" s="34">
        <v>450</v>
      </c>
      <c r="H171" s="18">
        <v>42027</v>
      </c>
      <c r="I171" s="23" t="s">
        <v>11422</v>
      </c>
      <c r="J171" s="23">
        <v>687.5</v>
      </c>
      <c r="K171" s="18">
        <v>42027</v>
      </c>
      <c r="L171" s="23" t="s">
        <v>11422</v>
      </c>
      <c r="O171" s="30" t="s">
        <v>11422</v>
      </c>
      <c r="P171" t="s">
        <v>11422</v>
      </c>
    </row>
    <row r="172" spans="1:16" x14ac:dyDescent="0.25">
      <c r="A172" t="s">
        <v>2592</v>
      </c>
      <c r="B172">
        <v>205</v>
      </c>
      <c r="C172" t="s">
        <v>11981</v>
      </c>
      <c r="D172" s="27">
        <v>16</v>
      </c>
      <c r="E172" t="s">
        <v>5074</v>
      </c>
      <c r="F172" s="18">
        <v>41979</v>
      </c>
      <c r="G172" s="34">
        <v>450</v>
      </c>
      <c r="H172" s="18">
        <v>42027</v>
      </c>
      <c r="I172" s="23" t="s">
        <v>11422</v>
      </c>
      <c r="L172" s="23" t="s">
        <v>11422</v>
      </c>
      <c r="O172" s="30" t="s">
        <v>11422</v>
      </c>
      <c r="P172" t="s">
        <v>11422</v>
      </c>
    </row>
    <row r="173" spans="1:16" x14ac:dyDescent="0.25">
      <c r="A173" t="s">
        <v>2592</v>
      </c>
      <c r="B173">
        <v>205</v>
      </c>
      <c r="C173" t="s">
        <v>11985</v>
      </c>
      <c r="D173" s="27">
        <v>7</v>
      </c>
      <c r="E173" t="s">
        <v>6410</v>
      </c>
      <c r="F173" s="18">
        <v>41979</v>
      </c>
      <c r="G173" s="34">
        <v>450</v>
      </c>
      <c r="H173" s="18">
        <v>42027</v>
      </c>
      <c r="I173" s="23" t="s">
        <v>11422</v>
      </c>
      <c r="L173" s="23" t="s">
        <v>11422</v>
      </c>
      <c r="O173" s="30" t="s">
        <v>11422</v>
      </c>
      <c r="P173" t="s">
        <v>11422</v>
      </c>
    </row>
    <row r="174" spans="1:16" x14ac:dyDescent="0.25">
      <c r="A174" t="s">
        <v>2592</v>
      </c>
      <c r="B174">
        <v>205</v>
      </c>
      <c r="C174" t="s">
        <v>11995</v>
      </c>
      <c r="D174" s="27">
        <v>15.25</v>
      </c>
      <c r="E174" t="s">
        <v>8877</v>
      </c>
      <c r="F174" s="18">
        <v>41979</v>
      </c>
      <c r="G174" s="34">
        <v>450</v>
      </c>
      <c r="H174" s="18">
        <v>42027</v>
      </c>
      <c r="I174" s="23" t="s">
        <v>11422</v>
      </c>
      <c r="L174" s="23" t="s">
        <v>11422</v>
      </c>
      <c r="O174" s="30" t="s">
        <v>11422</v>
      </c>
      <c r="P174" t="s">
        <v>11422</v>
      </c>
    </row>
    <row r="175" spans="1:16" x14ac:dyDescent="0.25">
      <c r="A175" t="s">
        <v>2592</v>
      </c>
      <c r="B175">
        <v>205</v>
      </c>
      <c r="C175" t="s">
        <v>11996</v>
      </c>
      <c r="D175" s="27">
        <v>13.5</v>
      </c>
      <c r="E175" t="s">
        <v>8956</v>
      </c>
      <c r="F175" s="18">
        <v>41979</v>
      </c>
      <c r="G175" s="34">
        <v>450</v>
      </c>
      <c r="H175" s="18">
        <v>42027</v>
      </c>
      <c r="I175" s="23" t="s">
        <v>11422</v>
      </c>
      <c r="L175" s="23" t="s">
        <v>11422</v>
      </c>
      <c r="O175" s="30" t="s">
        <v>11422</v>
      </c>
      <c r="P175" t="s">
        <v>11422</v>
      </c>
    </row>
    <row r="176" spans="1:16" x14ac:dyDescent="0.25">
      <c r="A176" t="s">
        <v>11502</v>
      </c>
      <c r="B176">
        <v>893</v>
      </c>
      <c r="C176" t="s">
        <v>12871</v>
      </c>
      <c r="D176" s="27">
        <v>2.2949999999999999</v>
      </c>
      <c r="E176" t="s">
        <v>12619</v>
      </c>
      <c r="F176" s="28">
        <v>42013</v>
      </c>
      <c r="I176" s="23" t="s">
        <v>11422</v>
      </c>
      <c r="J176" s="23">
        <v>114.75</v>
      </c>
      <c r="K176" s="18">
        <v>42027</v>
      </c>
      <c r="L176" s="23" t="s">
        <v>11422</v>
      </c>
      <c r="O176" s="30" t="s">
        <v>11422</v>
      </c>
      <c r="P176" t="s">
        <v>11422</v>
      </c>
    </row>
    <row r="177" spans="1:16" x14ac:dyDescent="0.25">
      <c r="A177" t="s">
        <v>3215</v>
      </c>
      <c r="B177">
        <v>530</v>
      </c>
      <c r="C177" t="s">
        <v>12882</v>
      </c>
      <c r="D177" s="27">
        <v>2.5</v>
      </c>
      <c r="E177" t="s">
        <v>12630</v>
      </c>
      <c r="F177" s="28">
        <v>42013</v>
      </c>
      <c r="I177" s="23" t="s">
        <v>11422</v>
      </c>
      <c r="J177" s="23">
        <v>125</v>
      </c>
      <c r="K177" s="18">
        <v>42027</v>
      </c>
      <c r="L177" s="23" t="s">
        <v>11422</v>
      </c>
      <c r="O177" s="30" t="s">
        <v>11422</v>
      </c>
      <c r="P177" t="s">
        <v>11422</v>
      </c>
    </row>
    <row r="178" spans="1:16" x14ac:dyDescent="0.25">
      <c r="A178" t="s">
        <v>3590</v>
      </c>
      <c r="B178">
        <v>726</v>
      </c>
      <c r="C178" t="s">
        <v>12537</v>
      </c>
      <c r="D178" s="27">
        <v>2.8050000000000002</v>
      </c>
      <c r="E178" t="s">
        <v>12164</v>
      </c>
      <c r="F178" s="28">
        <v>41992</v>
      </c>
      <c r="I178" s="23" t="s">
        <v>11422</v>
      </c>
      <c r="J178" s="23">
        <v>140.25</v>
      </c>
      <c r="K178" s="18">
        <v>42027</v>
      </c>
      <c r="L178" s="23" t="s">
        <v>11422</v>
      </c>
      <c r="O178" s="30" t="s">
        <v>11422</v>
      </c>
      <c r="P178" t="s">
        <v>11422</v>
      </c>
    </row>
    <row r="179" spans="1:16" x14ac:dyDescent="0.25">
      <c r="A179" t="s">
        <v>3500</v>
      </c>
      <c r="B179">
        <v>679</v>
      </c>
      <c r="C179" t="s">
        <v>12024</v>
      </c>
      <c r="D179" s="27">
        <v>3.06</v>
      </c>
      <c r="E179" t="s">
        <v>5944</v>
      </c>
      <c r="F179" s="18">
        <v>41977</v>
      </c>
      <c r="I179" s="23" t="s">
        <v>11422</v>
      </c>
      <c r="J179" s="23">
        <v>153</v>
      </c>
      <c r="K179" s="18">
        <v>42027</v>
      </c>
      <c r="L179" s="23" t="s">
        <v>11422</v>
      </c>
      <c r="O179" s="30" t="s">
        <v>11422</v>
      </c>
      <c r="P179" t="s">
        <v>11422</v>
      </c>
    </row>
    <row r="180" spans="1:16" x14ac:dyDescent="0.25">
      <c r="A180" t="s">
        <v>11496</v>
      </c>
      <c r="B180">
        <v>890</v>
      </c>
      <c r="C180" t="s">
        <v>12884</v>
      </c>
      <c r="D180" s="27">
        <v>3.3149999999999999</v>
      </c>
      <c r="E180" t="s">
        <v>12632</v>
      </c>
      <c r="F180" s="28">
        <v>42012</v>
      </c>
      <c r="I180" s="23" t="s">
        <v>11422</v>
      </c>
      <c r="J180" s="23">
        <v>165.75</v>
      </c>
      <c r="K180" s="18">
        <v>42027</v>
      </c>
      <c r="L180" s="23" t="s">
        <v>11422</v>
      </c>
      <c r="O180" s="30" t="s">
        <v>11422</v>
      </c>
      <c r="P180" t="s">
        <v>11422</v>
      </c>
    </row>
    <row r="181" spans="1:16" x14ac:dyDescent="0.25">
      <c r="A181" t="s">
        <v>3460</v>
      </c>
      <c r="B181">
        <v>659</v>
      </c>
      <c r="C181" t="s">
        <v>12885</v>
      </c>
      <c r="D181" s="27">
        <v>3.3149999999999999</v>
      </c>
      <c r="E181" t="s">
        <v>12633</v>
      </c>
      <c r="F181" s="28">
        <v>42012</v>
      </c>
      <c r="I181" s="23" t="s">
        <v>11422</v>
      </c>
      <c r="J181" s="23">
        <v>165.75</v>
      </c>
      <c r="K181" s="18">
        <v>42027</v>
      </c>
      <c r="L181" s="23" t="s">
        <v>11422</v>
      </c>
      <c r="O181" s="30" t="s">
        <v>11422</v>
      </c>
      <c r="P181" t="s">
        <v>11422</v>
      </c>
    </row>
    <row r="182" spans="1:16" x14ac:dyDescent="0.25">
      <c r="A182" t="s">
        <v>3567</v>
      </c>
      <c r="B182">
        <v>714</v>
      </c>
      <c r="C182" t="s">
        <v>12465</v>
      </c>
      <c r="D182" s="27">
        <v>3.3149999999999999</v>
      </c>
      <c r="E182" t="s">
        <v>12373</v>
      </c>
      <c r="F182" s="28">
        <v>42002</v>
      </c>
      <c r="I182" s="23" t="s">
        <v>11422</v>
      </c>
      <c r="J182" s="23">
        <v>165.75</v>
      </c>
      <c r="K182" s="18">
        <v>42027</v>
      </c>
      <c r="L182" s="23" t="s">
        <v>11422</v>
      </c>
      <c r="O182" s="30" t="s">
        <v>11422</v>
      </c>
      <c r="P182" t="s">
        <v>11422</v>
      </c>
    </row>
    <row r="183" spans="1:16" x14ac:dyDescent="0.25">
      <c r="A183" t="s">
        <v>11502</v>
      </c>
      <c r="B183">
        <v>893</v>
      </c>
      <c r="C183" t="s">
        <v>12548</v>
      </c>
      <c r="D183" s="27">
        <v>5.61</v>
      </c>
      <c r="E183" t="s">
        <v>12414</v>
      </c>
      <c r="F183" s="28">
        <v>42007</v>
      </c>
      <c r="I183" s="23" t="s">
        <v>11422</v>
      </c>
      <c r="J183" s="23">
        <v>178.5</v>
      </c>
      <c r="K183" s="18">
        <v>42027</v>
      </c>
      <c r="L183" s="23" t="s">
        <v>11422</v>
      </c>
      <c r="O183" s="30" t="s">
        <v>11422</v>
      </c>
      <c r="P183" t="s">
        <v>11422</v>
      </c>
    </row>
    <row r="184" spans="1:16" x14ac:dyDescent="0.25">
      <c r="A184" t="s">
        <v>12266</v>
      </c>
      <c r="B184">
        <v>941</v>
      </c>
      <c r="C184" t="s">
        <v>12895</v>
      </c>
      <c r="D184" s="27">
        <v>4.8449999999999998</v>
      </c>
      <c r="E184" t="s">
        <v>12649</v>
      </c>
      <c r="F184" s="28">
        <v>42011</v>
      </c>
      <c r="G184" s="34">
        <v>250</v>
      </c>
      <c r="H184" s="18">
        <v>42041</v>
      </c>
      <c r="I184" s="23" t="s">
        <v>11422</v>
      </c>
      <c r="J184" s="23">
        <v>242.25</v>
      </c>
      <c r="K184" s="18">
        <v>42027</v>
      </c>
      <c r="L184" s="23" t="s">
        <v>11422</v>
      </c>
      <c r="O184" s="30" t="s">
        <v>11422</v>
      </c>
      <c r="P184" t="s">
        <v>11422</v>
      </c>
    </row>
    <row r="185" spans="1:16" x14ac:dyDescent="0.25">
      <c r="A185" t="s">
        <v>8673</v>
      </c>
      <c r="B185">
        <v>856</v>
      </c>
      <c r="C185" t="s">
        <v>12848</v>
      </c>
      <c r="D185" s="27">
        <v>5.0999999999999996</v>
      </c>
      <c r="E185" t="s">
        <v>12595</v>
      </c>
      <c r="F185" s="28">
        <v>42014</v>
      </c>
      <c r="I185" s="23" t="s">
        <v>11422</v>
      </c>
      <c r="J185" s="23">
        <v>254.99999999999997</v>
      </c>
      <c r="K185" s="18">
        <v>42027</v>
      </c>
      <c r="L185" s="23" t="s">
        <v>11422</v>
      </c>
      <c r="O185" s="30" t="s">
        <v>11422</v>
      </c>
      <c r="P185" t="s">
        <v>11422</v>
      </c>
    </row>
    <row r="186" spans="1:16" x14ac:dyDescent="0.25">
      <c r="A186" t="s">
        <v>2276</v>
      </c>
      <c r="B186">
        <v>40</v>
      </c>
      <c r="C186" t="s">
        <v>12001</v>
      </c>
      <c r="D186" s="27">
        <v>5.0999999999999996</v>
      </c>
      <c r="E186" t="s">
        <v>9319</v>
      </c>
      <c r="F186" s="18">
        <v>41979</v>
      </c>
      <c r="I186" s="23" t="s">
        <v>11422</v>
      </c>
      <c r="J186" s="23">
        <v>254.99999999999997</v>
      </c>
      <c r="K186" s="18">
        <v>42027</v>
      </c>
      <c r="L186" s="23" t="s">
        <v>11422</v>
      </c>
      <c r="O186" s="30" t="s">
        <v>11422</v>
      </c>
      <c r="P186" t="s">
        <v>11422</v>
      </c>
    </row>
    <row r="187" spans="1:16" x14ac:dyDescent="0.25">
      <c r="A187" t="s">
        <v>3830</v>
      </c>
      <c r="B187">
        <v>261</v>
      </c>
      <c r="C187" t="s">
        <v>11913</v>
      </c>
      <c r="D187" s="27">
        <v>5.0999999999999996</v>
      </c>
      <c r="E187" t="s">
        <v>11713</v>
      </c>
      <c r="F187" s="18">
        <v>41989</v>
      </c>
      <c r="I187" s="23" t="s">
        <v>11422</v>
      </c>
      <c r="J187" s="23">
        <v>254.99999999999997</v>
      </c>
      <c r="K187" s="18">
        <v>42027</v>
      </c>
      <c r="L187" s="23" t="s">
        <v>11422</v>
      </c>
      <c r="O187" s="30" t="s">
        <v>11422</v>
      </c>
      <c r="P187" t="s">
        <v>11422</v>
      </c>
    </row>
    <row r="188" spans="1:16" x14ac:dyDescent="0.25">
      <c r="A188" t="s">
        <v>3567</v>
      </c>
      <c r="B188">
        <v>714</v>
      </c>
      <c r="C188" t="s">
        <v>11853</v>
      </c>
      <c r="D188" s="27">
        <v>6.8849999999999998</v>
      </c>
      <c r="E188" t="s">
        <v>11731</v>
      </c>
      <c r="F188" s="18">
        <v>41982</v>
      </c>
      <c r="G188" s="34">
        <v>250</v>
      </c>
      <c r="H188" s="18">
        <v>42020</v>
      </c>
      <c r="I188" s="23" t="s">
        <v>11422</v>
      </c>
      <c r="J188" s="23">
        <v>344.25</v>
      </c>
      <c r="K188" s="18">
        <v>42027</v>
      </c>
      <c r="L188" s="23" t="s">
        <v>11422</v>
      </c>
      <c r="O188" s="30" t="s">
        <v>11422</v>
      </c>
      <c r="P188" t="s">
        <v>11422</v>
      </c>
    </row>
    <row r="189" spans="1:16" x14ac:dyDescent="0.25">
      <c r="A189" t="s">
        <v>3309</v>
      </c>
      <c r="B189">
        <v>580</v>
      </c>
      <c r="C189" t="s">
        <v>11870</v>
      </c>
      <c r="D189" s="27">
        <v>6.8849999999999998</v>
      </c>
      <c r="E189" t="s">
        <v>11637</v>
      </c>
      <c r="F189" s="18">
        <v>41985</v>
      </c>
      <c r="I189" s="23" t="s">
        <v>11422</v>
      </c>
      <c r="J189" s="23">
        <v>344.25</v>
      </c>
      <c r="K189" s="18">
        <v>42027</v>
      </c>
      <c r="L189" s="23" t="s">
        <v>11422</v>
      </c>
      <c r="O189" s="30" t="s">
        <v>11422</v>
      </c>
      <c r="P189" t="s">
        <v>11422</v>
      </c>
    </row>
    <row r="190" spans="1:16" x14ac:dyDescent="0.25">
      <c r="A190" t="s">
        <v>3486</v>
      </c>
      <c r="B190">
        <v>672</v>
      </c>
      <c r="C190" t="s">
        <v>12188</v>
      </c>
      <c r="D190" s="27">
        <v>8.4149999999999991</v>
      </c>
      <c r="E190" t="s">
        <v>12080</v>
      </c>
      <c r="F190" s="18">
        <v>41991</v>
      </c>
      <c r="I190" s="23" t="s">
        <v>11422</v>
      </c>
      <c r="J190" s="23">
        <v>420.74999999999994</v>
      </c>
      <c r="K190" s="18">
        <v>42027</v>
      </c>
      <c r="L190" s="23" t="s">
        <v>11422</v>
      </c>
      <c r="O190" s="30" t="s">
        <v>11422</v>
      </c>
      <c r="P190" t="s">
        <v>11422</v>
      </c>
    </row>
    <row r="191" spans="1:16" x14ac:dyDescent="0.25">
      <c r="A191" t="s">
        <v>3454</v>
      </c>
      <c r="B191">
        <v>656</v>
      </c>
      <c r="C191" t="s">
        <v>11921</v>
      </c>
      <c r="D191" s="27">
        <v>8.58</v>
      </c>
      <c r="E191" t="s">
        <v>11629</v>
      </c>
      <c r="F191" s="18">
        <v>41988</v>
      </c>
      <c r="I191" s="23" t="s">
        <v>11422</v>
      </c>
      <c r="J191" s="23">
        <v>429</v>
      </c>
      <c r="K191" s="18">
        <v>42027</v>
      </c>
      <c r="L191" s="23" t="s">
        <v>11422</v>
      </c>
      <c r="O191" s="30" t="s">
        <v>11422</v>
      </c>
      <c r="P191" t="s">
        <v>11422</v>
      </c>
    </row>
    <row r="192" spans="1:16" x14ac:dyDescent="0.25">
      <c r="A192" t="s">
        <v>2592</v>
      </c>
      <c r="B192">
        <v>205</v>
      </c>
      <c r="C192" t="s">
        <v>11978</v>
      </c>
      <c r="D192" s="27">
        <v>10</v>
      </c>
      <c r="E192" t="s">
        <v>4594</v>
      </c>
      <c r="F192" s="18">
        <v>41979</v>
      </c>
      <c r="G192" s="34">
        <v>450</v>
      </c>
      <c r="H192" s="18">
        <v>41992</v>
      </c>
      <c r="I192" s="23" t="s">
        <v>11422</v>
      </c>
      <c r="J192" s="23">
        <v>500</v>
      </c>
      <c r="K192" s="18">
        <v>42027</v>
      </c>
      <c r="L192" s="23" t="s">
        <v>11422</v>
      </c>
      <c r="O192" s="30" t="s">
        <v>11422</v>
      </c>
      <c r="P192" t="s">
        <v>11422</v>
      </c>
    </row>
    <row r="193" spans="1:16" x14ac:dyDescent="0.25">
      <c r="A193" t="s">
        <v>11510</v>
      </c>
      <c r="B193">
        <v>897</v>
      </c>
      <c r="C193" t="s">
        <v>12524</v>
      </c>
      <c r="D193" s="27">
        <v>10.455</v>
      </c>
      <c r="E193" t="s">
        <v>12142</v>
      </c>
      <c r="F193" s="28">
        <v>41993</v>
      </c>
      <c r="I193" s="23" t="s">
        <v>11422</v>
      </c>
      <c r="J193" s="23">
        <v>522.75</v>
      </c>
      <c r="K193" s="18">
        <v>42027</v>
      </c>
      <c r="L193" s="23" t="s">
        <v>11422</v>
      </c>
      <c r="O193" s="30" t="s">
        <v>11422</v>
      </c>
      <c r="P193" t="s">
        <v>11422</v>
      </c>
    </row>
    <row r="194" spans="1:16" x14ac:dyDescent="0.25">
      <c r="A194" t="s">
        <v>3582</v>
      </c>
      <c r="B194">
        <v>722</v>
      </c>
      <c r="C194" t="s">
        <v>11932</v>
      </c>
      <c r="D194" s="27">
        <v>11.44</v>
      </c>
      <c r="E194" t="s">
        <v>11612</v>
      </c>
      <c r="F194" s="18">
        <v>41986</v>
      </c>
      <c r="I194" s="23" t="s">
        <v>11422</v>
      </c>
      <c r="J194" s="23">
        <v>572</v>
      </c>
      <c r="K194" s="18">
        <v>42027</v>
      </c>
      <c r="L194" s="23" t="s">
        <v>11422</v>
      </c>
      <c r="O194" s="30" t="s">
        <v>11422</v>
      </c>
      <c r="P194" t="s">
        <v>11422</v>
      </c>
    </row>
    <row r="195" spans="1:16" x14ac:dyDescent="0.25">
      <c r="A195" t="s">
        <v>3582</v>
      </c>
      <c r="B195">
        <v>722</v>
      </c>
      <c r="C195" t="s">
        <v>12519</v>
      </c>
      <c r="D195" s="27">
        <v>11.96</v>
      </c>
      <c r="E195" t="s">
        <v>12343</v>
      </c>
      <c r="F195" s="28">
        <v>41996</v>
      </c>
      <c r="I195" s="23" t="s">
        <v>11422</v>
      </c>
      <c r="J195" s="23">
        <v>598</v>
      </c>
      <c r="K195" s="18">
        <v>42027</v>
      </c>
      <c r="L195" s="23" t="s">
        <v>11422</v>
      </c>
      <c r="O195" s="30" t="s">
        <v>11422</v>
      </c>
      <c r="P195" t="s">
        <v>11422</v>
      </c>
    </row>
    <row r="196" spans="1:16" x14ac:dyDescent="0.25">
      <c r="A196" t="s">
        <v>2250</v>
      </c>
      <c r="B196">
        <v>27</v>
      </c>
      <c r="C196" t="s">
        <v>12348</v>
      </c>
      <c r="D196" s="27">
        <v>11.984999999999999</v>
      </c>
      <c r="E196" t="s">
        <v>12325</v>
      </c>
      <c r="F196" s="28">
        <v>41995</v>
      </c>
      <c r="I196" s="23" t="s">
        <v>11422</v>
      </c>
      <c r="J196" s="23">
        <v>599.25</v>
      </c>
      <c r="K196" s="18">
        <v>42027</v>
      </c>
      <c r="L196" s="23" t="s">
        <v>11422</v>
      </c>
      <c r="O196" s="30" t="s">
        <v>11422</v>
      </c>
      <c r="P196" t="s">
        <v>11422</v>
      </c>
    </row>
    <row r="197" spans="1:16" x14ac:dyDescent="0.25">
      <c r="A197" t="s">
        <v>2592</v>
      </c>
      <c r="B197">
        <v>205</v>
      </c>
      <c r="C197" t="s">
        <v>12014</v>
      </c>
      <c r="D197" s="27">
        <v>12.75</v>
      </c>
      <c r="E197" t="s">
        <v>9821</v>
      </c>
      <c r="F197" s="18">
        <v>41978</v>
      </c>
      <c r="G197" s="34">
        <v>450</v>
      </c>
      <c r="H197" s="18">
        <v>41992</v>
      </c>
      <c r="I197" s="23" t="s">
        <v>11422</v>
      </c>
      <c r="J197" s="23">
        <v>637.5</v>
      </c>
      <c r="K197" s="18">
        <v>42027</v>
      </c>
      <c r="L197" s="23" t="s">
        <v>11422</v>
      </c>
      <c r="O197" s="30" t="s">
        <v>11422</v>
      </c>
      <c r="P197" t="s">
        <v>11422</v>
      </c>
    </row>
    <row r="198" spans="1:16" x14ac:dyDescent="0.25">
      <c r="A198" t="s">
        <v>2592</v>
      </c>
      <c r="B198">
        <v>205</v>
      </c>
      <c r="C198" t="s">
        <v>12006</v>
      </c>
      <c r="D198" s="27">
        <v>13</v>
      </c>
      <c r="E198" t="s">
        <v>5109</v>
      </c>
      <c r="F198" s="18">
        <v>41978</v>
      </c>
      <c r="G198" s="34">
        <v>450</v>
      </c>
      <c r="H198" s="18">
        <v>41992</v>
      </c>
      <c r="I198" s="23" t="s">
        <v>11422</v>
      </c>
      <c r="J198" s="23">
        <v>650</v>
      </c>
      <c r="K198" s="18">
        <v>42027</v>
      </c>
      <c r="L198" s="23" t="s">
        <v>11422</v>
      </c>
      <c r="O198" s="30" t="s">
        <v>11422</v>
      </c>
      <c r="P198" t="s">
        <v>11422</v>
      </c>
    </row>
    <row r="199" spans="1:16" x14ac:dyDescent="0.25">
      <c r="A199" t="s">
        <v>2592</v>
      </c>
      <c r="B199">
        <v>205</v>
      </c>
      <c r="C199" t="s">
        <v>11980</v>
      </c>
      <c r="D199" s="27">
        <v>13.25</v>
      </c>
      <c r="E199" t="s">
        <v>4768</v>
      </c>
      <c r="F199" s="18">
        <v>41979</v>
      </c>
      <c r="G199" s="34">
        <v>450</v>
      </c>
      <c r="H199" s="18">
        <v>41992</v>
      </c>
      <c r="I199" s="23" t="s">
        <v>11422</v>
      </c>
      <c r="J199" s="23">
        <v>662.5</v>
      </c>
      <c r="K199" s="18">
        <v>42027</v>
      </c>
      <c r="L199" s="23" t="s">
        <v>11422</v>
      </c>
      <c r="O199" s="30" t="s">
        <v>11422</v>
      </c>
      <c r="P199" t="s">
        <v>11422</v>
      </c>
    </row>
    <row r="200" spans="1:16" x14ac:dyDescent="0.25">
      <c r="A200" t="s">
        <v>2242</v>
      </c>
      <c r="B200">
        <v>22</v>
      </c>
      <c r="C200" t="s">
        <v>11882</v>
      </c>
      <c r="D200" s="27">
        <v>5.5</v>
      </c>
      <c r="E200" t="s">
        <v>11623</v>
      </c>
      <c r="F200" s="18">
        <v>41988</v>
      </c>
      <c r="G200" s="34">
        <v>250</v>
      </c>
      <c r="H200" s="18">
        <v>42013</v>
      </c>
      <c r="I200" s="23" t="s">
        <v>11422</v>
      </c>
      <c r="J200" s="23">
        <v>275</v>
      </c>
      <c r="K200" s="18">
        <v>42013</v>
      </c>
      <c r="L200" s="23" t="s">
        <v>11422</v>
      </c>
      <c r="M200" s="23">
        <v>575</v>
      </c>
      <c r="N200" s="18">
        <v>42027</v>
      </c>
      <c r="O200" s="30" t="s">
        <v>11422</v>
      </c>
      <c r="P200" t="s">
        <v>11422</v>
      </c>
    </row>
    <row r="201" spans="1:16" x14ac:dyDescent="0.25">
      <c r="A201" t="s">
        <v>3830</v>
      </c>
      <c r="B201">
        <v>261</v>
      </c>
      <c r="C201" t="s">
        <v>11863</v>
      </c>
      <c r="D201" s="27">
        <v>8.16</v>
      </c>
      <c r="E201" t="s">
        <v>11643</v>
      </c>
      <c r="F201" s="18">
        <v>41983</v>
      </c>
      <c r="G201" s="34">
        <v>350</v>
      </c>
      <c r="H201" s="18">
        <v>42013</v>
      </c>
      <c r="I201" s="23" t="s">
        <v>11422</v>
      </c>
      <c r="J201" s="23">
        <v>408</v>
      </c>
      <c r="K201" s="18">
        <v>42013</v>
      </c>
      <c r="L201" s="23" t="s">
        <v>11422</v>
      </c>
      <c r="M201" s="23">
        <v>874</v>
      </c>
      <c r="N201" s="18">
        <v>42027</v>
      </c>
      <c r="O201" s="30" t="s">
        <v>11422</v>
      </c>
      <c r="P201" t="s">
        <v>11422</v>
      </c>
    </row>
    <row r="202" spans="1:16" x14ac:dyDescent="0.25">
      <c r="A202" t="s">
        <v>2401</v>
      </c>
      <c r="B202">
        <v>107</v>
      </c>
      <c r="C202" t="s">
        <v>11857</v>
      </c>
      <c r="D202" s="27">
        <v>9.5</v>
      </c>
      <c r="E202" t="s">
        <v>11616</v>
      </c>
      <c r="F202" s="18">
        <v>41983</v>
      </c>
      <c r="G202" s="34">
        <v>350</v>
      </c>
      <c r="H202" s="18">
        <v>42013</v>
      </c>
      <c r="I202" s="23" t="s">
        <v>11422</v>
      </c>
      <c r="J202" s="23">
        <v>475</v>
      </c>
      <c r="K202" s="18">
        <v>42013</v>
      </c>
      <c r="L202" s="23" t="s">
        <v>11422</v>
      </c>
      <c r="M202" s="23">
        <v>1075</v>
      </c>
      <c r="N202" s="18">
        <v>42027</v>
      </c>
      <c r="O202" s="30" t="s">
        <v>11422</v>
      </c>
      <c r="P202" t="s">
        <v>11422</v>
      </c>
    </row>
    <row r="203" spans="1:16" x14ac:dyDescent="0.25">
      <c r="A203" t="s">
        <v>2401</v>
      </c>
      <c r="B203">
        <v>107</v>
      </c>
      <c r="C203" t="s">
        <v>12190</v>
      </c>
      <c r="D203" s="27">
        <v>13</v>
      </c>
      <c r="E203" t="s">
        <v>12089</v>
      </c>
      <c r="F203" s="18">
        <v>41990</v>
      </c>
      <c r="G203" s="34">
        <v>350</v>
      </c>
      <c r="H203" s="18">
        <v>42013</v>
      </c>
      <c r="I203" s="23" t="s">
        <v>11422</v>
      </c>
      <c r="J203" s="23">
        <v>650</v>
      </c>
      <c r="K203" s="18">
        <v>42013</v>
      </c>
      <c r="L203" s="23" t="s">
        <v>11422</v>
      </c>
      <c r="M203" s="23">
        <v>1600</v>
      </c>
      <c r="N203" s="18">
        <v>42027</v>
      </c>
      <c r="O203" s="30" t="s">
        <v>11422</v>
      </c>
      <c r="P203" t="s">
        <v>11422</v>
      </c>
    </row>
    <row r="204" spans="1:16" x14ac:dyDescent="0.25">
      <c r="A204" t="s">
        <v>2728</v>
      </c>
      <c r="B204">
        <v>282</v>
      </c>
      <c r="C204" t="s">
        <v>11956</v>
      </c>
      <c r="D204" s="27">
        <v>12.5</v>
      </c>
      <c r="E204" t="s">
        <v>11781</v>
      </c>
      <c r="F204" s="18">
        <v>41984</v>
      </c>
      <c r="G204" s="34">
        <v>250</v>
      </c>
      <c r="H204" s="18">
        <v>42013</v>
      </c>
      <c r="I204" s="23" t="s">
        <v>11422</v>
      </c>
      <c r="J204" s="23">
        <v>625</v>
      </c>
      <c r="K204" s="18">
        <v>42020</v>
      </c>
      <c r="L204" s="23" t="s">
        <v>11422</v>
      </c>
      <c r="M204" s="23">
        <v>1625</v>
      </c>
      <c r="N204" s="18">
        <v>42027</v>
      </c>
      <c r="O204" s="30" t="s">
        <v>11422</v>
      </c>
      <c r="P204" t="s">
        <v>11422</v>
      </c>
    </row>
    <row r="205" spans="1:16" x14ac:dyDescent="0.25">
      <c r="A205" t="s">
        <v>3460</v>
      </c>
      <c r="B205">
        <v>659</v>
      </c>
      <c r="C205" t="s">
        <v>12445</v>
      </c>
      <c r="D205" s="27">
        <v>5.61</v>
      </c>
      <c r="E205" t="s">
        <v>12444</v>
      </c>
      <c r="F205" s="28">
        <v>42009</v>
      </c>
      <c r="I205" s="23" t="s">
        <v>11422</v>
      </c>
      <c r="L205" s="23" t="s">
        <v>11422</v>
      </c>
      <c r="O205" s="30" t="s">
        <v>11422</v>
      </c>
      <c r="P205" t="s">
        <v>11422</v>
      </c>
    </row>
    <row r="206" spans="1:16" x14ac:dyDescent="0.25">
      <c r="A206" t="s">
        <v>3526</v>
      </c>
      <c r="B206">
        <v>692</v>
      </c>
      <c r="C206" t="s">
        <v>12061</v>
      </c>
      <c r="D206" s="27">
        <v>2.8050000000000002</v>
      </c>
      <c r="E206" t="s">
        <v>1469</v>
      </c>
      <c r="F206" s="18">
        <v>41975</v>
      </c>
      <c r="I206" s="23" t="s">
        <v>11422</v>
      </c>
      <c r="J206" s="23">
        <v>140.25</v>
      </c>
      <c r="K206" s="18">
        <v>42020</v>
      </c>
      <c r="L206" s="23" t="s">
        <v>11422</v>
      </c>
      <c r="O206" s="30" t="s">
        <v>11422</v>
      </c>
      <c r="P206" t="s">
        <v>11422</v>
      </c>
    </row>
    <row r="207" spans="1:16" x14ac:dyDescent="0.25">
      <c r="A207" t="s">
        <v>2841</v>
      </c>
      <c r="B207">
        <v>340</v>
      </c>
      <c r="C207" t="s">
        <v>11906</v>
      </c>
      <c r="D207" s="27">
        <v>3.3149999999999999</v>
      </c>
      <c r="E207" t="s">
        <v>11605</v>
      </c>
      <c r="F207" s="18">
        <v>41989</v>
      </c>
      <c r="I207" s="23" t="s">
        <v>11422</v>
      </c>
      <c r="J207" s="23">
        <v>165.75</v>
      </c>
      <c r="K207" s="18">
        <v>42020</v>
      </c>
      <c r="L207" s="23" t="s">
        <v>11422</v>
      </c>
      <c r="O207" s="30" t="s">
        <v>11422</v>
      </c>
      <c r="P207" t="s">
        <v>11422</v>
      </c>
    </row>
    <row r="208" spans="1:16" x14ac:dyDescent="0.25">
      <c r="A208" t="s">
        <v>2276</v>
      </c>
      <c r="B208">
        <v>40</v>
      </c>
      <c r="C208" t="s">
        <v>11998</v>
      </c>
      <c r="D208" s="27">
        <v>3.8250000000000002</v>
      </c>
      <c r="E208" t="s">
        <v>9257</v>
      </c>
      <c r="F208" s="18">
        <v>41979</v>
      </c>
      <c r="I208" s="23" t="s">
        <v>11422</v>
      </c>
      <c r="J208" s="23">
        <v>191.25</v>
      </c>
      <c r="K208" s="18">
        <v>42020</v>
      </c>
      <c r="L208" s="23" t="s">
        <v>11422</v>
      </c>
      <c r="O208" s="30" t="s">
        <v>11422</v>
      </c>
      <c r="P208" t="s">
        <v>11422</v>
      </c>
    </row>
    <row r="209" spans="1:16" x14ac:dyDescent="0.25">
      <c r="A209" t="s">
        <v>137</v>
      </c>
      <c r="B209">
        <v>648</v>
      </c>
      <c r="C209" t="s">
        <v>11961</v>
      </c>
      <c r="D209" s="27">
        <v>5.25</v>
      </c>
      <c r="E209" t="s">
        <v>11747</v>
      </c>
      <c r="F209" s="18">
        <v>41983</v>
      </c>
      <c r="G209" s="34">
        <v>350</v>
      </c>
      <c r="H209" s="18">
        <v>42013</v>
      </c>
      <c r="I209" s="23" t="s">
        <v>11422</v>
      </c>
      <c r="J209" s="23">
        <v>262.5</v>
      </c>
      <c r="K209" s="18">
        <v>42020</v>
      </c>
      <c r="L209" s="23" t="s">
        <v>11422</v>
      </c>
      <c r="O209" s="30" t="s">
        <v>11422</v>
      </c>
      <c r="P209" t="s">
        <v>11422</v>
      </c>
    </row>
    <row r="210" spans="1:16" x14ac:dyDescent="0.25">
      <c r="A210" t="s">
        <v>2592</v>
      </c>
      <c r="B210">
        <v>205</v>
      </c>
      <c r="C210" t="s">
        <v>12036</v>
      </c>
      <c r="D210" s="27">
        <v>5.5</v>
      </c>
      <c r="E210" t="s">
        <v>10236</v>
      </c>
      <c r="F210" s="18">
        <v>41977</v>
      </c>
      <c r="G210" s="34">
        <v>450</v>
      </c>
      <c r="H210" s="18">
        <v>41992</v>
      </c>
      <c r="I210" s="23" t="s">
        <v>11422</v>
      </c>
      <c r="J210" s="23">
        <v>275</v>
      </c>
      <c r="L210" s="23" t="s">
        <v>11422</v>
      </c>
      <c r="O210" s="30" t="s">
        <v>11422</v>
      </c>
      <c r="P210" t="s">
        <v>11422</v>
      </c>
    </row>
    <row r="211" spans="1:16" x14ac:dyDescent="0.25">
      <c r="A211" t="s">
        <v>2592</v>
      </c>
      <c r="B211">
        <v>205</v>
      </c>
      <c r="C211" t="s">
        <v>11982</v>
      </c>
      <c r="D211" s="27">
        <v>5.5</v>
      </c>
      <c r="E211" t="s">
        <v>5745</v>
      </c>
      <c r="F211" s="18">
        <v>41979</v>
      </c>
      <c r="G211" s="34">
        <v>450</v>
      </c>
      <c r="H211" s="18">
        <v>41992</v>
      </c>
      <c r="I211" s="23" t="s">
        <v>11422</v>
      </c>
      <c r="J211" s="23">
        <v>275</v>
      </c>
      <c r="L211" s="23" t="s">
        <v>11422</v>
      </c>
      <c r="O211" s="30" t="s">
        <v>11422</v>
      </c>
      <c r="P211" t="s">
        <v>11422</v>
      </c>
    </row>
    <row r="212" spans="1:16" x14ac:dyDescent="0.25">
      <c r="A212" t="s">
        <v>2401</v>
      </c>
      <c r="B212">
        <v>107</v>
      </c>
      <c r="C212" t="s">
        <v>11966</v>
      </c>
      <c r="D212" s="27">
        <v>7.25</v>
      </c>
      <c r="E212" t="s">
        <v>11540</v>
      </c>
      <c r="F212" s="18">
        <v>41981</v>
      </c>
      <c r="I212" s="23" t="s">
        <v>11422</v>
      </c>
      <c r="J212" s="23">
        <v>362.5</v>
      </c>
      <c r="K212" s="18">
        <v>42020</v>
      </c>
      <c r="L212" s="23" t="s">
        <v>11422</v>
      </c>
      <c r="O212" s="30" t="s">
        <v>11422</v>
      </c>
      <c r="P212" t="s">
        <v>11422</v>
      </c>
    </row>
    <row r="213" spans="1:16" x14ac:dyDescent="0.25">
      <c r="A213" t="s">
        <v>2938</v>
      </c>
      <c r="B213">
        <v>389</v>
      </c>
      <c r="C213" t="s">
        <v>11989</v>
      </c>
      <c r="D213" s="27">
        <v>8.25</v>
      </c>
      <c r="E213" t="s">
        <v>7464</v>
      </c>
      <c r="F213" s="18">
        <v>41979</v>
      </c>
      <c r="G213" s="34">
        <v>350</v>
      </c>
      <c r="H213" s="18">
        <v>41992</v>
      </c>
      <c r="I213" s="23" t="s">
        <v>11422</v>
      </c>
      <c r="J213" s="23">
        <v>412.5</v>
      </c>
      <c r="K213" s="18">
        <v>42020</v>
      </c>
      <c r="L213" s="23" t="s">
        <v>11422</v>
      </c>
      <c r="O213" s="30" t="s">
        <v>11422</v>
      </c>
      <c r="P213" t="s">
        <v>11422</v>
      </c>
    </row>
    <row r="214" spans="1:16" x14ac:dyDescent="0.25">
      <c r="A214" t="s">
        <v>3407</v>
      </c>
      <c r="B214">
        <v>632</v>
      </c>
      <c r="C214" t="s">
        <v>11912</v>
      </c>
      <c r="D214" s="27">
        <v>9</v>
      </c>
      <c r="E214" t="s">
        <v>11704</v>
      </c>
      <c r="F214" s="18">
        <v>41989</v>
      </c>
      <c r="G214" s="34">
        <v>350</v>
      </c>
      <c r="H214" s="18">
        <v>42013</v>
      </c>
      <c r="I214" s="23" t="s">
        <v>11422</v>
      </c>
      <c r="J214" s="23">
        <v>450</v>
      </c>
      <c r="K214" s="18">
        <v>42020</v>
      </c>
      <c r="L214" s="23" t="s">
        <v>11422</v>
      </c>
      <c r="O214" s="30" t="s">
        <v>11422</v>
      </c>
      <c r="P214" t="s">
        <v>11422</v>
      </c>
    </row>
    <row r="215" spans="1:16" x14ac:dyDescent="0.25">
      <c r="A215" t="s">
        <v>3361</v>
      </c>
      <c r="B215">
        <v>607</v>
      </c>
      <c r="C215" t="s">
        <v>12192</v>
      </c>
      <c r="D215" s="27">
        <v>9</v>
      </c>
      <c r="E215" t="s">
        <v>12093</v>
      </c>
      <c r="F215" s="18">
        <v>41990</v>
      </c>
      <c r="G215" s="34">
        <v>250</v>
      </c>
      <c r="H215" s="18">
        <v>42006</v>
      </c>
      <c r="I215" s="23" t="s">
        <v>11422</v>
      </c>
      <c r="J215" s="23">
        <v>450</v>
      </c>
      <c r="K215" s="18">
        <v>42020</v>
      </c>
      <c r="L215" s="23" t="s">
        <v>11422</v>
      </c>
      <c r="O215" s="30" t="s">
        <v>11422</v>
      </c>
      <c r="P215" t="s">
        <v>11422</v>
      </c>
    </row>
    <row r="216" spans="1:16" x14ac:dyDescent="0.25">
      <c r="A216" t="s">
        <v>11428</v>
      </c>
      <c r="B216">
        <v>860</v>
      </c>
      <c r="C216" t="s">
        <v>12012</v>
      </c>
      <c r="D216" s="27">
        <v>5</v>
      </c>
      <c r="E216" t="s">
        <v>9668</v>
      </c>
      <c r="F216" s="18">
        <v>41978</v>
      </c>
      <c r="G216" s="34">
        <v>450</v>
      </c>
      <c r="H216" s="18">
        <v>41992</v>
      </c>
      <c r="I216" s="23" t="s">
        <v>11422</v>
      </c>
      <c r="J216" s="23">
        <v>250</v>
      </c>
      <c r="K216" s="18">
        <v>42013</v>
      </c>
      <c r="L216" s="23" t="s">
        <v>11422</v>
      </c>
      <c r="M216" s="30">
        <v>300</v>
      </c>
      <c r="N216" s="18">
        <v>42020</v>
      </c>
      <c r="O216" s="30" t="s">
        <v>11422</v>
      </c>
      <c r="P216" t="s">
        <v>11422</v>
      </c>
    </row>
    <row r="217" spans="1:16" x14ac:dyDescent="0.25">
      <c r="A217" t="s">
        <v>3830</v>
      </c>
      <c r="B217">
        <v>261</v>
      </c>
      <c r="C217" t="s">
        <v>928</v>
      </c>
      <c r="D217" s="27">
        <v>6.12</v>
      </c>
      <c r="E217" t="s">
        <v>927</v>
      </c>
      <c r="F217" s="18">
        <v>41976</v>
      </c>
      <c r="G217" s="34">
        <v>350</v>
      </c>
      <c r="H217" s="18">
        <v>42013</v>
      </c>
      <c r="I217" s="23" t="s">
        <v>11422</v>
      </c>
      <c r="J217" s="23">
        <v>306</v>
      </c>
      <c r="K217" s="18">
        <v>42013</v>
      </c>
      <c r="L217" s="23" t="s">
        <v>11422</v>
      </c>
      <c r="M217" s="30">
        <v>568</v>
      </c>
      <c r="N217" s="18">
        <v>42020</v>
      </c>
      <c r="O217" s="30" t="s">
        <v>11422</v>
      </c>
      <c r="P217" t="s">
        <v>11422</v>
      </c>
    </row>
    <row r="218" spans="1:16" x14ac:dyDescent="0.25">
      <c r="A218" t="s">
        <v>3407</v>
      </c>
      <c r="B218">
        <v>632</v>
      </c>
      <c r="C218" t="s">
        <v>11947</v>
      </c>
      <c r="D218" s="27">
        <v>7</v>
      </c>
      <c r="E218" t="s">
        <v>11789</v>
      </c>
      <c r="F218" s="18">
        <v>41985</v>
      </c>
      <c r="G218" s="34">
        <v>350</v>
      </c>
      <c r="H218" s="18">
        <v>42013</v>
      </c>
      <c r="I218" s="23" t="s">
        <v>11422</v>
      </c>
      <c r="J218" s="23">
        <v>350</v>
      </c>
      <c r="K218" s="18">
        <v>42013</v>
      </c>
      <c r="L218" s="23" t="s">
        <v>11422</v>
      </c>
      <c r="M218" s="30">
        <v>700</v>
      </c>
      <c r="N218" s="18">
        <v>42020</v>
      </c>
      <c r="O218" s="30" t="s">
        <v>11422</v>
      </c>
      <c r="P218" t="s">
        <v>11422</v>
      </c>
    </row>
    <row r="219" spans="1:16" x14ac:dyDescent="0.25">
      <c r="A219" t="s">
        <v>2814</v>
      </c>
      <c r="B219">
        <v>326</v>
      </c>
      <c r="C219" t="s">
        <v>12194</v>
      </c>
      <c r="D219" s="27">
        <v>13.75</v>
      </c>
      <c r="E219" t="s">
        <v>12097</v>
      </c>
      <c r="F219" s="18">
        <v>41990</v>
      </c>
      <c r="G219" s="34">
        <v>250</v>
      </c>
      <c r="H219" s="18">
        <v>42013</v>
      </c>
      <c r="I219" s="23" t="s">
        <v>11422</v>
      </c>
      <c r="J219" s="23">
        <v>687.5</v>
      </c>
      <c r="K219" s="18">
        <v>42013</v>
      </c>
      <c r="L219" s="23" t="s">
        <v>11422</v>
      </c>
      <c r="M219" s="30">
        <v>1812.5</v>
      </c>
      <c r="N219" s="18">
        <v>42020</v>
      </c>
      <c r="O219" s="30" t="s">
        <v>11422</v>
      </c>
      <c r="P219" t="s">
        <v>11422</v>
      </c>
    </row>
    <row r="220" spans="1:16" x14ac:dyDescent="0.25">
      <c r="A220" t="s">
        <v>2430</v>
      </c>
      <c r="B220">
        <v>121</v>
      </c>
      <c r="C220" t="s">
        <v>12185</v>
      </c>
      <c r="D220" s="27">
        <v>11.25</v>
      </c>
      <c r="E220" t="s">
        <v>12074</v>
      </c>
      <c r="F220" s="18">
        <v>41991</v>
      </c>
      <c r="G220" s="34">
        <v>250</v>
      </c>
      <c r="H220" s="18">
        <v>42013</v>
      </c>
      <c r="I220" s="23" t="s">
        <v>11422</v>
      </c>
      <c r="J220" s="23">
        <v>562.5</v>
      </c>
      <c r="K220" s="18">
        <v>42013</v>
      </c>
      <c r="L220" s="23" t="s">
        <v>11422</v>
      </c>
      <c r="M220" s="30">
        <v>2337.5</v>
      </c>
      <c r="N220" s="18">
        <v>42020</v>
      </c>
      <c r="O220" s="30" t="s">
        <v>11422</v>
      </c>
      <c r="P220" t="s">
        <v>11422</v>
      </c>
    </row>
    <row r="221" spans="1:16" x14ac:dyDescent="0.25">
      <c r="A221" t="s">
        <v>12282</v>
      </c>
      <c r="B221">
        <v>949</v>
      </c>
      <c r="C221" t="s">
        <v>12829</v>
      </c>
      <c r="D221" s="27">
        <v>14</v>
      </c>
      <c r="E221" t="s">
        <v>12576</v>
      </c>
      <c r="F221" s="28">
        <v>42015</v>
      </c>
      <c r="I221" s="23" t="s">
        <v>11422</v>
      </c>
      <c r="L221" s="23" t="s">
        <v>11422</v>
      </c>
      <c r="O221" s="30" t="s">
        <v>11422</v>
      </c>
      <c r="P221" t="s">
        <v>11422</v>
      </c>
    </row>
    <row r="222" spans="1:16" x14ac:dyDescent="0.25">
      <c r="A222" t="s">
        <v>2592</v>
      </c>
      <c r="B222">
        <v>205</v>
      </c>
      <c r="C222" t="s">
        <v>12832</v>
      </c>
      <c r="D222" s="27">
        <v>4.08</v>
      </c>
      <c r="E222" t="s">
        <v>12579</v>
      </c>
      <c r="F222" s="28">
        <v>42014</v>
      </c>
      <c r="I222" s="23" t="s">
        <v>11422</v>
      </c>
      <c r="L222" s="23" t="s">
        <v>11422</v>
      </c>
      <c r="O222" s="30" t="s">
        <v>11422</v>
      </c>
      <c r="P222" t="s">
        <v>11422</v>
      </c>
    </row>
    <row r="223" spans="1:16" x14ac:dyDescent="0.25">
      <c r="A223" t="s">
        <v>2244</v>
      </c>
      <c r="B223">
        <v>23</v>
      </c>
      <c r="C223" t="s">
        <v>12833</v>
      </c>
      <c r="D223" s="27">
        <v>10.455</v>
      </c>
      <c r="E223" t="s">
        <v>12580</v>
      </c>
      <c r="F223" s="28">
        <v>42014</v>
      </c>
      <c r="I223" s="23" t="s">
        <v>11422</v>
      </c>
      <c r="L223" s="23" t="s">
        <v>11422</v>
      </c>
      <c r="O223" s="30" t="s">
        <v>11422</v>
      </c>
      <c r="P223" t="s">
        <v>11422</v>
      </c>
    </row>
    <row r="224" spans="1:16" x14ac:dyDescent="0.25">
      <c r="A224" t="s">
        <v>2592</v>
      </c>
      <c r="B224">
        <v>205</v>
      </c>
      <c r="C224" t="s">
        <v>12834</v>
      </c>
      <c r="D224" s="27">
        <v>2.8050000000000002</v>
      </c>
      <c r="E224" t="s">
        <v>12581</v>
      </c>
      <c r="F224" s="28">
        <v>42014</v>
      </c>
      <c r="I224" s="23" t="s">
        <v>11422</v>
      </c>
      <c r="L224" s="23" t="s">
        <v>11422</v>
      </c>
      <c r="O224" s="30" t="s">
        <v>11422</v>
      </c>
      <c r="P224" t="s">
        <v>11422</v>
      </c>
    </row>
    <row r="225" spans="1:16" x14ac:dyDescent="0.25">
      <c r="A225" t="s">
        <v>2890</v>
      </c>
      <c r="B225">
        <v>365</v>
      </c>
      <c r="C225" t="s">
        <v>12836</v>
      </c>
      <c r="D225" s="27">
        <v>5.2</v>
      </c>
      <c r="E225" t="s">
        <v>12583</v>
      </c>
      <c r="F225" s="28">
        <v>42014</v>
      </c>
      <c r="G225" s="34">
        <v>250</v>
      </c>
      <c r="H225" s="18">
        <v>42020</v>
      </c>
      <c r="I225" s="23" t="s">
        <v>11422</v>
      </c>
      <c r="J225" s="23">
        <v>260</v>
      </c>
      <c r="K225" s="18">
        <v>42020</v>
      </c>
      <c r="L225" s="23" t="s">
        <v>11422</v>
      </c>
      <c r="O225" s="30" t="s">
        <v>11422</v>
      </c>
      <c r="P225" t="s">
        <v>11422</v>
      </c>
    </row>
    <row r="226" spans="1:16" x14ac:dyDescent="0.25">
      <c r="A226" t="s">
        <v>3590</v>
      </c>
      <c r="B226">
        <v>726</v>
      </c>
      <c r="C226" t="s">
        <v>12837</v>
      </c>
      <c r="D226" s="27">
        <v>6.8849999999999998</v>
      </c>
      <c r="E226" t="s">
        <v>12584</v>
      </c>
      <c r="F226" s="28">
        <v>42014</v>
      </c>
      <c r="I226" s="23" t="s">
        <v>11422</v>
      </c>
      <c r="L226" s="23" t="s">
        <v>11422</v>
      </c>
      <c r="O226" s="30" t="s">
        <v>11422</v>
      </c>
      <c r="P226" t="s">
        <v>11422</v>
      </c>
    </row>
    <row r="227" spans="1:16" x14ac:dyDescent="0.25">
      <c r="A227" t="s">
        <v>11510</v>
      </c>
      <c r="B227">
        <v>897</v>
      </c>
      <c r="C227" t="s">
        <v>12838</v>
      </c>
      <c r="D227" s="27">
        <v>13.52</v>
      </c>
      <c r="E227" t="s">
        <v>12585</v>
      </c>
      <c r="F227" s="28">
        <v>42014</v>
      </c>
      <c r="I227" s="23" t="s">
        <v>11422</v>
      </c>
      <c r="L227" s="23" t="s">
        <v>11422</v>
      </c>
      <c r="O227" s="30" t="s">
        <v>11422</v>
      </c>
      <c r="P227" t="s">
        <v>11422</v>
      </c>
    </row>
    <row r="228" spans="1:16" x14ac:dyDescent="0.25">
      <c r="A228" t="s">
        <v>3454</v>
      </c>
      <c r="B228">
        <v>656</v>
      </c>
      <c r="C228" t="s">
        <v>12839</v>
      </c>
      <c r="D228" s="27">
        <v>7.8</v>
      </c>
      <c r="E228" t="s">
        <v>12586</v>
      </c>
      <c r="F228" s="28">
        <v>42014</v>
      </c>
      <c r="I228" s="23" t="s">
        <v>11422</v>
      </c>
      <c r="L228" s="23" t="s">
        <v>11422</v>
      </c>
      <c r="O228" s="30" t="s">
        <v>11422</v>
      </c>
      <c r="P228" t="s">
        <v>11422</v>
      </c>
    </row>
    <row r="229" spans="1:16" x14ac:dyDescent="0.25">
      <c r="A229" t="s">
        <v>12495</v>
      </c>
      <c r="B229">
        <v>964</v>
      </c>
      <c r="C229" t="s">
        <v>12840</v>
      </c>
      <c r="D229" s="27">
        <v>5.8650000000000002</v>
      </c>
      <c r="E229" t="s">
        <v>12587</v>
      </c>
      <c r="F229" s="28">
        <v>42014</v>
      </c>
      <c r="I229" s="23" t="s">
        <v>11422</v>
      </c>
      <c r="L229" s="23" t="s">
        <v>11422</v>
      </c>
      <c r="O229" s="30" t="s">
        <v>11422</v>
      </c>
      <c r="P229" t="s">
        <v>11422</v>
      </c>
    </row>
    <row r="230" spans="1:16" x14ac:dyDescent="0.25">
      <c r="A230" t="s">
        <v>3524</v>
      </c>
      <c r="B230">
        <v>691</v>
      </c>
      <c r="C230" t="s">
        <v>12841</v>
      </c>
      <c r="D230" s="27">
        <v>7.65</v>
      </c>
      <c r="E230" t="s">
        <v>12588</v>
      </c>
      <c r="F230" s="28">
        <v>42014</v>
      </c>
      <c r="I230" s="23" t="s">
        <v>11422</v>
      </c>
      <c r="L230" s="23" t="s">
        <v>11422</v>
      </c>
      <c r="O230" s="30" t="s">
        <v>11422</v>
      </c>
      <c r="P230" t="s">
        <v>11422</v>
      </c>
    </row>
    <row r="231" spans="1:16" x14ac:dyDescent="0.25">
      <c r="A231" t="s">
        <v>3767</v>
      </c>
      <c r="B231">
        <v>817</v>
      </c>
      <c r="C231" t="s">
        <v>12842</v>
      </c>
      <c r="D231" s="27">
        <v>6.63</v>
      </c>
      <c r="E231" t="s">
        <v>12589</v>
      </c>
      <c r="F231" s="28">
        <v>42014</v>
      </c>
      <c r="I231" s="23" t="s">
        <v>11422</v>
      </c>
      <c r="L231" s="23" t="s">
        <v>11422</v>
      </c>
      <c r="O231" s="30" t="s">
        <v>11422</v>
      </c>
      <c r="P231" t="s">
        <v>11422</v>
      </c>
    </row>
    <row r="232" spans="1:16" x14ac:dyDescent="0.25">
      <c r="A232" t="s">
        <v>3349</v>
      </c>
      <c r="B232">
        <v>601</v>
      </c>
      <c r="C232" t="s">
        <v>12845</v>
      </c>
      <c r="D232" s="27">
        <v>7.14</v>
      </c>
      <c r="E232" t="s">
        <v>12592</v>
      </c>
      <c r="F232" s="28">
        <v>42014</v>
      </c>
      <c r="I232" s="23" t="s">
        <v>11422</v>
      </c>
      <c r="L232" s="23" t="s">
        <v>11422</v>
      </c>
      <c r="O232" s="30" t="s">
        <v>11422</v>
      </c>
      <c r="P232" t="s">
        <v>11422</v>
      </c>
    </row>
    <row r="233" spans="1:16" x14ac:dyDescent="0.25">
      <c r="A233" t="s">
        <v>2588</v>
      </c>
      <c r="B233">
        <v>203</v>
      </c>
      <c r="C233" t="s">
        <v>12846</v>
      </c>
      <c r="D233" s="27">
        <v>4</v>
      </c>
      <c r="E233" t="s">
        <v>12593</v>
      </c>
      <c r="F233" s="28">
        <v>42014</v>
      </c>
      <c r="I233" s="23" t="s">
        <v>11422</v>
      </c>
      <c r="L233" s="23" t="s">
        <v>11422</v>
      </c>
      <c r="O233" s="30" t="s">
        <v>11422</v>
      </c>
      <c r="P233" t="s">
        <v>11422</v>
      </c>
    </row>
    <row r="234" spans="1:16" x14ac:dyDescent="0.25">
      <c r="A234" t="s">
        <v>3661</v>
      </c>
      <c r="B234">
        <v>764</v>
      </c>
      <c r="C234" t="s">
        <v>12847</v>
      </c>
      <c r="D234" s="27">
        <v>4</v>
      </c>
      <c r="E234" t="s">
        <v>12594</v>
      </c>
      <c r="F234" s="28">
        <v>42014</v>
      </c>
      <c r="I234" s="23" t="s">
        <v>11422</v>
      </c>
      <c r="L234" s="23" t="s">
        <v>11422</v>
      </c>
      <c r="O234" s="30" t="s">
        <v>11422</v>
      </c>
      <c r="P234" t="s">
        <v>11422</v>
      </c>
    </row>
    <row r="235" spans="1:16" x14ac:dyDescent="0.25">
      <c r="A235" t="s">
        <v>3635</v>
      </c>
      <c r="B235">
        <v>750</v>
      </c>
      <c r="C235" t="s">
        <v>12850</v>
      </c>
      <c r="D235" s="27">
        <v>3.64</v>
      </c>
      <c r="E235" t="s">
        <v>12597</v>
      </c>
      <c r="F235" s="28">
        <v>42014</v>
      </c>
      <c r="I235" s="23" t="s">
        <v>11422</v>
      </c>
      <c r="L235" s="23" t="s">
        <v>11422</v>
      </c>
      <c r="O235" s="30" t="s">
        <v>11422</v>
      </c>
      <c r="P235" t="s">
        <v>11422</v>
      </c>
    </row>
    <row r="236" spans="1:16" x14ac:dyDescent="0.25">
      <c r="A236" t="s">
        <v>3590</v>
      </c>
      <c r="B236">
        <v>726</v>
      </c>
      <c r="C236" t="s">
        <v>12855</v>
      </c>
      <c r="D236" s="27">
        <v>7.9050000000000002</v>
      </c>
      <c r="E236" t="s">
        <v>12603</v>
      </c>
      <c r="F236" s="28">
        <v>42014</v>
      </c>
      <c r="I236" s="23" t="s">
        <v>11422</v>
      </c>
      <c r="L236" s="23" t="s">
        <v>11422</v>
      </c>
      <c r="O236" s="30" t="s">
        <v>11422</v>
      </c>
      <c r="P236" t="s">
        <v>11422</v>
      </c>
    </row>
    <row r="237" spans="1:16" x14ac:dyDescent="0.25">
      <c r="A237" t="s">
        <v>3830</v>
      </c>
      <c r="B237">
        <v>261</v>
      </c>
      <c r="C237" t="s">
        <v>12856</v>
      </c>
      <c r="D237" s="27">
        <v>4.9400000000000004</v>
      </c>
      <c r="E237" t="s">
        <v>12604</v>
      </c>
      <c r="F237" s="28">
        <v>42014</v>
      </c>
      <c r="I237" s="23" t="s">
        <v>11422</v>
      </c>
      <c r="L237" s="23" t="s">
        <v>11422</v>
      </c>
      <c r="O237" s="30" t="s">
        <v>11422</v>
      </c>
      <c r="P237" t="s">
        <v>11422</v>
      </c>
    </row>
    <row r="238" spans="1:16" x14ac:dyDescent="0.25">
      <c r="A238" t="s">
        <v>2944</v>
      </c>
      <c r="B238">
        <v>392</v>
      </c>
      <c r="C238" t="s">
        <v>12857</v>
      </c>
      <c r="D238" s="27">
        <v>8.5</v>
      </c>
      <c r="E238" t="s">
        <v>12605</v>
      </c>
      <c r="F238" s="28">
        <v>42014</v>
      </c>
      <c r="I238" s="23" t="s">
        <v>11422</v>
      </c>
      <c r="L238" s="23" t="s">
        <v>11422</v>
      </c>
      <c r="O238" s="30" t="s">
        <v>11422</v>
      </c>
      <c r="P238" t="s">
        <v>11422</v>
      </c>
    </row>
    <row r="239" spans="1:16" x14ac:dyDescent="0.25">
      <c r="A239" t="s">
        <v>3830</v>
      </c>
      <c r="B239">
        <v>261</v>
      </c>
      <c r="C239" t="s">
        <v>12859</v>
      </c>
      <c r="D239" s="27">
        <v>8.58</v>
      </c>
      <c r="E239" t="s">
        <v>12607</v>
      </c>
      <c r="F239" s="28">
        <v>42014</v>
      </c>
      <c r="G239" s="34">
        <v>350</v>
      </c>
      <c r="H239" s="18">
        <v>42020</v>
      </c>
      <c r="I239" s="23" t="s">
        <v>11422</v>
      </c>
      <c r="L239" s="23" t="s">
        <v>11422</v>
      </c>
      <c r="O239" s="30" t="s">
        <v>11422</v>
      </c>
      <c r="P239" t="s">
        <v>11422</v>
      </c>
    </row>
    <row r="240" spans="1:16" x14ac:dyDescent="0.25">
      <c r="A240" t="s">
        <v>3635</v>
      </c>
      <c r="B240">
        <v>750</v>
      </c>
      <c r="C240" t="s">
        <v>12860</v>
      </c>
      <c r="D240" s="27">
        <v>10.4</v>
      </c>
      <c r="E240" t="s">
        <v>12608</v>
      </c>
      <c r="F240" s="28">
        <v>42014</v>
      </c>
      <c r="G240" s="34">
        <v>250</v>
      </c>
      <c r="H240" s="18">
        <v>42020</v>
      </c>
      <c r="I240" s="23" t="s">
        <v>11422</v>
      </c>
      <c r="L240" s="23" t="s">
        <v>11422</v>
      </c>
      <c r="O240" s="30" t="s">
        <v>11422</v>
      </c>
      <c r="P240" t="s">
        <v>11422</v>
      </c>
    </row>
    <row r="241" spans="1:16" x14ac:dyDescent="0.25">
      <c r="A241" t="s">
        <v>11502</v>
      </c>
      <c r="B241">
        <v>893</v>
      </c>
      <c r="C241" t="s">
        <v>12861</v>
      </c>
      <c r="D241" s="27">
        <v>4.08</v>
      </c>
      <c r="E241" t="s">
        <v>12609</v>
      </c>
      <c r="F241" s="28">
        <v>42014</v>
      </c>
      <c r="I241" s="23" t="s">
        <v>11422</v>
      </c>
      <c r="L241" s="23" t="s">
        <v>11422</v>
      </c>
      <c r="O241" s="30" t="s">
        <v>11422</v>
      </c>
      <c r="P241" t="s">
        <v>11422</v>
      </c>
    </row>
    <row r="242" spans="1:16" x14ac:dyDescent="0.25">
      <c r="A242" t="s">
        <v>3582</v>
      </c>
      <c r="B242">
        <v>722</v>
      </c>
      <c r="C242" t="s">
        <v>12862</v>
      </c>
      <c r="D242" s="27">
        <v>4.9400000000000004</v>
      </c>
      <c r="E242" t="s">
        <v>12610</v>
      </c>
      <c r="F242" s="28">
        <v>42013</v>
      </c>
      <c r="I242" s="23" t="s">
        <v>11422</v>
      </c>
      <c r="L242" s="23" t="s">
        <v>11422</v>
      </c>
      <c r="O242" s="30" t="s">
        <v>11422</v>
      </c>
      <c r="P242" t="s">
        <v>11422</v>
      </c>
    </row>
    <row r="243" spans="1:16" x14ac:dyDescent="0.25">
      <c r="A243" t="s">
        <v>12499</v>
      </c>
      <c r="B243">
        <v>966</v>
      </c>
      <c r="C243" t="s">
        <v>12865</v>
      </c>
      <c r="D243" s="27">
        <v>19.38</v>
      </c>
      <c r="E243" t="s">
        <v>12613</v>
      </c>
      <c r="F243" s="28">
        <v>42013</v>
      </c>
      <c r="I243" s="23" t="s">
        <v>11422</v>
      </c>
      <c r="L243" s="23" t="s">
        <v>11422</v>
      </c>
      <c r="O243" s="30" t="s">
        <v>11422</v>
      </c>
      <c r="P243" t="s">
        <v>11422</v>
      </c>
    </row>
    <row r="244" spans="1:16" x14ac:dyDescent="0.25">
      <c r="A244" t="s">
        <v>12499</v>
      </c>
      <c r="B244">
        <v>966</v>
      </c>
      <c r="C244" t="s">
        <v>12866</v>
      </c>
      <c r="D244" s="27">
        <v>5.3550000000000004</v>
      </c>
      <c r="E244" t="s">
        <v>12614</v>
      </c>
      <c r="F244" s="28">
        <v>42013</v>
      </c>
      <c r="I244" s="23" t="s">
        <v>11422</v>
      </c>
      <c r="L244" s="23" t="s">
        <v>11422</v>
      </c>
      <c r="O244" s="30" t="s">
        <v>11422</v>
      </c>
      <c r="P244" t="s">
        <v>11422</v>
      </c>
    </row>
    <row r="245" spans="1:16" x14ac:dyDescent="0.25">
      <c r="A245" t="s">
        <v>2870</v>
      </c>
      <c r="B245">
        <v>355</v>
      </c>
      <c r="C245" t="s">
        <v>12868</v>
      </c>
      <c r="D245" s="27">
        <v>4.08</v>
      </c>
      <c r="E245" t="s">
        <v>12616</v>
      </c>
      <c r="F245" s="28">
        <v>42013</v>
      </c>
      <c r="I245" s="23" t="s">
        <v>11422</v>
      </c>
      <c r="L245" s="23" t="s">
        <v>11422</v>
      </c>
      <c r="O245" s="30" t="s">
        <v>11422</v>
      </c>
      <c r="P245" t="s">
        <v>11422</v>
      </c>
    </row>
    <row r="246" spans="1:16" x14ac:dyDescent="0.25">
      <c r="A246" t="s">
        <v>12495</v>
      </c>
      <c r="B246">
        <v>964</v>
      </c>
      <c r="C246" t="s">
        <v>12870</v>
      </c>
      <c r="D246" s="27">
        <v>4.08</v>
      </c>
      <c r="E246" t="s">
        <v>12618</v>
      </c>
      <c r="F246" s="28">
        <v>42013</v>
      </c>
      <c r="I246" s="23" t="s">
        <v>11422</v>
      </c>
      <c r="L246" s="23" t="s">
        <v>11422</v>
      </c>
      <c r="O246" s="30" t="s">
        <v>11422</v>
      </c>
      <c r="P246" t="s">
        <v>11422</v>
      </c>
    </row>
    <row r="247" spans="1:16" x14ac:dyDescent="0.25">
      <c r="A247" t="s">
        <v>12282</v>
      </c>
      <c r="B247">
        <v>949</v>
      </c>
      <c r="C247" t="s">
        <v>12872</v>
      </c>
      <c r="D247" s="27">
        <v>3</v>
      </c>
      <c r="E247" t="s">
        <v>12620</v>
      </c>
      <c r="F247" s="28">
        <v>42013</v>
      </c>
      <c r="I247" s="23" t="s">
        <v>11422</v>
      </c>
      <c r="L247" s="23" t="s">
        <v>11422</v>
      </c>
      <c r="O247" s="30" t="s">
        <v>11422</v>
      </c>
      <c r="P247" t="s">
        <v>11422</v>
      </c>
    </row>
    <row r="248" spans="1:16" x14ac:dyDescent="0.25">
      <c r="A248" t="s">
        <v>12201</v>
      </c>
      <c r="B248">
        <v>907</v>
      </c>
      <c r="C248" t="s">
        <v>12873</v>
      </c>
      <c r="D248" s="27">
        <v>2.5</v>
      </c>
      <c r="E248" t="s">
        <v>12621</v>
      </c>
      <c r="F248" s="28">
        <v>42013</v>
      </c>
      <c r="I248" s="23" t="s">
        <v>11422</v>
      </c>
      <c r="L248" s="23" t="s">
        <v>11422</v>
      </c>
      <c r="O248" s="30" t="s">
        <v>11422</v>
      </c>
      <c r="P248" t="s">
        <v>11422</v>
      </c>
    </row>
    <row r="249" spans="1:16" x14ac:dyDescent="0.25">
      <c r="A249" t="s">
        <v>3486</v>
      </c>
      <c r="B249">
        <v>672</v>
      </c>
      <c r="C249" t="s">
        <v>12878</v>
      </c>
      <c r="D249" s="27">
        <v>5.61</v>
      </c>
      <c r="E249" t="s">
        <v>12626</v>
      </c>
      <c r="F249" s="28">
        <v>42013</v>
      </c>
      <c r="I249" s="23" t="s">
        <v>11422</v>
      </c>
      <c r="J249" s="23">
        <v>280.5</v>
      </c>
      <c r="K249" s="18">
        <v>42020</v>
      </c>
      <c r="L249" s="23" t="s">
        <v>11422</v>
      </c>
      <c r="O249" s="30" t="s">
        <v>11422</v>
      </c>
      <c r="P249" t="s">
        <v>11422</v>
      </c>
    </row>
    <row r="250" spans="1:16" x14ac:dyDescent="0.25">
      <c r="A250" t="s">
        <v>11496</v>
      </c>
      <c r="B250">
        <v>890</v>
      </c>
      <c r="C250" t="s">
        <v>12881</v>
      </c>
      <c r="D250" s="27">
        <v>5.0999999999999996</v>
      </c>
      <c r="E250" t="s">
        <v>12629</v>
      </c>
      <c r="F250" s="28">
        <v>42013</v>
      </c>
      <c r="I250" s="23" t="s">
        <v>11422</v>
      </c>
      <c r="L250" s="23" t="s">
        <v>11422</v>
      </c>
      <c r="O250" s="30" t="s">
        <v>11422</v>
      </c>
      <c r="P250" t="s">
        <v>11422</v>
      </c>
    </row>
    <row r="251" spans="1:16" x14ac:dyDescent="0.25">
      <c r="A251" t="s">
        <v>12495</v>
      </c>
      <c r="B251">
        <v>964</v>
      </c>
      <c r="C251" t="s">
        <v>12887</v>
      </c>
      <c r="D251" s="27">
        <v>3.3149999999999999</v>
      </c>
      <c r="E251" t="s">
        <v>12635</v>
      </c>
      <c r="F251" s="28">
        <v>42012</v>
      </c>
      <c r="I251" s="23" t="s">
        <v>11422</v>
      </c>
      <c r="L251" s="23" t="s">
        <v>11422</v>
      </c>
      <c r="O251" s="30" t="s">
        <v>11422</v>
      </c>
      <c r="P251" t="s">
        <v>11422</v>
      </c>
    </row>
    <row r="252" spans="1:16" x14ac:dyDescent="0.25">
      <c r="A252" t="s">
        <v>3215</v>
      </c>
      <c r="B252">
        <v>530</v>
      </c>
      <c r="C252" t="s">
        <v>12888</v>
      </c>
      <c r="D252" s="27">
        <v>8.5</v>
      </c>
      <c r="E252" t="s">
        <v>12637</v>
      </c>
      <c r="F252" s="28">
        <v>42012</v>
      </c>
      <c r="I252" s="23" t="s">
        <v>11422</v>
      </c>
      <c r="L252" s="23" t="s">
        <v>11422</v>
      </c>
      <c r="O252" s="30" t="s">
        <v>11422</v>
      </c>
      <c r="P252" t="s">
        <v>11422</v>
      </c>
    </row>
    <row r="253" spans="1:16" x14ac:dyDescent="0.25">
      <c r="A253" t="s">
        <v>3173</v>
      </c>
      <c r="B253">
        <v>508</v>
      </c>
      <c r="C253" t="s">
        <v>12890</v>
      </c>
      <c r="D253" s="27">
        <v>12.75</v>
      </c>
      <c r="E253" t="s">
        <v>12640</v>
      </c>
      <c r="F253" s="28">
        <v>42012</v>
      </c>
      <c r="I253" s="23" t="s">
        <v>11422</v>
      </c>
      <c r="L253" s="23" t="s">
        <v>11422</v>
      </c>
      <c r="O253" s="30" t="s">
        <v>11422</v>
      </c>
      <c r="P253" t="s">
        <v>11422</v>
      </c>
    </row>
    <row r="254" spans="1:16" x14ac:dyDescent="0.25">
      <c r="A254" t="s">
        <v>8673</v>
      </c>
      <c r="B254">
        <v>856</v>
      </c>
      <c r="C254" t="s">
        <v>12891</v>
      </c>
      <c r="D254" s="27">
        <v>4.08</v>
      </c>
      <c r="E254" t="s">
        <v>12641</v>
      </c>
      <c r="F254" s="28">
        <v>42012</v>
      </c>
      <c r="I254" s="23" t="s">
        <v>11422</v>
      </c>
      <c r="L254" s="23" t="s">
        <v>11422</v>
      </c>
      <c r="O254" s="30" t="s">
        <v>11422</v>
      </c>
      <c r="P254" t="s">
        <v>11422</v>
      </c>
    </row>
    <row r="255" spans="1:16" x14ac:dyDescent="0.25">
      <c r="A255" t="s">
        <v>2252</v>
      </c>
      <c r="B255">
        <v>28</v>
      </c>
      <c r="C255" t="s">
        <v>12784</v>
      </c>
      <c r="D255" s="27">
        <v>2.5499999999999998</v>
      </c>
      <c r="E255" t="s">
        <v>12645</v>
      </c>
      <c r="F255" s="28">
        <v>42011</v>
      </c>
      <c r="I255" s="23" t="s">
        <v>11422</v>
      </c>
      <c r="L255" s="23" t="s">
        <v>11422</v>
      </c>
      <c r="O255" s="30" t="s">
        <v>11422</v>
      </c>
      <c r="P255" t="s">
        <v>11422</v>
      </c>
    </row>
    <row r="256" spans="1:16" x14ac:dyDescent="0.25">
      <c r="A256" t="s">
        <v>3486</v>
      </c>
      <c r="B256">
        <v>672</v>
      </c>
      <c r="C256" t="s">
        <v>12785</v>
      </c>
      <c r="D256" s="27">
        <v>6.24</v>
      </c>
      <c r="E256" t="s">
        <v>12648</v>
      </c>
      <c r="F256" s="28">
        <v>42011</v>
      </c>
      <c r="I256" s="23" t="s">
        <v>11422</v>
      </c>
      <c r="L256" s="23" t="s">
        <v>11422</v>
      </c>
      <c r="O256" s="30" t="s">
        <v>11422</v>
      </c>
      <c r="P256" t="s">
        <v>11422</v>
      </c>
    </row>
    <row r="257" spans="1:16" x14ac:dyDescent="0.25">
      <c r="A257" t="s">
        <v>2870</v>
      </c>
      <c r="B257">
        <v>355</v>
      </c>
      <c r="C257" t="s">
        <v>12897</v>
      </c>
      <c r="D257" s="27">
        <v>14.28</v>
      </c>
      <c r="E257" t="s">
        <v>12651</v>
      </c>
      <c r="F257" s="28">
        <v>42011</v>
      </c>
      <c r="I257" s="23" t="s">
        <v>11422</v>
      </c>
      <c r="L257" s="23" t="s">
        <v>11422</v>
      </c>
      <c r="O257" s="30" t="s">
        <v>11422</v>
      </c>
      <c r="P257" t="s">
        <v>11422</v>
      </c>
    </row>
    <row r="258" spans="1:16" x14ac:dyDescent="0.25">
      <c r="A258" t="s">
        <v>3460</v>
      </c>
      <c r="B258">
        <v>659</v>
      </c>
      <c r="C258" t="s">
        <v>12898</v>
      </c>
      <c r="D258" s="27">
        <v>5.8650000000000002</v>
      </c>
      <c r="E258" t="s">
        <v>12652</v>
      </c>
      <c r="F258" s="28">
        <v>42010</v>
      </c>
      <c r="I258" s="23" t="s">
        <v>11422</v>
      </c>
      <c r="L258" s="23" t="s">
        <v>11422</v>
      </c>
      <c r="O258" s="30" t="s">
        <v>11422</v>
      </c>
      <c r="P258" t="s">
        <v>11422</v>
      </c>
    </row>
    <row r="259" spans="1:16" x14ac:dyDescent="0.25">
      <c r="A259" t="s">
        <v>3155</v>
      </c>
      <c r="B259">
        <v>499</v>
      </c>
      <c r="C259" t="s">
        <v>12899</v>
      </c>
      <c r="D259" s="27">
        <v>9.9450000000000003</v>
      </c>
      <c r="E259" t="s">
        <v>12653</v>
      </c>
      <c r="F259" s="28">
        <v>42010</v>
      </c>
      <c r="I259" s="23" t="s">
        <v>11422</v>
      </c>
      <c r="L259" s="23" t="s">
        <v>11422</v>
      </c>
      <c r="O259" s="30" t="s">
        <v>11422</v>
      </c>
      <c r="P259" t="s">
        <v>11422</v>
      </c>
    </row>
    <row r="260" spans="1:16" x14ac:dyDescent="0.25">
      <c r="A260" t="s">
        <v>3520</v>
      </c>
      <c r="B260">
        <v>689</v>
      </c>
      <c r="C260" t="s">
        <v>12901</v>
      </c>
      <c r="D260" s="27">
        <v>3.75</v>
      </c>
      <c r="E260" t="s">
        <v>12656</v>
      </c>
      <c r="F260" s="28">
        <v>42010</v>
      </c>
      <c r="I260" s="23" t="s">
        <v>11422</v>
      </c>
      <c r="L260" s="23" t="s">
        <v>11422</v>
      </c>
      <c r="O260" s="30" t="s">
        <v>11422</v>
      </c>
      <c r="P260" t="s">
        <v>11422</v>
      </c>
    </row>
    <row r="261" spans="1:16" x14ac:dyDescent="0.25">
      <c r="A261" t="s">
        <v>3486</v>
      </c>
      <c r="B261">
        <v>672</v>
      </c>
      <c r="C261" t="s">
        <v>12902</v>
      </c>
      <c r="D261" s="27">
        <v>3.8250000000000002</v>
      </c>
      <c r="E261" t="s">
        <v>12658</v>
      </c>
      <c r="F261" s="28">
        <v>42010</v>
      </c>
      <c r="I261" s="23" t="s">
        <v>11422</v>
      </c>
      <c r="J261" s="23">
        <v>204</v>
      </c>
      <c r="K261" s="18">
        <v>42020</v>
      </c>
      <c r="L261" s="23" t="s">
        <v>11422</v>
      </c>
      <c r="O261" s="30" t="s">
        <v>11422</v>
      </c>
      <c r="P261" t="s">
        <v>11422</v>
      </c>
    </row>
    <row r="262" spans="1:16" x14ac:dyDescent="0.25">
      <c r="A262" t="s">
        <v>11502</v>
      </c>
      <c r="B262">
        <v>893</v>
      </c>
      <c r="C262" t="s">
        <v>12903</v>
      </c>
      <c r="D262" s="27">
        <v>5.0999999999999996</v>
      </c>
      <c r="E262" t="s">
        <v>12659</v>
      </c>
      <c r="F262" s="28">
        <v>42010</v>
      </c>
      <c r="I262" s="23" t="s">
        <v>11422</v>
      </c>
      <c r="L262" s="23" t="s">
        <v>11422</v>
      </c>
      <c r="O262" s="30" t="s">
        <v>11422</v>
      </c>
      <c r="P262" t="s">
        <v>11422</v>
      </c>
    </row>
    <row r="263" spans="1:16" x14ac:dyDescent="0.25">
      <c r="A263" t="s">
        <v>3520</v>
      </c>
      <c r="B263">
        <v>689</v>
      </c>
      <c r="C263" t="s">
        <v>12904</v>
      </c>
      <c r="D263" s="27">
        <v>9.5</v>
      </c>
      <c r="E263" t="s">
        <v>12660</v>
      </c>
      <c r="F263" s="28">
        <v>42010</v>
      </c>
      <c r="I263" s="23" t="s">
        <v>11422</v>
      </c>
      <c r="L263" s="23" t="s">
        <v>11422</v>
      </c>
      <c r="O263" s="30" t="s">
        <v>11422</v>
      </c>
      <c r="P263" t="s">
        <v>11422</v>
      </c>
    </row>
    <row r="264" spans="1:16" x14ac:dyDescent="0.25">
      <c r="A264" t="s">
        <v>3460</v>
      </c>
      <c r="B264">
        <v>659</v>
      </c>
      <c r="C264" t="s">
        <v>12906</v>
      </c>
      <c r="D264" s="27">
        <v>5.8650000000000002</v>
      </c>
      <c r="E264" t="s">
        <v>12662</v>
      </c>
      <c r="F264" s="28">
        <v>42010</v>
      </c>
      <c r="I264" s="23" t="s">
        <v>11422</v>
      </c>
      <c r="L264" s="23" t="s">
        <v>11422</v>
      </c>
      <c r="O264" s="30" t="s">
        <v>11422</v>
      </c>
      <c r="P264" t="s">
        <v>11422</v>
      </c>
    </row>
    <row r="265" spans="1:16" x14ac:dyDescent="0.25">
      <c r="A265" t="s">
        <v>2592</v>
      </c>
      <c r="B265">
        <v>205</v>
      </c>
      <c r="C265" t="s">
        <v>12790</v>
      </c>
      <c r="D265" s="27">
        <v>16.25</v>
      </c>
      <c r="E265" t="s">
        <v>12663</v>
      </c>
      <c r="F265" s="28">
        <v>42009</v>
      </c>
      <c r="I265" s="23" t="s">
        <v>11422</v>
      </c>
      <c r="L265" s="23" t="s">
        <v>11422</v>
      </c>
      <c r="O265" s="30" t="s">
        <v>11422</v>
      </c>
      <c r="P265" t="s">
        <v>11422</v>
      </c>
    </row>
    <row r="266" spans="1:16" x14ac:dyDescent="0.25">
      <c r="A266" t="s">
        <v>3767</v>
      </c>
      <c r="B266">
        <v>817</v>
      </c>
      <c r="C266" t="s">
        <v>12435</v>
      </c>
      <c r="D266" s="27">
        <v>10.199999999999999</v>
      </c>
      <c r="E266" t="s">
        <v>12434</v>
      </c>
      <c r="F266" s="28">
        <v>42009</v>
      </c>
      <c r="G266" s="34">
        <v>250</v>
      </c>
      <c r="H266" s="18">
        <v>42020</v>
      </c>
      <c r="I266" s="23" t="s">
        <v>11422</v>
      </c>
      <c r="J266" s="23">
        <v>509.99999999999994</v>
      </c>
      <c r="K266" s="18">
        <v>42020</v>
      </c>
      <c r="L266" s="23" t="s">
        <v>11422</v>
      </c>
      <c r="O266" s="30" t="s">
        <v>11422</v>
      </c>
      <c r="P266" t="s">
        <v>11422</v>
      </c>
    </row>
    <row r="267" spans="1:16" x14ac:dyDescent="0.25">
      <c r="A267" t="s">
        <v>3608</v>
      </c>
      <c r="B267">
        <v>735</v>
      </c>
      <c r="C267" t="s">
        <v>12431</v>
      </c>
      <c r="D267" s="27">
        <v>6.375</v>
      </c>
      <c r="E267" t="s">
        <v>12430</v>
      </c>
      <c r="F267" s="28">
        <v>42009</v>
      </c>
      <c r="I267" s="23" t="s">
        <v>11422</v>
      </c>
      <c r="J267" s="23">
        <v>318.75</v>
      </c>
      <c r="K267" s="18">
        <v>42020</v>
      </c>
      <c r="L267" s="23" t="s">
        <v>11422</v>
      </c>
      <c r="O267" s="30" t="s">
        <v>11422</v>
      </c>
      <c r="P267" t="s">
        <v>11422</v>
      </c>
    </row>
    <row r="268" spans="1:16" x14ac:dyDescent="0.25">
      <c r="A268" t="s">
        <v>11502</v>
      </c>
      <c r="B268">
        <v>893</v>
      </c>
      <c r="C268" t="s">
        <v>12908</v>
      </c>
      <c r="D268" s="27">
        <v>3.3149999999999999</v>
      </c>
      <c r="E268" t="s">
        <v>12440</v>
      </c>
      <c r="F268" s="28">
        <v>42009</v>
      </c>
      <c r="I268" s="23" t="s">
        <v>11422</v>
      </c>
      <c r="L268" s="23" t="s">
        <v>11422</v>
      </c>
      <c r="O268" s="30" t="s">
        <v>11422</v>
      </c>
      <c r="P268" t="s">
        <v>11422</v>
      </c>
    </row>
    <row r="269" spans="1:16" x14ac:dyDescent="0.25">
      <c r="A269" t="s">
        <v>12228</v>
      </c>
      <c r="B269">
        <v>927</v>
      </c>
      <c r="C269" t="s">
        <v>12443</v>
      </c>
      <c r="D269" s="27">
        <v>2.5499999999999998</v>
      </c>
      <c r="E269" t="s">
        <v>12442</v>
      </c>
      <c r="F269" s="28">
        <v>42009</v>
      </c>
      <c r="I269" s="23" t="s">
        <v>11422</v>
      </c>
      <c r="L269" s="23" t="s">
        <v>11422</v>
      </c>
      <c r="O269" s="30" t="s">
        <v>11422</v>
      </c>
      <c r="P269" t="s">
        <v>11422</v>
      </c>
    </row>
    <row r="270" spans="1:16" x14ac:dyDescent="0.25">
      <c r="A270" t="s">
        <v>2592</v>
      </c>
      <c r="B270">
        <v>205</v>
      </c>
      <c r="C270" t="s">
        <v>12791</v>
      </c>
      <c r="D270" s="27">
        <v>9</v>
      </c>
      <c r="E270" t="s">
        <v>12665</v>
      </c>
      <c r="F270" s="28">
        <v>42009</v>
      </c>
      <c r="I270" s="23" t="s">
        <v>11422</v>
      </c>
      <c r="L270" s="23" t="s">
        <v>11422</v>
      </c>
      <c r="O270" s="30" t="s">
        <v>11422</v>
      </c>
      <c r="P270" t="s">
        <v>11422</v>
      </c>
    </row>
    <row r="271" spans="1:16" x14ac:dyDescent="0.25">
      <c r="A271" t="s">
        <v>137</v>
      </c>
      <c r="B271">
        <v>648</v>
      </c>
      <c r="C271" t="s">
        <v>12789</v>
      </c>
      <c r="D271" s="27">
        <v>3.5</v>
      </c>
      <c r="E271" t="s">
        <v>12667</v>
      </c>
      <c r="F271" s="28">
        <v>42009</v>
      </c>
      <c r="I271" s="23" t="s">
        <v>11422</v>
      </c>
      <c r="L271" s="23" t="s">
        <v>11422</v>
      </c>
      <c r="O271" s="30" t="s">
        <v>11422</v>
      </c>
      <c r="P271" t="s">
        <v>11422</v>
      </c>
    </row>
    <row r="272" spans="1:16" x14ac:dyDescent="0.25">
      <c r="A272" t="s">
        <v>12228</v>
      </c>
      <c r="B272">
        <v>927</v>
      </c>
      <c r="C272" t="s">
        <v>12447</v>
      </c>
      <c r="D272" s="27">
        <v>5.3550000000000004</v>
      </c>
      <c r="E272" t="s">
        <v>12446</v>
      </c>
      <c r="F272" s="28">
        <v>42009</v>
      </c>
      <c r="I272" s="23" t="s">
        <v>11422</v>
      </c>
      <c r="L272" s="23" t="s">
        <v>11422</v>
      </c>
      <c r="O272" s="30" t="s">
        <v>11422</v>
      </c>
      <c r="P272" t="s">
        <v>11422</v>
      </c>
    </row>
    <row r="273" spans="1:16" x14ac:dyDescent="0.25">
      <c r="A273" t="s">
        <v>2258</v>
      </c>
      <c r="B273">
        <v>31</v>
      </c>
      <c r="C273" t="s">
        <v>12911</v>
      </c>
      <c r="D273" s="27">
        <v>9</v>
      </c>
      <c r="E273" t="s">
        <v>12668</v>
      </c>
      <c r="F273" s="28">
        <v>41991</v>
      </c>
      <c r="I273" s="23" t="s">
        <v>11422</v>
      </c>
      <c r="L273" s="23" t="s">
        <v>11422</v>
      </c>
      <c r="O273" s="30" t="s">
        <v>11422</v>
      </c>
      <c r="P273" t="s">
        <v>11422</v>
      </c>
    </row>
    <row r="274" spans="1:16" x14ac:dyDescent="0.25">
      <c r="A274" t="s">
        <v>3003</v>
      </c>
      <c r="B274">
        <v>422</v>
      </c>
      <c r="C274" t="s">
        <v>12912</v>
      </c>
      <c r="D274" s="27">
        <v>5</v>
      </c>
      <c r="E274" t="s">
        <v>12471</v>
      </c>
      <c r="F274" s="28">
        <v>41989</v>
      </c>
      <c r="I274" s="23" t="s">
        <v>11422</v>
      </c>
      <c r="L274" s="23" t="s">
        <v>11422</v>
      </c>
      <c r="O274" s="30" t="s">
        <v>11422</v>
      </c>
      <c r="P274" t="s">
        <v>11422</v>
      </c>
    </row>
    <row r="275" spans="1:16" x14ac:dyDescent="0.25">
      <c r="A275" t="s">
        <v>2704</v>
      </c>
      <c r="B275">
        <v>268</v>
      </c>
      <c r="C275" t="s">
        <v>12913</v>
      </c>
      <c r="D275" s="27">
        <v>6.8849999999999998</v>
      </c>
      <c r="E275" t="s">
        <v>12669</v>
      </c>
      <c r="F275" s="28">
        <v>41988</v>
      </c>
      <c r="G275" s="34">
        <v>250</v>
      </c>
      <c r="H275" s="18">
        <v>42020</v>
      </c>
      <c r="I275" s="23" t="s">
        <v>11422</v>
      </c>
      <c r="J275" s="23">
        <v>344.25</v>
      </c>
      <c r="K275" s="18">
        <v>42020</v>
      </c>
      <c r="L275" s="23" t="s">
        <v>11422</v>
      </c>
      <c r="O275" s="30" t="s">
        <v>11422</v>
      </c>
      <c r="P275" t="s">
        <v>11422</v>
      </c>
    </row>
    <row r="276" spans="1:16" x14ac:dyDescent="0.25">
      <c r="A276" t="s">
        <v>12228</v>
      </c>
      <c r="B276">
        <v>927</v>
      </c>
      <c r="C276" t="s">
        <v>12357</v>
      </c>
      <c r="D276" s="27">
        <v>5.3550000000000004</v>
      </c>
      <c r="E276" t="s">
        <v>12170</v>
      </c>
      <c r="F276" s="28">
        <v>41991</v>
      </c>
      <c r="G276" s="34">
        <v>250</v>
      </c>
      <c r="H276" s="18">
        <v>42013</v>
      </c>
      <c r="I276" s="23" t="s">
        <v>11422</v>
      </c>
      <c r="J276" s="23">
        <v>267.75</v>
      </c>
      <c r="K276" s="18">
        <v>42013</v>
      </c>
      <c r="L276" s="23" t="s">
        <v>11422</v>
      </c>
      <c r="O276" s="30" t="s">
        <v>11422</v>
      </c>
      <c r="P276" t="s">
        <v>11422</v>
      </c>
    </row>
    <row r="277" spans="1:16" x14ac:dyDescent="0.25">
      <c r="A277" t="s">
        <v>2925</v>
      </c>
      <c r="B277">
        <v>382</v>
      </c>
      <c r="C277" t="s">
        <v>12063</v>
      </c>
      <c r="D277" s="27">
        <v>5.5</v>
      </c>
      <c r="E277" t="s">
        <v>6161</v>
      </c>
      <c r="F277" s="18">
        <v>41975</v>
      </c>
      <c r="G277" s="34">
        <v>250</v>
      </c>
      <c r="H277" s="18">
        <v>42013</v>
      </c>
      <c r="I277" s="23" t="s">
        <v>11422</v>
      </c>
      <c r="J277" s="23">
        <v>275</v>
      </c>
      <c r="K277" s="18">
        <v>42013</v>
      </c>
      <c r="L277" s="23" t="s">
        <v>11422</v>
      </c>
      <c r="M277" s="23">
        <v>575</v>
      </c>
      <c r="N277" s="18">
        <v>42013</v>
      </c>
      <c r="O277" s="30" t="s">
        <v>11422</v>
      </c>
      <c r="P277" t="s">
        <v>11422</v>
      </c>
    </row>
    <row r="278" spans="1:16" x14ac:dyDescent="0.25">
      <c r="A278" t="s">
        <v>3546</v>
      </c>
      <c r="B278">
        <v>702</v>
      </c>
      <c r="C278" t="s">
        <v>11934</v>
      </c>
      <c r="D278" s="27">
        <v>5.75</v>
      </c>
      <c r="E278" t="s">
        <v>11680</v>
      </c>
      <c r="F278" s="18">
        <v>41986</v>
      </c>
      <c r="G278" s="34">
        <v>250</v>
      </c>
      <c r="H278" s="18">
        <v>42013</v>
      </c>
      <c r="I278" s="23" t="s">
        <v>11422</v>
      </c>
      <c r="J278" s="23">
        <v>287.5</v>
      </c>
      <c r="K278" s="18">
        <v>42013</v>
      </c>
      <c r="L278" s="23" t="s">
        <v>11422</v>
      </c>
      <c r="O278" s="30" t="s">
        <v>11422</v>
      </c>
      <c r="P278" t="s">
        <v>11422</v>
      </c>
    </row>
    <row r="279" spans="1:16" x14ac:dyDescent="0.25">
      <c r="A279" t="s">
        <v>1007</v>
      </c>
      <c r="B279">
        <v>703</v>
      </c>
      <c r="C279" t="s">
        <v>11887</v>
      </c>
      <c r="D279" s="27">
        <v>6.12</v>
      </c>
      <c r="E279" t="s">
        <v>11777</v>
      </c>
      <c r="F279" s="18">
        <v>41988</v>
      </c>
      <c r="G279" s="34">
        <v>250</v>
      </c>
      <c r="H279" s="18">
        <v>42013</v>
      </c>
      <c r="I279" s="23" t="s">
        <v>11422</v>
      </c>
      <c r="J279" s="23">
        <v>306</v>
      </c>
      <c r="K279" s="18">
        <v>42013</v>
      </c>
      <c r="L279" s="23" t="s">
        <v>11422</v>
      </c>
      <c r="O279" s="30" t="s">
        <v>11422</v>
      </c>
      <c r="P279" t="s">
        <v>11422</v>
      </c>
    </row>
    <row r="280" spans="1:16" x14ac:dyDescent="0.25">
      <c r="A280" t="s">
        <v>3641</v>
      </c>
      <c r="B280">
        <v>753</v>
      </c>
      <c r="C280" t="s">
        <v>11948</v>
      </c>
      <c r="D280" s="27">
        <v>6.8849999999999998</v>
      </c>
      <c r="E280" t="s">
        <v>11797</v>
      </c>
      <c r="F280" s="18">
        <v>41985</v>
      </c>
      <c r="G280" s="34">
        <v>250</v>
      </c>
      <c r="H280" s="18">
        <v>42013</v>
      </c>
      <c r="I280" s="23" t="s">
        <v>11422</v>
      </c>
      <c r="J280" s="23">
        <v>344.25</v>
      </c>
      <c r="K280" s="18">
        <v>42013</v>
      </c>
      <c r="L280" s="23" t="s">
        <v>11422</v>
      </c>
      <c r="O280" s="30" t="s">
        <v>11422</v>
      </c>
      <c r="P280" t="s">
        <v>11422</v>
      </c>
    </row>
    <row r="281" spans="1:16" x14ac:dyDescent="0.25">
      <c r="A281" t="s">
        <v>3173</v>
      </c>
      <c r="B281">
        <v>508</v>
      </c>
      <c r="C281" t="s">
        <v>12535</v>
      </c>
      <c r="D281" s="27">
        <v>7.25</v>
      </c>
      <c r="E281" t="s">
        <v>12160</v>
      </c>
      <c r="F281" s="28">
        <v>41992</v>
      </c>
      <c r="G281" s="34">
        <v>250</v>
      </c>
      <c r="H281" s="18">
        <v>42013</v>
      </c>
      <c r="I281" s="23" t="s">
        <v>11422</v>
      </c>
      <c r="J281" s="23">
        <v>362.5</v>
      </c>
      <c r="K281" s="18">
        <v>42013</v>
      </c>
      <c r="L281" s="23" t="s">
        <v>11422</v>
      </c>
      <c r="O281" s="30" t="s">
        <v>11422</v>
      </c>
      <c r="P281" t="s">
        <v>11422</v>
      </c>
    </row>
    <row r="282" spans="1:16" x14ac:dyDescent="0.25">
      <c r="A282" t="s">
        <v>2704</v>
      </c>
      <c r="B282">
        <v>268</v>
      </c>
      <c r="C282" t="s">
        <v>11889</v>
      </c>
      <c r="D282" s="27">
        <v>7.65</v>
      </c>
      <c r="E282" t="s">
        <v>11717</v>
      </c>
      <c r="F282" s="18">
        <v>41988</v>
      </c>
      <c r="G282" s="34">
        <v>250</v>
      </c>
      <c r="H282" s="18">
        <v>42013</v>
      </c>
      <c r="I282" s="23" t="s">
        <v>11422</v>
      </c>
      <c r="J282" s="23">
        <v>382.5</v>
      </c>
      <c r="K282" s="18">
        <v>42013</v>
      </c>
      <c r="L282" s="23" t="s">
        <v>11422</v>
      </c>
      <c r="O282" s="30" t="s">
        <v>11422</v>
      </c>
      <c r="P282" t="s">
        <v>11422</v>
      </c>
    </row>
    <row r="283" spans="1:16" x14ac:dyDescent="0.25">
      <c r="A283" t="s">
        <v>2970</v>
      </c>
      <c r="B283">
        <v>405</v>
      </c>
      <c r="C283" t="s">
        <v>12054</v>
      </c>
      <c r="D283" s="27">
        <v>7.75</v>
      </c>
      <c r="E283" t="s">
        <v>9488</v>
      </c>
      <c r="F283" s="18">
        <v>41976</v>
      </c>
      <c r="G283" s="34">
        <v>250</v>
      </c>
      <c r="H283" s="18">
        <v>42013</v>
      </c>
      <c r="I283" s="23" t="s">
        <v>11422</v>
      </c>
      <c r="J283" s="23">
        <v>387.5</v>
      </c>
      <c r="K283" s="18">
        <v>42013</v>
      </c>
      <c r="L283" s="23" t="s">
        <v>11422</v>
      </c>
      <c r="O283" s="30" t="s">
        <v>11422</v>
      </c>
      <c r="P283" t="s">
        <v>11422</v>
      </c>
    </row>
    <row r="284" spans="1:16" x14ac:dyDescent="0.25">
      <c r="A284" t="s">
        <v>3661</v>
      </c>
      <c r="B284">
        <v>764</v>
      </c>
      <c r="C284" t="s">
        <v>12044</v>
      </c>
      <c r="D284" s="27">
        <v>8.25</v>
      </c>
      <c r="E284" t="s">
        <v>6829</v>
      </c>
      <c r="F284" s="18">
        <v>41976</v>
      </c>
      <c r="G284" s="34">
        <v>250</v>
      </c>
      <c r="H284" s="18">
        <v>42013</v>
      </c>
      <c r="I284" s="23" t="s">
        <v>11422</v>
      </c>
      <c r="J284" s="23">
        <v>412.5</v>
      </c>
      <c r="K284" s="18">
        <v>42013</v>
      </c>
      <c r="L284" s="23" t="s">
        <v>11422</v>
      </c>
      <c r="O284" s="30" t="s">
        <v>11422</v>
      </c>
      <c r="P284" t="s">
        <v>11422</v>
      </c>
    </row>
    <row r="285" spans="1:16" x14ac:dyDescent="0.25">
      <c r="A285" t="s">
        <v>3751</v>
      </c>
      <c r="B285">
        <v>809</v>
      </c>
      <c r="C285" t="s">
        <v>11839</v>
      </c>
      <c r="D285" s="27">
        <v>8.5</v>
      </c>
      <c r="E285" t="s">
        <v>11739</v>
      </c>
      <c r="F285" s="18">
        <v>41981</v>
      </c>
      <c r="G285" s="34">
        <v>250</v>
      </c>
      <c r="H285" s="18">
        <v>42013</v>
      </c>
      <c r="I285" s="23" t="s">
        <v>11422</v>
      </c>
      <c r="J285" s="23">
        <v>425</v>
      </c>
      <c r="K285" s="18">
        <v>42013</v>
      </c>
      <c r="L285" s="23" t="s">
        <v>11422</v>
      </c>
      <c r="O285" s="30" t="s">
        <v>11422</v>
      </c>
      <c r="P285" t="s">
        <v>11422</v>
      </c>
    </row>
    <row r="286" spans="1:16" x14ac:dyDescent="0.25">
      <c r="A286" t="s">
        <v>3767</v>
      </c>
      <c r="B286">
        <v>817</v>
      </c>
      <c r="C286" t="s">
        <v>11862</v>
      </c>
      <c r="D286" s="27">
        <v>8.67</v>
      </c>
      <c r="E286" t="s">
        <v>11671</v>
      </c>
      <c r="F286" s="18">
        <v>41983</v>
      </c>
      <c r="G286" s="34">
        <v>250</v>
      </c>
      <c r="H286" s="18">
        <v>42013</v>
      </c>
      <c r="I286" s="23" t="s">
        <v>11422</v>
      </c>
      <c r="J286" s="23">
        <v>433.5</v>
      </c>
      <c r="K286" s="18">
        <v>42013</v>
      </c>
      <c r="L286" s="23" t="s">
        <v>11422</v>
      </c>
      <c r="O286" s="30" t="s">
        <v>11422</v>
      </c>
      <c r="P286" t="s">
        <v>11422</v>
      </c>
    </row>
    <row r="287" spans="1:16" x14ac:dyDescent="0.25">
      <c r="A287" t="s">
        <v>2819</v>
      </c>
      <c r="B287">
        <v>329</v>
      </c>
      <c r="C287" t="s">
        <v>12032</v>
      </c>
      <c r="D287" s="27">
        <v>8.67</v>
      </c>
      <c r="E287" t="s">
        <v>8111</v>
      </c>
      <c r="F287" s="18">
        <v>41977</v>
      </c>
      <c r="G287" s="34">
        <v>250</v>
      </c>
      <c r="H287" s="18">
        <v>42013</v>
      </c>
      <c r="I287" s="23" t="s">
        <v>11422</v>
      </c>
      <c r="J287" s="23">
        <v>433.5</v>
      </c>
      <c r="K287" s="18">
        <v>42013</v>
      </c>
      <c r="L287" s="23" t="s">
        <v>11422</v>
      </c>
      <c r="O287" s="30" t="s">
        <v>11422</v>
      </c>
      <c r="P287" t="s">
        <v>11422</v>
      </c>
    </row>
    <row r="288" spans="1:16" x14ac:dyDescent="0.25">
      <c r="A288" t="s">
        <v>3003</v>
      </c>
      <c r="B288">
        <v>422</v>
      </c>
      <c r="C288" t="s">
        <v>11901</v>
      </c>
      <c r="D288" s="27">
        <v>9.4350000000000005</v>
      </c>
      <c r="E288" t="s">
        <v>11558</v>
      </c>
      <c r="F288" s="18">
        <v>41989</v>
      </c>
      <c r="G288" s="34">
        <v>250</v>
      </c>
      <c r="H288" s="18">
        <v>42013</v>
      </c>
      <c r="I288" s="23" t="s">
        <v>11422</v>
      </c>
      <c r="J288" s="23">
        <v>471.75</v>
      </c>
      <c r="K288" s="18">
        <v>42013</v>
      </c>
      <c r="L288" s="23" t="s">
        <v>11422</v>
      </c>
      <c r="O288" s="30" t="s">
        <v>11422</v>
      </c>
      <c r="P288" t="s">
        <v>11422</v>
      </c>
    </row>
    <row r="289" spans="1:16" x14ac:dyDescent="0.25">
      <c r="A289" t="s">
        <v>3512</v>
      </c>
      <c r="B289">
        <v>685</v>
      </c>
      <c r="C289" t="s">
        <v>11827</v>
      </c>
      <c r="D289" s="27">
        <v>10.199999999999999</v>
      </c>
      <c r="E289" t="s">
        <v>9528</v>
      </c>
      <c r="F289" s="18">
        <v>41979</v>
      </c>
      <c r="G289" s="34">
        <v>250</v>
      </c>
      <c r="H289" s="18">
        <v>42013</v>
      </c>
      <c r="I289" s="23" t="s">
        <v>11422</v>
      </c>
      <c r="J289" s="23">
        <v>509.99999999999994</v>
      </c>
      <c r="K289" s="18">
        <v>42013</v>
      </c>
      <c r="L289" s="23" t="s">
        <v>11422</v>
      </c>
      <c r="O289" s="30" t="s">
        <v>11422</v>
      </c>
      <c r="P289" t="s">
        <v>11422</v>
      </c>
    </row>
    <row r="290" spans="1:16" x14ac:dyDescent="0.25">
      <c r="A290" t="s">
        <v>2814</v>
      </c>
      <c r="B290">
        <v>326</v>
      </c>
      <c r="C290" t="s">
        <v>11885</v>
      </c>
      <c r="D290" s="27">
        <v>10.5</v>
      </c>
      <c r="E290" t="s">
        <v>11793</v>
      </c>
      <c r="F290" s="18">
        <v>41988</v>
      </c>
      <c r="G290" s="34">
        <v>250</v>
      </c>
      <c r="H290" s="18">
        <v>42013</v>
      </c>
      <c r="I290" s="23" t="s">
        <v>11422</v>
      </c>
      <c r="J290" s="23">
        <v>525</v>
      </c>
      <c r="K290" s="18">
        <v>42013</v>
      </c>
      <c r="L290" s="23" t="s">
        <v>11422</v>
      </c>
      <c r="O290" s="30" t="s">
        <v>11422</v>
      </c>
      <c r="P290" t="s">
        <v>11422</v>
      </c>
    </row>
    <row r="291" spans="1:16" x14ac:dyDescent="0.25">
      <c r="A291" t="s">
        <v>2704</v>
      </c>
      <c r="B291">
        <v>268</v>
      </c>
      <c r="C291" t="s">
        <v>11851</v>
      </c>
      <c r="D291" s="27">
        <v>10.965</v>
      </c>
      <c r="E291" t="s">
        <v>11809</v>
      </c>
      <c r="F291" s="18">
        <v>41982</v>
      </c>
      <c r="G291" s="34">
        <v>250</v>
      </c>
      <c r="H291" s="18">
        <v>42013</v>
      </c>
      <c r="I291" s="23" t="s">
        <v>11422</v>
      </c>
      <c r="J291" s="23">
        <v>548.25</v>
      </c>
      <c r="K291" s="18">
        <v>42013</v>
      </c>
      <c r="L291" s="23" t="s">
        <v>11422</v>
      </c>
      <c r="O291" s="30" t="s">
        <v>11422</v>
      </c>
      <c r="P291" t="s">
        <v>11422</v>
      </c>
    </row>
    <row r="292" spans="1:16" x14ac:dyDescent="0.25">
      <c r="A292" t="s">
        <v>3713</v>
      </c>
      <c r="B292">
        <v>790</v>
      </c>
      <c r="C292" t="s">
        <v>11867</v>
      </c>
      <c r="D292" s="27">
        <v>11.984999999999999</v>
      </c>
      <c r="E292" t="s">
        <v>11667</v>
      </c>
      <c r="F292" s="18">
        <v>41985</v>
      </c>
      <c r="G292" s="34">
        <v>250</v>
      </c>
      <c r="H292" s="18">
        <v>42013</v>
      </c>
      <c r="I292" s="23" t="s">
        <v>11422</v>
      </c>
      <c r="J292" s="23">
        <v>599.25</v>
      </c>
      <c r="K292" s="18">
        <v>42013</v>
      </c>
      <c r="L292" s="23" t="s">
        <v>11422</v>
      </c>
      <c r="O292" s="30" t="s">
        <v>11422</v>
      </c>
      <c r="P292" t="s">
        <v>11422</v>
      </c>
    </row>
    <row r="293" spans="1:16" x14ac:dyDescent="0.25">
      <c r="A293" t="s">
        <v>3107</v>
      </c>
      <c r="B293">
        <v>475</v>
      </c>
      <c r="C293" t="s">
        <v>12056</v>
      </c>
      <c r="D293" s="27">
        <v>12.25</v>
      </c>
      <c r="E293" t="s">
        <v>9687</v>
      </c>
      <c r="F293" s="18">
        <v>41976</v>
      </c>
      <c r="G293" s="34">
        <v>250</v>
      </c>
      <c r="H293" s="18">
        <v>42013</v>
      </c>
      <c r="I293" s="23" t="s">
        <v>11422</v>
      </c>
      <c r="J293" s="23">
        <v>612.5</v>
      </c>
      <c r="K293" s="18">
        <v>42013</v>
      </c>
      <c r="L293" s="23" t="s">
        <v>11422</v>
      </c>
      <c r="O293" s="30" t="s">
        <v>11422</v>
      </c>
      <c r="P293" t="s">
        <v>11422</v>
      </c>
    </row>
    <row r="294" spans="1:16" x14ac:dyDescent="0.25">
      <c r="A294" t="s">
        <v>3003</v>
      </c>
      <c r="B294">
        <v>422</v>
      </c>
      <c r="C294" t="s">
        <v>11423</v>
      </c>
      <c r="D294" s="27">
        <v>24.84</v>
      </c>
      <c r="E294" t="s">
        <v>2210</v>
      </c>
      <c r="F294" s="18">
        <v>41974</v>
      </c>
      <c r="G294" s="34">
        <v>250</v>
      </c>
      <c r="H294" s="18">
        <v>42013</v>
      </c>
      <c r="I294" s="23" t="s">
        <v>11422</v>
      </c>
      <c r="J294" s="23">
        <v>1242</v>
      </c>
      <c r="K294" s="18">
        <v>42013</v>
      </c>
      <c r="L294" s="23" t="s">
        <v>11422</v>
      </c>
      <c r="O294" s="30" t="s">
        <v>11422</v>
      </c>
      <c r="P294" t="s">
        <v>11422</v>
      </c>
    </row>
    <row r="295" spans="1:16" x14ac:dyDescent="0.25">
      <c r="A295" t="s">
        <v>2938</v>
      </c>
      <c r="B295">
        <v>389</v>
      </c>
      <c r="C295" t="s">
        <v>11429</v>
      </c>
      <c r="D295" s="27">
        <v>8.5</v>
      </c>
      <c r="E295" t="s">
        <v>4116</v>
      </c>
      <c r="F295" s="18">
        <v>41974</v>
      </c>
      <c r="G295" s="34">
        <v>250</v>
      </c>
      <c r="H295" s="18">
        <v>42013</v>
      </c>
      <c r="I295" s="23" t="s">
        <v>11422</v>
      </c>
      <c r="J295" s="23">
        <v>425</v>
      </c>
      <c r="K295" s="18">
        <v>41992</v>
      </c>
      <c r="L295" s="23" t="s">
        <v>11422</v>
      </c>
      <c r="O295" s="30" t="s">
        <v>11422</v>
      </c>
      <c r="P295" t="s">
        <v>11422</v>
      </c>
    </row>
    <row r="296" spans="1:16" x14ac:dyDescent="0.25">
      <c r="A296" t="s">
        <v>3395</v>
      </c>
      <c r="B296">
        <v>626</v>
      </c>
      <c r="C296" t="s">
        <v>1010</v>
      </c>
      <c r="D296" s="27">
        <v>5.0999999999999996</v>
      </c>
      <c r="E296" t="s">
        <v>10698</v>
      </c>
      <c r="F296" s="18">
        <v>41977</v>
      </c>
      <c r="G296" s="34">
        <v>250</v>
      </c>
      <c r="H296" s="18">
        <v>42013</v>
      </c>
      <c r="I296" s="23" t="s">
        <v>11422</v>
      </c>
      <c r="J296" s="23">
        <v>255</v>
      </c>
      <c r="K296" s="18">
        <v>41999</v>
      </c>
      <c r="L296" s="23" t="s">
        <v>11422</v>
      </c>
      <c r="O296" s="30" t="s">
        <v>11422</v>
      </c>
      <c r="P296" t="s">
        <v>11422</v>
      </c>
    </row>
    <row r="297" spans="1:16" x14ac:dyDescent="0.25">
      <c r="A297" t="s">
        <v>3861</v>
      </c>
      <c r="B297">
        <v>690</v>
      </c>
      <c r="C297" t="s">
        <v>11974</v>
      </c>
      <c r="D297" s="27">
        <v>7.5</v>
      </c>
      <c r="E297" t="s">
        <v>9644</v>
      </c>
      <c r="F297" s="18">
        <v>41980</v>
      </c>
      <c r="G297" s="34">
        <v>250</v>
      </c>
      <c r="H297" s="18">
        <v>42013</v>
      </c>
      <c r="I297" s="23" t="s">
        <v>11422</v>
      </c>
      <c r="L297" s="23" t="s">
        <v>11422</v>
      </c>
      <c r="O297" s="30" t="s">
        <v>11422</v>
      </c>
      <c r="P297" t="s">
        <v>11422</v>
      </c>
    </row>
    <row r="298" spans="1:16" x14ac:dyDescent="0.25">
      <c r="A298" t="s">
        <v>3435</v>
      </c>
      <c r="B298">
        <v>646</v>
      </c>
      <c r="C298" t="s">
        <v>11960</v>
      </c>
      <c r="D298" s="27">
        <v>6.25</v>
      </c>
      <c r="E298" t="s">
        <v>11735</v>
      </c>
      <c r="F298" s="18">
        <v>41983</v>
      </c>
      <c r="G298" s="34">
        <v>250</v>
      </c>
      <c r="H298" s="18">
        <v>42013</v>
      </c>
      <c r="I298" s="23" t="s">
        <v>11422</v>
      </c>
      <c r="L298" s="23" t="s">
        <v>11422</v>
      </c>
      <c r="O298" s="30" t="s">
        <v>11422</v>
      </c>
      <c r="P298" t="s">
        <v>11422</v>
      </c>
    </row>
    <row r="299" spans="1:16" x14ac:dyDescent="0.25">
      <c r="A299" t="s">
        <v>137</v>
      </c>
      <c r="B299">
        <v>648</v>
      </c>
      <c r="C299" t="s">
        <v>11927</v>
      </c>
      <c r="D299" s="27">
        <v>3</v>
      </c>
      <c r="E299" t="s">
        <v>11529</v>
      </c>
      <c r="F299" s="18">
        <v>41986</v>
      </c>
      <c r="G299" s="34">
        <v>350</v>
      </c>
      <c r="H299" s="18">
        <v>42013</v>
      </c>
      <c r="I299" s="23" t="s">
        <v>11422</v>
      </c>
      <c r="J299" s="23">
        <v>150</v>
      </c>
      <c r="K299" s="18">
        <v>42013</v>
      </c>
      <c r="L299" s="23" t="s">
        <v>11422</v>
      </c>
      <c r="O299" s="30" t="s">
        <v>11422</v>
      </c>
      <c r="P299" t="s">
        <v>11422</v>
      </c>
    </row>
    <row r="300" spans="1:16" x14ac:dyDescent="0.25">
      <c r="A300" t="s">
        <v>11454</v>
      </c>
      <c r="B300">
        <v>857</v>
      </c>
      <c r="C300" t="s">
        <v>11933</v>
      </c>
      <c r="D300" s="27">
        <v>7</v>
      </c>
      <c r="E300" t="s">
        <v>11625</v>
      </c>
      <c r="F300" s="18">
        <v>41986</v>
      </c>
      <c r="G300" s="34">
        <v>350</v>
      </c>
      <c r="H300" s="18">
        <v>42013</v>
      </c>
      <c r="I300" s="23" t="s">
        <v>11422</v>
      </c>
      <c r="J300" s="23">
        <v>175</v>
      </c>
      <c r="K300" s="18">
        <v>42013</v>
      </c>
      <c r="L300" s="23" t="s">
        <v>11422</v>
      </c>
      <c r="O300" s="30" t="s">
        <v>11422</v>
      </c>
      <c r="P300" t="s">
        <v>11422</v>
      </c>
    </row>
    <row r="301" spans="1:16" x14ac:dyDescent="0.25">
      <c r="A301" t="s">
        <v>3407</v>
      </c>
      <c r="B301">
        <v>632</v>
      </c>
      <c r="C301" t="s">
        <v>11911</v>
      </c>
      <c r="D301" s="27">
        <v>4</v>
      </c>
      <c r="E301" t="s">
        <v>11691</v>
      </c>
      <c r="F301" s="18">
        <v>41989</v>
      </c>
      <c r="G301" s="34">
        <v>350</v>
      </c>
      <c r="H301" s="18">
        <v>42013</v>
      </c>
      <c r="I301" s="23" t="s">
        <v>11422</v>
      </c>
      <c r="J301" s="23">
        <v>200</v>
      </c>
      <c r="K301" s="18">
        <v>42013</v>
      </c>
      <c r="L301" s="23" t="s">
        <v>11422</v>
      </c>
      <c r="O301" s="30" t="s">
        <v>11422</v>
      </c>
      <c r="P301" t="s">
        <v>11422</v>
      </c>
    </row>
    <row r="302" spans="1:16" x14ac:dyDescent="0.25">
      <c r="A302" t="s">
        <v>137</v>
      </c>
      <c r="B302">
        <v>648</v>
      </c>
      <c r="C302" t="s">
        <v>11962</v>
      </c>
      <c r="D302" s="27">
        <v>4.25</v>
      </c>
      <c r="E302" t="s">
        <v>11785</v>
      </c>
      <c r="F302" s="18">
        <v>41983</v>
      </c>
      <c r="G302" s="34">
        <v>350</v>
      </c>
      <c r="H302" s="18">
        <v>42013</v>
      </c>
      <c r="I302" s="23" t="s">
        <v>11422</v>
      </c>
      <c r="J302" s="23">
        <v>212.5</v>
      </c>
      <c r="K302" s="18">
        <v>42013</v>
      </c>
      <c r="L302" s="23" t="s">
        <v>11422</v>
      </c>
      <c r="O302" s="30" t="s">
        <v>11422</v>
      </c>
      <c r="P302" t="s">
        <v>11422</v>
      </c>
    </row>
    <row r="303" spans="1:16" x14ac:dyDescent="0.25">
      <c r="A303" t="s">
        <v>11454</v>
      </c>
      <c r="B303">
        <v>857</v>
      </c>
      <c r="C303" t="s">
        <v>12184</v>
      </c>
      <c r="D303" s="27">
        <v>4.5</v>
      </c>
      <c r="E303" t="s">
        <v>12070</v>
      </c>
      <c r="F303" s="18">
        <v>41992</v>
      </c>
      <c r="G303" s="34">
        <v>350</v>
      </c>
      <c r="H303" s="18">
        <v>42013</v>
      </c>
      <c r="I303" s="23" t="s">
        <v>11422</v>
      </c>
      <c r="J303" s="23">
        <v>225</v>
      </c>
      <c r="K303" s="18">
        <v>42013</v>
      </c>
      <c r="L303" s="23" t="s">
        <v>11422</v>
      </c>
      <c r="O303" s="30" t="s">
        <v>11422</v>
      </c>
      <c r="P303" t="s">
        <v>11422</v>
      </c>
    </row>
    <row r="304" spans="1:16" x14ac:dyDescent="0.25">
      <c r="A304" t="s">
        <v>137</v>
      </c>
      <c r="B304">
        <v>648</v>
      </c>
      <c r="C304" t="s">
        <v>12513</v>
      </c>
      <c r="D304" s="27">
        <v>5</v>
      </c>
      <c r="E304" t="s">
        <v>12341</v>
      </c>
      <c r="F304" s="28">
        <v>42000</v>
      </c>
      <c r="G304" s="34">
        <v>350</v>
      </c>
      <c r="H304" s="18">
        <v>42013</v>
      </c>
      <c r="I304" s="23" t="s">
        <v>11422</v>
      </c>
      <c r="J304" s="23">
        <v>250</v>
      </c>
      <c r="K304" s="18">
        <v>42013</v>
      </c>
      <c r="L304" s="23" t="s">
        <v>11422</v>
      </c>
      <c r="O304" s="30" t="s">
        <v>11422</v>
      </c>
      <c r="P304" t="s">
        <v>11422</v>
      </c>
    </row>
    <row r="305" spans="1:16" x14ac:dyDescent="0.25">
      <c r="A305" t="s">
        <v>11454</v>
      </c>
      <c r="B305">
        <v>857</v>
      </c>
      <c r="C305" t="s">
        <v>12532</v>
      </c>
      <c r="D305" s="27">
        <v>5.25</v>
      </c>
      <c r="E305" t="s">
        <v>12125</v>
      </c>
      <c r="F305" s="28">
        <v>41992</v>
      </c>
      <c r="G305" s="34">
        <v>350</v>
      </c>
      <c r="H305" s="18">
        <v>42013</v>
      </c>
      <c r="I305" s="23" t="s">
        <v>11422</v>
      </c>
      <c r="J305" s="23">
        <v>262.5</v>
      </c>
      <c r="K305" s="18">
        <v>42013</v>
      </c>
      <c r="L305" s="23" t="s">
        <v>11422</v>
      </c>
      <c r="O305" s="30" t="s">
        <v>11422</v>
      </c>
      <c r="P305" t="s">
        <v>11422</v>
      </c>
    </row>
    <row r="306" spans="1:16" x14ac:dyDescent="0.25">
      <c r="A306" t="s">
        <v>2890</v>
      </c>
      <c r="B306">
        <v>365</v>
      </c>
      <c r="C306" t="s">
        <v>11833</v>
      </c>
      <c r="D306" s="27">
        <v>6.12</v>
      </c>
      <c r="E306" t="s">
        <v>11408</v>
      </c>
      <c r="F306" s="18">
        <v>41979</v>
      </c>
      <c r="G306" s="34">
        <v>350</v>
      </c>
      <c r="H306" s="18">
        <v>42013</v>
      </c>
      <c r="I306" s="23" t="s">
        <v>11422</v>
      </c>
      <c r="J306" s="23">
        <v>306</v>
      </c>
      <c r="K306" s="18">
        <v>42013</v>
      </c>
      <c r="L306" s="23" t="s">
        <v>11422</v>
      </c>
      <c r="O306" s="30" t="s">
        <v>11422</v>
      </c>
      <c r="P306" t="s">
        <v>11422</v>
      </c>
    </row>
    <row r="307" spans="1:16" x14ac:dyDescent="0.25">
      <c r="A307" t="s">
        <v>2890</v>
      </c>
      <c r="B307">
        <v>365</v>
      </c>
      <c r="C307" t="s">
        <v>11832</v>
      </c>
      <c r="D307" s="27">
        <v>6.375</v>
      </c>
      <c r="E307" t="s">
        <v>9875</v>
      </c>
      <c r="F307" s="18">
        <v>41979</v>
      </c>
      <c r="G307" s="34">
        <v>350</v>
      </c>
      <c r="H307" s="18">
        <v>42013</v>
      </c>
      <c r="I307" s="23" t="s">
        <v>11422</v>
      </c>
      <c r="J307" s="23">
        <v>318.75</v>
      </c>
      <c r="K307" s="18">
        <v>42013</v>
      </c>
      <c r="L307" s="23" t="s">
        <v>11422</v>
      </c>
      <c r="O307" s="30" t="s">
        <v>11422</v>
      </c>
      <c r="P307" t="s">
        <v>11422</v>
      </c>
    </row>
    <row r="308" spans="1:16" x14ac:dyDescent="0.25">
      <c r="A308" t="s">
        <v>2890</v>
      </c>
      <c r="B308">
        <v>365</v>
      </c>
      <c r="C308" t="s">
        <v>11875</v>
      </c>
      <c r="D308" s="27">
        <v>6.8849999999999998</v>
      </c>
      <c r="E308" t="s">
        <v>11655</v>
      </c>
      <c r="F308" s="18">
        <v>41986</v>
      </c>
      <c r="G308" s="34">
        <v>350</v>
      </c>
      <c r="H308" s="18">
        <v>42013</v>
      </c>
      <c r="I308" s="23" t="s">
        <v>11422</v>
      </c>
      <c r="J308" s="23">
        <v>344.25</v>
      </c>
      <c r="K308" s="18">
        <v>42013</v>
      </c>
      <c r="L308" s="23" t="s">
        <v>11422</v>
      </c>
      <c r="O308" s="30" t="s">
        <v>11422</v>
      </c>
      <c r="P308" t="s">
        <v>11422</v>
      </c>
    </row>
    <row r="309" spans="1:16" x14ac:dyDescent="0.25">
      <c r="A309" t="s">
        <v>3407</v>
      </c>
      <c r="B309">
        <v>632</v>
      </c>
      <c r="C309" t="s">
        <v>11440</v>
      </c>
      <c r="D309" s="27">
        <v>7.25</v>
      </c>
      <c r="E309" t="s">
        <v>4755</v>
      </c>
      <c r="F309" s="18">
        <v>41974</v>
      </c>
      <c r="G309" s="34">
        <v>350</v>
      </c>
      <c r="H309" s="18">
        <v>42013</v>
      </c>
      <c r="I309" s="23" t="s">
        <v>11422</v>
      </c>
      <c r="J309" s="23">
        <v>362.5</v>
      </c>
      <c r="K309" s="18">
        <v>42013</v>
      </c>
      <c r="L309" s="23" t="s">
        <v>11422</v>
      </c>
      <c r="O309" s="30" t="s">
        <v>11422</v>
      </c>
      <c r="P309" t="s">
        <v>11422</v>
      </c>
    </row>
    <row r="310" spans="1:16" x14ac:dyDescent="0.25">
      <c r="A310" t="s">
        <v>3830</v>
      </c>
      <c r="B310">
        <v>261</v>
      </c>
      <c r="C310" t="s">
        <v>11874</v>
      </c>
      <c r="D310" s="27">
        <v>8.67</v>
      </c>
      <c r="E310" t="s">
        <v>11639</v>
      </c>
      <c r="F310" s="18">
        <v>41986</v>
      </c>
      <c r="G310" s="34">
        <v>350</v>
      </c>
      <c r="H310" s="18">
        <v>42013</v>
      </c>
      <c r="I310" s="23" t="s">
        <v>11422</v>
      </c>
      <c r="J310" s="23">
        <v>433.5</v>
      </c>
      <c r="K310" s="18">
        <v>42013</v>
      </c>
      <c r="L310" s="23" t="s">
        <v>11422</v>
      </c>
      <c r="O310" s="30" t="s">
        <v>11422</v>
      </c>
      <c r="P310" t="s">
        <v>11422</v>
      </c>
    </row>
    <row r="311" spans="1:16" x14ac:dyDescent="0.25">
      <c r="A311" t="s">
        <v>2401</v>
      </c>
      <c r="B311">
        <v>107</v>
      </c>
      <c r="C311" t="s">
        <v>11977</v>
      </c>
      <c r="D311" s="27">
        <v>9.75</v>
      </c>
      <c r="E311" t="s">
        <v>4166</v>
      </c>
      <c r="F311" s="18">
        <v>41979</v>
      </c>
      <c r="G311" s="34">
        <v>350</v>
      </c>
      <c r="H311" s="18">
        <v>42013</v>
      </c>
      <c r="I311" s="23" t="s">
        <v>11422</v>
      </c>
      <c r="J311" s="23">
        <v>487.5</v>
      </c>
      <c r="K311" s="18">
        <v>42013</v>
      </c>
      <c r="L311" s="23" t="s">
        <v>11422</v>
      </c>
      <c r="O311" s="30" t="s">
        <v>11422</v>
      </c>
      <c r="P311" t="s">
        <v>11422</v>
      </c>
    </row>
    <row r="312" spans="1:16" x14ac:dyDescent="0.25">
      <c r="A312" t="s">
        <v>3107</v>
      </c>
      <c r="B312">
        <v>475</v>
      </c>
      <c r="C312" t="s">
        <v>11972</v>
      </c>
      <c r="D312" s="27">
        <v>4</v>
      </c>
      <c r="E312" t="s">
        <v>4188</v>
      </c>
      <c r="F312" s="18">
        <v>41980</v>
      </c>
      <c r="G312" s="34">
        <v>350</v>
      </c>
      <c r="H312" s="18">
        <v>41992</v>
      </c>
      <c r="I312" s="23" t="s">
        <v>11422</v>
      </c>
      <c r="J312" s="23">
        <v>200</v>
      </c>
      <c r="K312" s="18">
        <v>42013</v>
      </c>
      <c r="L312" s="23" t="s">
        <v>11422</v>
      </c>
      <c r="O312" s="30" t="s">
        <v>11422</v>
      </c>
      <c r="P312" t="s">
        <v>11422</v>
      </c>
    </row>
    <row r="313" spans="1:16" x14ac:dyDescent="0.25">
      <c r="A313" t="s">
        <v>2278</v>
      </c>
      <c r="B313">
        <v>41</v>
      </c>
      <c r="C313" t="s">
        <v>11965</v>
      </c>
      <c r="D313" s="27">
        <v>6.12</v>
      </c>
      <c r="E313" t="s">
        <v>11538</v>
      </c>
      <c r="F313" s="18">
        <v>41981</v>
      </c>
      <c r="G313" s="34">
        <v>250</v>
      </c>
      <c r="H313" s="18">
        <v>41999</v>
      </c>
      <c r="I313" s="23" t="s">
        <v>11422</v>
      </c>
      <c r="J313" s="23">
        <v>306</v>
      </c>
      <c r="K313" s="18">
        <v>42013</v>
      </c>
      <c r="L313" s="23" t="s">
        <v>11422</v>
      </c>
      <c r="O313" s="30" t="s">
        <v>11422</v>
      </c>
      <c r="P313" t="s">
        <v>11422</v>
      </c>
    </row>
    <row r="314" spans="1:16" x14ac:dyDescent="0.25">
      <c r="A314" t="s">
        <v>11428</v>
      </c>
      <c r="B314">
        <v>860</v>
      </c>
      <c r="C314" t="s">
        <v>12018</v>
      </c>
      <c r="D314" s="27">
        <v>6.75</v>
      </c>
      <c r="E314" t="s">
        <v>10956</v>
      </c>
      <c r="F314" s="18">
        <v>41978</v>
      </c>
      <c r="G314" s="34">
        <v>450</v>
      </c>
      <c r="H314" s="18">
        <v>41992</v>
      </c>
      <c r="I314" s="23" t="s">
        <v>11422</v>
      </c>
      <c r="J314" s="23">
        <v>337.5</v>
      </c>
      <c r="K314" s="18">
        <v>42013</v>
      </c>
      <c r="L314" s="23" t="s">
        <v>11422</v>
      </c>
      <c r="O314" s="30" t="s">
        <v>11422</v>
      </c>
      <c r="P314" t="s">
        <v>11422</v>
      </c>
    </row>
    <row r="315" spans="1:16" x14ac:dyDescent="0.25">
      <c r="A315" t="s">
        <v>3375</v>
      </c>
      <c r="B315">
        <v>615</v>
      </c>
      <c r="C315" t="s">
        <v>11917</v>
      </c>
      <c r="D315" s="27">
        <v>6.8849999999999998</v>
      </c>
      <c r="E315" t="s">
        <v>11801</v>
      </c>
      <c r="F315" s="18">
        <v>41989</v>
      </c>
      <c r="G315" s="34">
        <v>250</v>
      </c>
      <c r="H315" s="18">
        <v>42006</v>
      </c>
      <c r="I315" s="23" t="s">
        <v>11422</v>
      </c>
      <c r="J315" s="23">
        <v>344.25</v>
      </c>
      <c r="K315" s="18">
        <v>42013</v>
      </c>
      <c r="L315" s="23" t="s">
        <v>11422</v>
      </c>
      <c r="O315" s="30" t="s">
        <v>11422</v>
      </c>
      <c r="P315" t="s">
        <v>11422</v>
      </c>
    </row>
    <row r="316" spans="1:16" x14ac:dyDescent="0.25">
      <c r="A316" t="s">
        <v>3107</v>
      </c>
      <c r="B316">
        <v>475</v>
      </c>
      <c r="C316" t="s">
        <v>11434</v>
      </c>
      <c r="D316" s="27">
        <v>7</v>
      </c>
      <c r="E316" t="s">
        <v>372</v>
      </c>
      <c r="F316" s="18">
        <v>41973</v>
      </c>
      <c r="G316" s="34">
        <v>350</v>
      </c>
      <c r="H316" s="18">
        <v>41992</v>
      </c>
      <c r="I316" s="23" t="s">
        <v>11422</v>
      </c>
      <c r="J316" s="23">
        <v>350</v>
      </c>
      <c r="K316" s="18">
        <v>42013</v>
      </c>
      <c r="L316" s="23" t="s">
        <v>11422</v>
      </c>
      <c r="O316" s="30" t="s">
        <v>11422</v>
      </c>
      <c r="P316" t="s">
        <v>11422</v>
      </c>
    </row>
    <row r="317" spans="1:16" x14ac:dyDescent="0.25">
      <c r="A317" t="s">
        <v>11428</v>
      </c>
      <c r="B317">
        <v>860</v>
      </c>
      <c r="C317" t="s">
        <v>12031</v>
      </c>
      <c r="D317" s="27">
        <v>8.5</v>
      </c>
      <c r="E317" t="s">
        <v>8017</v>
      </c>
      <c r="F317" s="18">
        <v>41977</v>
      </c>
      <c r="G317" s="34">
        <v>450</v>
      </c>
      <c r="H317" s="18">
        <v>41992</v>
      </c>
      <c r="I317" s="23" t="s">
        <v>11422</v>
      </c>
      <c r="J317" s="23">
        <v>425</v>
      </c>
      <c r="K317" s="18">
        <v>42013</v>
      </c>
      <c r="L317" s="23" t="s">
        <v>11422</v>
      </c>
      <c r="O317" s="30" t="s">
        <v>11422</v>
      </c>
      <c r="P317" t="s">
        <v>11422</v>
      </c>
    </row>
    <row r="318" spans="1:16" x14ac:dyDescent="0.25">
      <c r="A318" t="s">
        <v>3245</v>
      </c>
      <c r="B318">
        <v>546</v>
      </c>
      <c r="C318" t="s">
        <v>11955</v>
      </c>
      <c r="D318" s="27">
        <v>8.9250000000000007</v>
      </c>
      <c r="E318" t="s">
        <v>11779</v>
      </c>
      <c r="F318" s="18">
        <v>41984</v>
      </c>
      <c r="G318" s="34">
        <v>250</v>
      </c>
      <c r="H318" s="18">
        <v>42006</v>
      </c>
      <c r="I318" s="23" t="s">
        <v>11422</v>
      </c>
      <c r="J318" s="23">
        <v>446.25000000000006</v>
      </c>
      <c r="K318" s="18">
        <v>42013</v>
      </c>
      <c r="L318" s="23" t="s">
        <v>11422</v>
      </c>
      <c r="O318" s="30" t="s">
        <v>11422</v>
      </c>
      <c r="P318" t="s">
        <v>11422</v>
      </c>
    </row>
    <row r="319" spans="1:16" x14ac:dyDescent="0.25">
      <c r="A319" t="s">
        <v>2938</v>
      </c>
      <c r="B319">
        <v>389</v>
      </c>
      <c r="C319" t="s">
        <v>12027</v>
      </c>
      <c r="D319" s="27">
        <v>9</v>
      </c>
      <c r="E319" t="s">
        <v>7466</v>
      </c>
      <c r="F319" s="18">
        <v>41977</v>
      </c>
      <c r="G319" s="34">
        <v>350</v>
      </c>
      <c r="H319" s="18">
        <v>41992</v>
      </c>
      <c r="I319" s="23" t="s">
        <v>11422</v>
      </c>
      <c r="J319" s="23">
        <v>450</v>
      </c>
      <c r="K319" s="18">
        <v>42013</v>
      </c>
      <c r="L319" s="23" t="s">
        <v>11422</v>
      </c>
      <c r="O319" s="30" t="s">
        <v>11422</v>
      </c>
      <c r="P319" t="s">
        <v>11422</v>
      </c>
    </row>
    <row r="320" spans="1:16" x14ac:dyDescent="0.25">
      <c r="A320" t="s">
        <v>3546</v>
      </c>
      <c r="B320">
        <v>702</v>
      </c>
      <c r="C320" t="s">
        <v>11991</v>
      </c>
      <c r="D320" s="27">
        <v>13.5</v>
      </c>
      <c r="E320" t="s">
        <v>7755</v>
      </c>
      <c r="F320" s="18">
        <v>41979</v>
      </c>
      <c r="G320" s="34">
        <v>250</v>
      </c>
      <c r="H320" s="18">
        <v>41992</v>
      </c>
      <c r="I320" s="23" t="s">
        <v>11422</v>
      </c>
      <c r="J320" s="23">
        <v>675</v>
      </c>
      <c r="K320" s="18">
        <v>42013</v>
      </c>
      <c r="L320" s="23" t="s">
        <v>11422</v>
      </c>
      <c r="O320" s="30" t="s">
        <v>11422</v>
      </c>
      <c r="P320" t="s">
        <v>11422</v>
      </c>
    </row>
    <row r="321" spans="1:16" x14ac:dyDescent="0.25">
      <c r="A321" t="s">
        <v>3107</v>
      </c>
      <c r="B321">
        <v>475</v>
      </c>
      <c r="C321" t="s">
        <v>11435</v>
      </c>
      <c r="D321" s="27">
        <v>9.5</v>
      </c>
      <c r="E321" t="s">
        <v>370</v>
      </c>
      <c r="F321" s="18">
        <v>41973</v>
      </c>
      <c r="I321" s="23" t="s">
        <v>11422</v>
      </c>
      <c r="L321" s="23" t="s">
        <v>11422</v>
      </c>
      <c r="O321" s="30" t="s">
        <v>11422</v>
      </c>
      <c r="P321" t="s">
        <v>11422</v>
      </c>
    </row>
    <row r="322" spans="1:16" x14ac:dyDescent="0.25">
      <c r="A322" t="s">
        <v>3862</v>
      </c>
      <c r="B322">
        <v>699</v>
      </c>
      <c r="C322" t="s">
        <v>11439</v>
      </c>
      <c r="D322" s="27">
        <v>11.25</v>
      </c>
      <c r="E322" t="s">
        <v>3988</v>
      </c>
      <c r="F322" s="18">
        <v>41974</v>
      </c>
      <c r="G322" s="34">
        <v>250</v>
      </c>
      <c r="H322" s="18">
        <v>41992</v>
      </c>
      <c r="I322" s="23" t="s">
        <v>11422</v>
      </c>
      <c r="L322" s="23" t="s">
        <v>11422</v>
      </c>
      <c r="O322" s="30" t="s">
        <v>11422</v>
      </c>
      <c r="P322" t="s">
        <v>11422</v>
      </c>
    </row>
    <row r="323" spans="1:16" x14ac:dyDescent="0.25">
      <c r="A323" t="s">
        <v>11428</v>
      </c>
      <c r="B323">
        <v>860</v>
      </c>
      <c r="C323" t="s">
        <v>11431</v>
      </c>
      <c r="D323" s="27">
        <v>4.5</v>
      </c>
      <c r="E323" t="s">
        <v>6336</v>
      </c>
      <c r="F323" s="18">
        <v>41974</v>
      </c>
      <c r="G323" s="34">
        <v>450</v>
      </c>
      <c r="H323" s="18">
        <v>41992</v>
      </c>
      <c r="I323" s="23" t="s">
        <v>11422</v>
      </c>
      <c r="L323" s="23" t="s">
        <v>11422</v>
      </c>
      <c r="O323" s="30" t="s">
        <v>11422</v>
      </c>
      <c r="P323" t="s">
        <v>11422</v>
      </c>
    </row>
    <row r="324" spans="1:16" x14ac:dyDescent="0.25">
      <c r="A324" t="s">
        <v>3003</v>
      </c>
      <c r="B324">
        <v>422</v>
      </c>
      <c r="C324" t="s">
        <v>11424</v>
      </c>
      <c r="D324" s="27">
        <v>8.9250000000000007</v>
      </c>
      <c r="E324" t="s">
        <v>2208</v>
      </c>
      <c r="F324" s="18">
        <v>41974</v>
      </c>
      <c r="I324" s="23" t="s">
        <v>11422</v>
      </c>
      <c r="L324" s="23" t="s">
        <v>11422</v>
      </c>
      <c r="O324" s="30" t="s">
        <v>11422</v>
      </c>
      <c r="P324" t="s">
        <v>11422</v>
      </c>
    </row>
    <row r="325" spans="1:16" x14ac:dyDescent="0.25">
      <c r="A325" t="s">
        <v>2814</v>
      </c>
      <c r="B325">
        <v>326</v>
      </c>
      <c r="C325" t="s">
        <v>11430</v>
      </c>
      <c r="D325" s="27">
        <v>11.75</v>
      </c>
      <c r="E325" t="s">
        <v>9159</v>
      </c>
      <c r="F325" s="18">
        <v>41974</v>
      </c>
      <c r="I325" s="23" t="s">
        <v>11422</v>
      </c>
      <c r="L325" s="23" t="s">
        <v>11422</v>
      </c>
      <c r="O325" s="30" t="s">
        <v>11422</v>
      </c>
      <c r="P325" t="s">
        <v>11422</v>
      </c>
    </row>
    <row r="326" spans="1:16" x14ac:dyDescent="0.25">
      <c r="A326" t="s">
        <v>3569</v>
      </c>
      <c r="B326">
        <v>715</v>
      </c>
      <c r="C326" t="s">
        <v>12059</v>
      </c>
      <c r="D326" s="27">
        <v>4.335</v>
      </c>
      <c r="E326" t="s">
        <v>2214</v>
      </c>
      <c r="F326" s="18">
        <v>41975</v>
      </c>
      <c r="I326" s="23" t="s">
        <v>11422</v>
      </c>
      <c r="L326" s="23" t="s">
        <v>11422</v>
      </c>
      <c r="O326" s="30" t="s">
        <v>11422</v>
      </c>
      <c r="P326" t="s">
        <v>11422</v>
      </c>
    </row>
    <row r="327" spans="1:16" x14ac:dyDescent="0.25">
      <c r="A327" t="s">
        <v>2753</v>
      </c>
      <c r="B327">
        <v>295</v>
      </c>
      <c r="C327" t="s">
        <v>12062</v>
      </c>
      <c r="D327" s="27">
        <v>10.5</v>
      </c>
      <c r="E327" t="s">
        <v>4990</v>
      </c>
      <c r="F327" s="18">
        <v>41975</v>
      </c>
      <c r="I327" s="23" t="s">
        <v>11422</v>
      </c>
      <c r="L327" s="23" t="s">
        <v>11422</v>
      </c>
      <c r="O327" s="30" t="s">
        <v>11422</v>
      </c>
      <c r="P327" t="s">
        <v>11422</v>
      </c>
    </row>
    <row r="328" spans="1:16" x14ac:dyDescent="0.25">
      <c r="A328" t="s">
        <v>3677</v>
      </c>
      <c r="B328">
        <v>772</v>
      </c>
      <c r="C328" t="s">
        <v>1237</v>
      </c>
      <c r="D328" s="27">
        <v>7.65</v>
      </c>
      <c r="E328" t="s">
        <v>1236</v>
      </c>
      <c r="F328" s="18">
        <v>41975</v>
      </c>
      <c r="I328" s="23" t="s">
        <v>11422</v>
      </c>
      <c r="L328" s="23" t="s">
        <v>11422</v>
      </c>
      <c r="O328" s="30" t="s">
        <v>11422</v>
      </c>
      <c r="P328" t="s">
        <v>11422</v>
      </c>
    </row>
    <row r="329" spans="1:16" x14ac:dyDescent="0.25">
      <c r="A329" t="s">
        <v>3569</v>
      </c>
      <c r="B329">
        <v>715</v>
      </c>
      <c r="C329" t="s">
        <v>12066</v>
      </c>
      <c r="D329" s="27">
        <v>8.25</v>
      </c>
      <c r="E329" t="s">
        <v>2212</v>
      </c>
      <c r="F329" s="18">
        <v>41975</v>
      </c>
      <c r="I329" s="23" t="s">
        <v>11422</v>
      </c>
      <c r="L329" s="23" t="s">
        <v>11422</v>
      </c>
      <c r="O329" s="30" t="s">
        <v>11422</v>
      </c>
      <c r="P329" t="s">
        <v>11422</v>
      </c>
    </row>
    <row r="330" spans="1:16" x14ac:dyDescent="0.25">
      <c r="A330" t="s">
        <v>3651</v>
      </c>
      <c r="B330">
        <v>758</v>
      </c>
      <c r="C330" t="s">
        <v>12045</v>
      </c>
      <c r="D330" s="27">
        <v>13</v>
      </c>
      <c r="E330" t="s">
        <v>6833</v>
      </c>
      <c r="F330" s="18">
        <v>41976</v>
      </c>
      <c r="G330" s="34">
        <v>250</v>
      </c>
      <c r="H330" s="18">
        <v>41992</v>
      </c>
      <c r="I330" s="23" t="s">
        <v>11422</v>
      </c>
      <c r="J330" s="23">
        <v>650</v>
      </c>
      <c r="K330" s="18">
        <v>41992</v>
      </c>
      <c r="L330" s="23" t="s">
        <v>11422</v>
      </c>
      <c r="O330" s="30" t="s">
        <v>11422</v>
      </c>
      <c r="P330" t="s">
        <v>11422</v>
      </c>
    </row>
    <row r="331" spans="1:16" x14ac:dyDescent="0.25">
      <c r="A331" t="s">
        <v>3361</v>
      </c>
      <c r="B331">
        <v>607</v>
      </c>
      <c r="C331" t="s">
        <v>12042</v>
      </c>
      <c r="D331" s="27">
        <v>5</v>
      </c>
      <c r="E331" t="s">
        <v>5898</v>
      </c>
      <c r="F331" s="18">
        <v>41976</v>
      </c>
      <c r="G331" s="34">
        <v>250</v>
      </c>
      <c r="H331" s="18">
        <v>41992</v>
      </c>
      <c r="I331" s="23" t="s">
        <v>11422</v>
      </c>
      <c r="L331" s="23" t="s">
        <v>11422</v>
      </c>
      <c r="O331" s="30" t="s">
        <v>11422</v>
      </c>
      <c r="P331" t="s">
        <v>11422</v>
      </c>
    </row>
    <row r="332" spans="1:16" x14ac:dyDescent="0.25">
      <c r="A332" t="s">
        <v>3301</v>
      </c>
      <c r="B332">
        <v>576</v>
      </c>
      <c r="C332" t="s">
        <v>12058</v>
      </c>
      <c r="D332" s="27">
        <v>8.25</v>
      </c>
      <c r="E332" t="s">
        <v>10475</v>
      </c>
      <c r="F332" s="18">
        <v>41976</v>
      </c>
      <c r="G332" s="34">
        <v>250</v>
      </c>
      <c r="H332" s="18">
        <v>41992</v>
      </c>
      <c r="I332" s="23" t="s">
        <v>11422</v>
      </c>
      <c r="L332" s="23" t="s">
        <v>11422</v>
      </c>
      <c r="O332" s="30" t="s">
        <v>11422</v>
      </c>
      <c r="P332" t="s">
        <v>11422</v>
      </c>
    </row>
    <row r="333" spans="1:16" x14ac:dyDescent="0.25">
      <c r="A333" t="s">
        <v>3500</v>
      </c>
      <c r="B333">
        <v>679</v>
      </c>
      <c r="C333" t="s">
        <v>12038</v>
      </c>
      <c r="D333" s="27">
        <v>9</v>
      </c>
      <c r="E333" t="s">
        <v>4308</v>
      </c>
      <c r="F333" s="18">
        <v>41976</v>
      </c>
      <c r="I333" s="23" t="s">
        <v>11422</v>
      </c>
      <c r="L333" s="23" t="s">
        <v>11422</v>
      </c>
      <c r="O333" s="30" t="s">
        <v>11422</v>
      </c>
      <c r="P333" t="s">
        <v>11422</v>
      </c>
    </row>
    <row r="334" spans="1:16" x14ac:dyDescent="0.25">
      <c r="A334" t="s">
        <v>3003</v>
      </c>
      <c r="B334">
        <v>422</v>
      </c>
      <c r="C334" t="s">
        <v>12039</v>
      </c>
      <c r="D334" s="27">
        <v>5.8650000000000002</v>
      </c>
      <c r="E334" t="s">
        <v>2217</v>
      </c>
      <c r="F334" s="18">
        <v>41976</v>
      </c>
      <c r="I334" s="23" t="s">
        <v>11422</v>
      </c>
      <c r="L334" s="23" t="s">
        <v>11422</v>
      </c>
      <c r="O334" s="30" t="s">
        <v>11422</v>
      </c>
      <c r="P334" t="s">
        <v>11422</v>
      </c>
    </row>
    <row r="335" spans="1:16" x14ac:dyDescent="0.25">
      <c r="A335" t="s">
        <v>3641</v>
      </c>
      <c r="B335">
        <v>753</v>
      </c>
      <c r="C335" t="s">
        <v>12047</v>
      </c>
      <c r="D335" s="27">
        <v>3.57</v>
      </c>
      <c r="E335" t="s">
        <v>1470</v>
      </c>
      <c r="F335" s="18">
        <v>41976</v>
      </c>
      <c r="I335" s="23" t="s">
        <v>11422</v>
      </c>
      <c r="L335" s="23" t="s">
        <v>11422</v>
      </c>
      <c r="O335" s="30" t="s">
        <v>11422</v>
      </c>
      <c r="P335" t="s">
        <v>11422</v>
      </c>
    </row>
    <row r="336" spans="1:16" x14ac:dyDescent="0.25">
      <c r="A336" t="s">
        <v>3747</v>
      </c>
      <c r="B336">
        <v>807</v>
      </c>
      <c r="C336" t="s">
        <v>11818</v>
      </c>
      <c r="D336" s="27">
        <v>13.5</v>
      </c>
      <c r="E336" t="s">
        <v>7762</v>
      </c>
      <c r="F336" s="18">
        <v>41976</v>
      </c>
      <c r="I336" s="23" t="s">
        <v>11422</v>
      </c>
      <c r="L336" s="23" t="s">
        <v>11422</v>
      </c>
      <c r="O336" s="30" t="s">
        <v>11422</v>
      </c>
      <c r="P336" t="s">
        <v>11422</v>
      </c>
    </row>
    <row r="337" spans="1:16" x14ac:dyDescent="0.25">
      <c r="A337" t="s">
        <v>3407</v>
      </c>
      <c r="B337">
        <v>632</v>
      </c>
      <c r="C337" t="s">
        <v>12048</v>
      </c>
      <c r="D337" s="27">
        <v>7.5</v>
      </c>
      <c r="E337" t="s">
        <v>7913</v>
      </c>
      <c r="F337" s="18">
        <v>41976</v>
      </c>
      <c r="I337" s="23" t="s">
        <v>11422</v>
      </c>
      <c r="L337" s="23" t="s">
        <v>11422</v>
      </c>
      <c r="O337" s="30" t="s">
        <v>11422</v>
      </c>
      <c r="P337" t="s">
        <v>11422</v>
      </c>
    </row>
    <row r="338" spans="1:16" x14ac:dyDescent="0.25">
      <c r="A338" t="s">
        <v>2554</v>
      </c>
      <c r="B338">
        <v>185</v>
      </c>
      <c r="C338" t="s">
        <v>12050</v>
      </c>
      <c r="D338" s="27">
        <v>11</v>
      </c>
      <c r="E338" t="s">
        <v>1079</v>
      </c>
      <c r="F338" s="18">
        <v>41976</v>
      </c>
      <c r="I338" s="23" t="s">
        <v>11422</v>
      </c>
      <c r="L338" s="23" t="s">
        <v>11422</v>
      </c>
      <c r="O338" s="30" t="s">
        <v>11422</v>
      </c>
      <c r="P338" t="s">
        <v>11422</v>
      </c>
    </row>
    <row r="339" spans="1:16" x14ac:dyDescent="0.25">
      <c r="A339" t="s">
        <v>3215</v>
      </c>
      <c r="B339">
        <v>530</v>
      </c>
      <c r="C339" t="s">
        <v>12052</v>
      </c>
      <c r="D339" s="27">
        <v>3.25</v>
      </c>
      <c r="E339" t="s">
        <v>8613</v>
      </c>
      <c r="F339" s="18">
        <v>41976</v>
      </c>
      <c r="I339" s="23" t="s">
        <v>11422</v>
      </c>
      <c r="L339" s="23" t="s">
        <v>11422</v>
      </c>
      <c r="O339" s="30" t="s">
        <v>11422</v>
      </c>
      <c r="P339" t="s">
        <v>11422</v>
      </c>
    </row>
    <row r="340" spans="1:16" x14ac:dyDescent="0.25">
      <c r="A340" t="s">
        <v>3649</v>
      </c>
      <c r="B340">
        <v>757</v>
      </c>
      <c r="C340" t="s">
        <v>12053</v>
      </c>
      <c r="D340" s="27">
        <v>19.5</v>
      </c>
      <c r="E340" t="s">
        <v>8929</v>
      </c>
      <c r="F340" s="18">
        <v>41976</v>
      </c>
      <c r="I340" s="23" t="s">
        <v>11422</v>
      </c>
      <c r="L340" s="23" t="s">
        <v>11422</v>
      </c>
      <c r="O340" s="30" t="s">
        <v>11422</v>
      </c>
      <c r="P340" t="s">
        <v>11422</v>
      </c>
    </row>
    <row r="341" spans="1:16" x14ac:dyDescent="0.25">
      <c r="A341" t="s">
        <v>3861</v>
      </c>
      <c r="B341">
        <v>690</v>
      </c>
      <c r="C341" t="s">
        <v>12055</v>
      </c>
      <c r="D341" s="27">
        <v>10.75</v>
      </c>
      <c r="E341" t="s">
        <v>9630</v>
      </c>
      <c r="F341" s="18">
        <v>41976</v>
      </c>
      <c r="I341" s="23" t="s">
        <v>11422</v>
      </c>
      <c r="L341" s="23" t="s">
        <v>11422</v>
      </c>
      <c r="O341" s="30" t="s">
        <v>11422</v>
      </c>
      <c r="P341" t="s">
        <v>11422</v>
      </c>
    </row>
    <row r="342" spans="1:16" x14ac:dyDescent="0.25">
      <c r="A342" t="s">
        <v>3107</v>
      </c>
      <c r="B342">
        <v>475</v>
      </c>
      <c r="C342" t="s">
        <v>12026</v>
      </c>
      <c r="D342" s="27">
        <v>7.25</v>
      </c>
      <c r="E342" t="s">
        <v>6684</v>
      </c>
      <c r="F342" s="18">
        <v>41977</v>
      </c>
      <c r="G342" s="34">
        <v>350</v>
      </c>
      <c r="H342" s="18">
        <v>41992</v>
      </c>
      <c r="I342" s="23" t="s">
        <v>11422</v>
      </c>
      <c r="L342" s="23" t="s">
        <v>11422</v>
      </c>
      <c r="O342" s="30" t="s">
        <v>11422</v>
      </c>
      <c r="P342" t="s">
        <v>11422</v>
      </c>
    </row>
    <row r="343" spans="1:16" x14ac:dyDescent="0.25">
      <c r="A343" t="s">
        <v>23</v>
      </c>
      <c r="B343">
        <v>255</v>
      </c>
      <c r="C343" t="s">
        <v>12029</v>
      </c>
      <c r="D343" s="27">
        <v>8.5</v>
      </c>
      <c r="E343" t="s">
        <v>7947</v>
      </c>
      <c r="F343" s="18">
        <v>41977</v>
      </c>
      <c r="G343" s="34">
        <v>350</v>
      </c>
      <c r="H343" s="18">
        <v>41992</v>
      </c>
      <c r="I343" s="23" t="s">
        <v>11422</v>
      </c>
      <c r="L343" s="23" t="s">
        <v>11422</v>
      </c>
      <c r="O343" s="30" t="s">
        <v>11422</v>
      </c>
      <c r="P343" t="s">
        <v>11422</v>
      </c>
    </row>
    <row r="344" spans="1:16" x14ac:dyDescent="0.25">
      <c r="A344" t="s">
        <v>2938</v>
      </c>
      <c r="B344">
        <v>389</v>
      </c>
      <c r="C344" t="s">
        <v>12034</v>
      </c>
      <c r="D344" s="27">
        <v>2.75</v>
      </c>
      <c r="E344" t="s">
        <v>8229</v>
      </c>
      <c r="F344" s="18">
        <v>41977</v>
      </c>
      <c r="G344" s="34">
        <v>350</v>
      </c>
      <c r="H344" s="18">
        <v>41992</v>
      </c>
      <c r="I344" s="23" t="s">
        <v>11422</v>
      </c>
      <c r="L344" s="23" t="s">
        <v>11422</v>
      </c>
      <c r="O344" s="30" t="s">
        <v>11422</v>
      </c>
      <c r="P344" t="s">
        <v>11422</v>
      </c>
    </row>
    <row r="345" spans="1:16" x14ac:dyDescent="0.25">
      <c r="A345" t="s">
        <v>11428</v>
      </c>
      <c r="B345">
        <v>860</v>
      </c>
      <c r="C345" t="s">
        <v>12023</v>
      </c>
      <c r="D345" s="27">
        <v>7.25</v>
      </c>
      <c r="E345" t="s">
        <v>5101</v>
      </c>
      <c r="F345" s="18">
        <v>41977</v>
      </c>
      <c r="G345" s="34">
        <v>450</v>
      </c>
      <c r="H345" s="18">
        <v>41992</v>
      </c>
      <c r="I345" s="23" t="s">
        <v>11422</v>
      </c>
      <c r="L345" s="23" t="s">
        <v>11422</v>
      </c>
      <c r="O345" s="30" t="s">
        <v>11422</v>
      </c>
      <c r="P345" t="s">
        <v>11422</v>
      </c>
    </row>
    <row r="346" spans="1:16" x14ac:dyDescent="0.25">
      <c r="A346" t="s">
        <v>11428</v>
      </c>
      <c r="B346">
        <v>860</v>
      </c>
      <c r="C346" t="s">
        <v>282</v>
      </c>
      <c r="D346" s="27">
        <v>8.25</v>
      </c>
      <c r="E346" t="s">
        <v>9213</v>
      </c>
      <c r="F346" s="18">
        <v>41977</v>
      </c>
      <c r="G346" s="34">
        <v>450</v>
      </c>
      <c r="H346" s="18">
        <v>41992</v>
      </c>
      <c r="I346" s="23" t="s">
        <v>11422</v>
      </c>
      <c r="L346" s="23" t="s">
        <v>11422</v>
      </c>
      <c r="O346" s="30" t="s">
        <v>11422</v>
      </c>
      <c r="P346" t="s">
        <v>11422</v>
      </c>
    </row>
    <row r="347" spans="1:16" x14ac:dyDescent="0.25">
      <c r="A347" t="s">
        <v>2767</v>
      </c>
      <c r="B347">
        <v>302</v>
      </c>
      <c r="C347" t="s">
        <v>12022</v>
      </c>
      <c r="D347" s="27">
        <v>13.5</v>
      </c>
      <c r="E347" t="s">
        <v>5066</v>
      </c>
      <c r="F347" s="18">
        <v>41977</v>
      </c>
      <c r="G347" s="34">
        <v>250</v>
      </c>
      <c r="H347" s="18">
        <v>41999</v>
      </c>
      <c r="I347" s="23" t="s">
        <v>11422</v>
      </c>
      <c r="L347" s="23" t="s">
        <v>11422</v>
      </c>
      <c r="O347" s="30" t="s">
        <v>11422</v>
      </c>
      <c r="P347" t="s">
        <v>11422</v>
      </c>
    </row>
    <row r="348" spans="1:16" x14ac:dyDescent="0.25">
      <c r="A348" t="s">
        <v>3435</v>
      </c>
      <c r="B348">
        <v>646</v>
      </c>
      <c r="C348" t="s">
        <v>12019</v>
      </c>
      <c r="D348" s="27">
        <v>8.25</v>
      </c>
      <c r="E348" t="s">
        <v>4126</v>
      </c>
      <c r="F348" s="18">
        <v>41977</v>
      </c>
      <c r="I348" s="23" t="s">
        <v>11422</v>
      </c>
      <c r="L348" s="23" t="s">
        <v>11422</v>
      </c>
      <c r="O348" s="30" t="s">
        <v>11422</v>
      </c>
      <c r="P348" t="s">
        <v>11422</v>
      </c>
    </row>
    <row r="349" spans="1:16" x14ac:dyDescent="0.25">
      <c r="A349" t="s">
        <v>2938</v>
      </c>
      <c r="B349">
        <v>389</v>
      </c>
      <c r="C349" t="s">
        <v>12021</v>
      </c>
      <c r="D349" s="27">
        <v>7.75</v>
      </c>
      <c r="E349" t="s">
        <v>4572</v>
      </c>
      <c r="F349" s="18">
        <v>41977</v>
      </c>
      <c r="I349" s="23" t="s">
        <v>11422</v>
      </c>
      <c r="L349" s="23" t="s">
        <v>11422</v>
      </c>
      <c r="O349" s="30" t="s">
        <v>11422</v>
      </c>
      <c r="P349" t="s">
        <v>11422</v>
      </c>
    </row>
    <row r="350" spans="1:16" x14ac:dyDescent="0.25">
      <c r="A350" t="s">
        <v>11428</v>
      </c>
      <c r="B350">
        <v>860</v>
      </c>
      <c r="C350" t="s">
        <v>12023</v>
      </c>
      <c r="D350" s="27">
        <v>4.75</v>
      </c>
      <c r="E350" t="s">
        <v>5102</v>
      </c>
      <c r="F350" s="18">
        <v>41977</v>
      </c>
      <c r="I350" s="23" t="s">
        <v>11422</v>
      </c>
      <c r="L350" s="23" t="s">
        <v>11422</v>
      </c>
      <c r="O350" s="30" t="s">
        <v>11422</v>
      </c>
      <c r="P350" t="s">
        <v>11422</v>
      </c>
    </row>
    <row r="351" spans="1:16" x14ac:dyDescent="0.25">
      <c r="A351" t="s">
        <v>2704</v>
      </c>
      <c r="B351">
        <v>268</v>
      </c>
      <c r="C351" t="s">
        <v>12025</v>
      </c>
      <c r="D351" s="27">
        <v>4.75</v>
      </c>
      <c r="E351" t="s">
        <v>6421</v>
      </c>
      <c r="F351" s="18">
        <v>41977</v>
      </c>
      <c r="I351" s="23" t="s">
        <v>11422</v>
      </c>
      <c r="L351" s="23" t="s">
        <v>11422</v>
      </c>
      <c r="O351" s="30" t="s">
        <v>11422</v>
      </c>
      <c r="P351" t="s">
        <v>11422</v>
      </c>
    </row>
    <row r="352" spans="1:16" x14ac:dyDescent="0.25">
      <c r="A352" t="s">
        <v>3747</v>
      </c>
      <c r="B352">
        <v>807</v>
      </c>
      <c r="C352" t="s">
        <v>11824</v>
      </c>
      <c r="D352" s="27">
        <v>6.375</v>
      </c>
      <c r="E352" t="s">
        <v>6599</v>
      </c>
      <c r="F352" s="18">
        <v>41977</v>
      </c>
      <c r="I352" s="23" t="s">
        <v>11422</v>
      </c>
      <c r="L352" s="23" t="s">
        <v>11422</v>
      </c>
      <c r="O352" s="30" t="s">
        <v>11422</v>
      </c>
      <c r="P352" t="s">
        <v>11422</v>
      </c>
    </row>
    <row r="353" spans="1:16" x14ac:dyDescent="0.25">
      <c r="A353" t="s">
        <v>3569</v>
      </c>
      <c r="B353">
        <v>715</v>
      </c>
      <c r="C353" t="s">
        <v>12028</v>
      </c>
      <c r="D353" s="27">
        <v>9.69</v>
      </c>
      <c r="E353" t="s">
        <v>2219</v>
      </c>
      <c r="F353" s="18">
        <v>41977</v>
      </c>
      <c r="I353" s="23" t="s">
        <v>11422</v>
      </c>
      <c r="L353" s="23" t="s">
        <v>11422</v>
      </c>
      <c r="O353" s="30" t="s">
        <v>11422</v>
      </c>
      <c r="P353" t="s">
        <v>11422</v>
      </c>
    </row>
    <row r="354" spans="1:16" x14ac:dyDescent="0.25">
      <c r="A354" t="s">
        <v>3003</v>
      </c>
      <c r="B354">
        <v>422</v>
      </c>
      <c r="C354" t="s">
        <v>12030</v>
      </c>
      <c r="D354" s="27">
        <v>7.75</v>
      </c>
      <c r="E354" t="s">
        <v>7988</v>
      </c>
      <c r="F354" s="18">
        <v>41977</v>
      </c>
      <c r="I354" s="23" t="s">
        <v>11422</v>
      </c>
      <c r="L354" s="23" t="s">
        <v>11422</v>
      </c>
      <c r="O354" s="30" t="s">
        <v>11422</v>
      </c>
      <c r="P354" t="s">
        <v>11422</v>
      </c>
    </row>
    <row r="355" spans="1:16" x14ac:dyDescent="0.25">
      <c r="A355" t="s">
        <v>3635</v>
      </c>
      <c r="B355">
        <v>750</v>
      </c>
      <c r="C355" t="s">
        <v>12033</v>
      </c>
      <c r="D355" s="27">
        <v>3.5</v>
      </c>
      <c r="E355" t="s">
        <v>8147</v>
      </c>
      <c r="F355" s="18">
        <v>41977</v>
      </c>
      <c r="I355" s="23" t="s">
        <v>11422</v>
      </c>
      <c r="L355" s="23" t="s">
        <v>11422</v>
      </c>
      <c r="O355" s="30" t="s">
        <v>11422</v>
      </c>
      <c r="P355" t="s">
        <v>11422</v>
      </c>
    </row>
    <row r="356" spans="1:16" x14ac:dyDescent="0.25">
      <c r="A356" t="s">
        <v>2767</v>
      </c>
      <c r="B356">
        <v>302</v>
      </c>
      <c r="C356" t="s">
        <v>12035</v>
      </c>
      <c r="D356" s="27">
        <v>9.75</v>
      </c>
      <c r="E356" t="s">
        <v>9514</v>
      </c>
      <c r="F356" s="18">
        <v>41977</v>
      </c>
      <c r="I356" s="23" t="s">
        <v>11422</v>
      </c>
      <c r="L356" s="23" t="s">
        <v>11422</v>
      </c>
      <c r="O356" s="30" t="s">
        <v>11422</v>
      </c>
      <c r="P356" t="s">
        <v>11422</v>
      </c>
    </row>
    <row r="357" spans="1:16" x14ac:dyDescent="0.25">
      <c r="A357" t="s">
        <v>3759</v>
      </c>
      <c r="B357">
        <v>813</v>
      </c>
      <c r="C357" t="s">
        <v>11820</v>
      </c>
      <c r="D357" s="27">
        <v>7</v>
      </c>
      <c r="E357" t="s">
        <v>10222</v>
      </c>
      <c r="F357" s="18">
        <v>41977</v>
      </c>
      <c r="I357" s="23" t="s">
        <v>11422</v>
      </c>
      <c r="L357" s="23" t="s">
        <v>11422</v>
      </c>
      <c r="O357" s="30" t="s">
        <v>11422</v>
      </c>
      <c r="P357" t="s">
        <v>11422</v>
      </c>
    </row>
    <row r="358" spans="1:16" x14ac:dyDescent="0.25">
      <c r="A358" t="s">
        <v>2938</v>
      </c>
      <c r="B358">
        <v>389</v>
      </c>
      <c r="C358" t="s">
        <v>12017</v>
      </c>
      <c r="D358" s="27">
        <v>7.25</v>
      </c>
      <c r="E358" t="s">
        <v>10604</v>
      </c>
      <c r="F358" s="18">
        <v>41978</v>
      </c>
      <c r="G358" s="34">
        <v>350</v>
      </c>
      <c r="H358" s="18">
        <v>41992</v>
      </c>
      <c r="I358" s="23" t="s">
        <v>11422</v>
      </c>
      <c r="L358" s="23" t="s">
        <v>11422</v>
      </c>
      <c r="O358" s="30" t="s">
        <v>11422</v>
      </c>
      <c r="P358" t="s">
        <v>11422</v>
      </c>
    </row>
    <row r="359" spans="1:16" x14ac:dyDescent="0.25">
      <c r="A359" t="s">
        <v>8673</v>
      </c>
      <c r="B359">
        <v>856</v>
      </c>
      <c r="C359" t="s">
        <v>12005</v>
      </c>
      <c r="D359" s="27">
        <v>11</v>
      </c>
      <c r="E359" t="s">
        <v>4722</v>
      </c>
      <c r="F359" s="18">
        <v>41978</v>
      </c>
      <c r="I359" s="23" t="s">
        <v>11422</v>
      </c>
      <c r="L359" s="23" t="s">
        <v>11422</v>
      </c>
      <c r="O359" s="30" t="s">
        <v>11422</v>
      </c>
      <c r="P359" t="s">
        <v>11422</v>
      </c>
    </row>
    <row r="360" spans="1:16" x14ac:dyDescent="0.25">
      <c r="A360" t="s">
        <v>3588</v>
      </c>
      <c r="B360">
        <v>725</v>
      </c>
      <c r="C360" t="s">
        <v>12007</v>
      </c>
      <c r="D360" s="27">
        <v>8.75</v>
      </c>
      <c r="E360" t="s">
        <v>5159</v>
      </c>
      <c r="F360" s="18">
        <v>41978</v>
      </c>
      <c r="I360" s="23" t="s">
        <v>11422</v>
      </c>
      <c r="L360" s="23" t="s">
        <v>11422</v>
      </c>
      <c r="O360" s="30" t="s">
        <v>11422</v>
      </c>
      <c r="P360" t="s">
        <v>11422</v>
      </c>
    </row>
    <row r="361" spans="1:16" x14ac:dyDescent="0.25">
      <c r="A361" t="s">
        <v>2938</v>
      </c>
      <c r="B361">
        <v>389</v>
      </c>
      <c r="C361" t="s">
        <v>12010</v>
      </c>
      <c r="D361" s="27">
        <v>7.75</v>
      </c>
      <c r="E361" t="s">
        <v>6883</v>
      </c>
      <c r="F361" s="18">
        <v>41978</v>
      </c>
      <c r="I361" s="23" t="s">
        <v>11422</v>
      </c>
      <c r="L361" s="23" t="s">
        <v>11422</v>
      </c>
      <c r="O361" s="30" t="s">
        <v>11422</v>
      </c>
      <c r="P361" t="s">
        <v>11422</v>
      </c>
    </row>
    <row r="362" spans="1:16" x14ac:dyDescent="0.25">
      <c r="A362" t="s">
        <v>3494</v>
      </c>
      <c r="B362">
        <v>676</v>
      </c>
      <c r="C362" t="s">
        <v>11826</v>
      </c>
      <c r="D362" s="27">
        <v>4.335</v>
      </c>
      <c r="E362" t="s">
        <v>7171</v>
      </c>
      <c r="F362" s="18">
        <v>41978</v>
      </c>
      <c r="I362" s="23" t="s">
        <v>11422</v>
      </c>
      <c r="L362" s="23" t="s">
        <v>11422</v>
      </c>
      <c r="O362" s="30" t="s">
        <v>11422</v>
      </c>
      <c r="P362" t="s">
        <v>11422</v>
      </c>
    </row>
    <row r="363" spans="1:16" x14ac:dyDescent="0.25">
      <c r="A363" t="s">
        <v>3733</v>
      </c>
      <c r="B363">
        <v>800</v>
      </c>
      <c r="C363" t="s">
        <v>11825</v>
      </c>
      <c r="D363" s="27">
        <v>3.8250000000000002</v>
      </c>
      <c r="E363" t="s">
        <v>8218</v>
      </c>
      <c r="F363" s="18">
        <v>41978</v>
      </c>
      <c r="I363" s="23" t="s">
        <v>11422</v>
      </c>
      <c r="L363" s="23" t="s">
        <v>11422</v>
      </c>
      <c r="O363" s="30" t="s">
        <v>11422</v>
      </c>
      <c r="P363" t="s">
        <v>11422</v>
      </c>
    </row>
    <row r="364" spans="1:16" x14ac:dyDescent="0.25">
      <c r="A364" t="s">
        <v>3557</v>
      </c>
      <c r="B364">
        <v>708</v>
      </c>
      <c r="C364" t="s">
        <v>12013</v>
      </c>
      <c r="D364" s="27">
        <v>6.75</v>
      </c>
      <c r="E364" t="s">
        <v>9772</v>
      </c>
      <c r="F364" s="18">
        <v>41978</v>
      </c>
      <c r="I364" s="23" t="s">
        <v>11422</v>
      </c>
      <c r="L364" s="23" t="s">
        <v>11422</v>
      </c>
      <c r="O364" s="30" t="s">
        <v>11422</v>
      </c>
      <c r="P364" t="s">
        <v>11422</v>
      </c>
    </row>
    <row r="365" spans="1:16" x14ac:dyDescent="0.25">
      <c r="A365" t="s">
        <v>2592</v>
      </c>
      <c r="B365">
        <v>205</v>
      </c>
      <c r="C365" t="s">
        <v>12015</v>
      </c>
      <c r="D365" s="27">
        <v>5.25</v>
      </c>
      <c r="E365" t="s">
        <v>10477</v>
      </c>
      <c r="F365" s="18">
        <v>41978</v>
      </c>
      <c r="I365" s="23" t="s">
        <v>11422</v>
      </c>
      <c r="L365" s="23" t="s">
        <v>11422</v>
      </c>
      <c r="O365" s="30" t="s">
        <v>11422</v>
      </c>
      <c r="P365" t="s">
        <v>11422</v>
      </c>
    </row>
    <row r="366" spans="1:16" x14ac:dyDescent="0.25">
      <c r="A366" t="s">
        <v>3345</v>
      </c>
      <c r="B366">
        <v>599</v>
      </c>
      <c r="C366" t="s">
        <v>11983</v>
      </c>
      <c r="D366" s="27">
        <v>9</v>
      </c>
      <c r="E366" t="s">
        <v>6074</v>
      </c>
      <c r="F366" s="18">
        <v>41979</v>
      </c>
      <c r="G366" s="34">
        <v>250</v>
      </c>
      <c r="H366" s="18">
        <v>41992</v>
      </c>
      <c r="I366" s="23" t="s">
        <v>11422</v>
      </c>
      <c r="L366" s="23" t="s">
        <v>11422</v>
      </c>
      <c r="O366" s="30" t="s">
        <v>11422</v>
      </c>
      <c r="P366" t="s">
        <v>11422</v>
      </c>
    </row>
    <row r="367" spans="1:16" x14ac:dyDescent="0.25">
      <c r="A367" t="s">
        <v>2588</v>
      </c>
      <c r="B367">
        <v>203</v>
      </c>
      <c r="C367" t="s">
        <v>11993</v>
      </c>
      <c r="D367" s="27">
        <v>10.5</v>
      </c>
      <c r="E367" t="s">
        <v>8252</v>
      </c>
      <c r="F367" s="18">
        <v>41979</v>
      </c>
      <c r="G367" s="34">
        <v>250</v>
      </c>
      <c r="H367" s="18">
        <v>41992</v>
      </c>
      <c r="I367" s="23" t="s">
        <v>11422</v>
      </c>
      <c r="L367" s="23" t="s">
        <v>11422</v>
      </c>
      <c r="O367" s="30" t="s">
        <v>11422</v>
      </c>
      <c r="P367" t="s">
        <v>11422</v>
      </c>
    </row>
    <row r="368" spans="1:16" x14ac:dyDescent="0.25">
      <c r="A368" t="s">
        <v>23</v>
      </c>
      <c r="B368">
        <v>255</v>
      </c>
      <c r="C368" t="s">
        <v>11987</v>
      </c>
      <c r="D368" s="27">
        <v>5.5</v>
      </c>
      <c r="E368" t="s">
        <v>6477</v>
      </c>
      <c r="F368" s="18">
        <v>41979</v>
      </c>
      <c r="G368" s="34">
        <v>350</v>
      </c>
      <c r="H368" s="18">
        <v>41992</v>
      </c>
      <c r="I368" s="23" t="s">
        <v>11422</v>
      </c>
      <c r="L368" s="23" t="s">
        <v>11422</v>
      </c>
      <c r="O368" s="30" t="s">
        <v>11422</v>
      </c>
      <c r="P368" t="s">
        <v>11422</v>
      </c>
    </row>
    <row r="369" spans="1:16" x14ac:dyDescent="0.25">
      <c r="A369" t="s">
        <v>11428</v>
      </c>
      <c r="B369">
        <v>860</v>
      </c>
      <c r="C369" t="s">
        <v>11979</v>
      </c>
      <c r="D369" s="27">
        <v>7.75</v>
      </c>
      <c r="E369" t="s">
        <v>4656</v>
      </c>
      <c r="F369" s="18">
        <v>41979</v>
      </c>
      <c r="I369" s="23" t="s">
        <v>11422</v>
      </c>
      <c r="L369" s="23" t="s">
        <v>11422</v>
      </c>
      <c r="O369" s="30" t="s">
        <v>11422</v>
      </c>
      <c r="P369" t="s">
        <v>11422</v>
      </c>
    </row>
    <row r="370" spans="1:16" x14ac:dyDescent="0.25">
      <c r="A370" t="s">
        <v>3486</v>
      </c>
      <c r="B370">
        <v>672</v>
      </c>
      <c r="C370" t="s">
        <v>11986</v>
      </c>
      <c r="D370" s="27">
        <v>7.75</v>
      </c>
      <c r="E370" t="s">
        <v>6472</v>
      </c>
      <c r="F370" s="18">
        <v>41979</v>
      </c>
      <c r="I370" s="23" t="s">
        <v>11422</v>
      </c>
      <c r="L370" s="23" t="s">
        <v>11422</v>
      </c>
      <c r="O370" s="30" t="s">
        <v>11422</v>
      </c>
      <c r="P370" t="s">
        <v>11422</v>
      </c>
    </row>
    <row r="371" spans="1:16" x14ac:dyDescent="0.25">
      <c r="A371" t="s">
        <v>11427</v>
      </c>
      <c r="B371">
        <v>831</v>
      </c>
      <c r="C371" t="s">
        <v>11990</v>
      </c>
      <c r="D371" s="27">
        <v>4.75</v>
      </c>
      <c r="E371" t="s">
        <v>7544</v>
      </c>
      <c r="F371" s="18">
        <v>41979</v>
      </c>
      <c r="I371" s="23" t="s">
        <v>11422</v>
      </c>
      <c r="L371" s="23" t="s">
        <v>11422</v>
      </c>
      <c r="O371" s="30" t="s">
        <v>11422</v>
      </c>
      <c r="P371" t="s">
        <v>11422</v>
      </c>
    </row>
    <row r="372" spans="1:16" x14ac:dyDescent="0.25">
      <c r="A372" t="s">
        <v>1007</v>
      </c>
      <c r="B372">
        <v>703</v>
      </c>
      <c r="C372" t="s">
        <v>11830</v>
      </c>
      <c r="D372" s="27">
        <v>11.22</v>
      </c>
      <c r="E372" t="s">
        <v>8774</v>
      </c>
      <c r="F372" s="18">
        <v>41979</v>
      </c>
      <c r="I372" s="23" t="s">
        <v>11422</v>
      </c>
      <c r="L372" s="23" t="s">
        <v>11422</v>
      </c>
      <c r="O372" s="30" t="s">
        <v>11422</v>
      </c>
      <c r="P372" t="s">
        <v>11422</v>
      </c>
    </row>
    <row r="373" spans="1:16" x14ac:dyDescent="0.25">
      <c r="A373" t="s">
        <v>2252</v>
      </c>
      <c r="B373">
        <v>28</v>
      </c>
      <c r="C373" t="s">
        <v>11831</v>
      </c>
      <c r="D373" s="27">
        <v>5.5</v>
      </c>
      <c r="E373" t="s">
        <v>8865</v>
      </c>
      <c r="F373" s="18">
        <v>41979</v>
      </c>
      <c r="I373" s="23" t="s">
        <v>11422</v>
      </c>
      <c r="L373" s="23" t="s">
        <v>11422</v>
      </c>
      <c r="O373" s="30" t="s">
        <v>11422</v>
      </c>
      <c r="P373" t="s">
        <v>11422</v>
      </c>
    </row>
    <row r="374" spans="1:16" x14ac:dyDescent="0.25">
      <c r="A374" t="s">
        <v>2938</v>
      </c>
      <c r="B374">
        <v>389</v>
      </c>
      <c r="C374" t="s">
        <v>11997</v>
      </c>
      <c r="D374" s="27">
        <v>7.75</v>
      </c>
      <c r="E374" t="s">
        <v>9004</v>
      </c>
      <c r="F374" s="18">
        <v>41979</v>
      </c>
      <c r="I374" s="23" t="s">
        <v>11422</v>
      </c>
      <c r="L374" s="23" t="s">
        <v>11422</v>
      </c>
      <c r="O374" s="30" t="s">
        <v>11422</v>
      </c>
      <c r="P374" t="s">
        <v>11422</v>
      </c>
    </row>
    <row r="375" spans="1:16" x14ac:dyDescent="0.25">
      <c r="A375" t="s">
        <v>3759</v>
      </c>
      <c r="B375">
        <v>813</v>
      </c>
      <c r="C375" t="s">
        <v>11999</v>
      </c>
      <c r="D375" s="27">
        <v>7.25</v>
      </c>
      <c r="E375" t="s">
        <v>9282</v>
      </c>
      <c r="F375" s="18">
        <v>41979</v>
      </c>
      <c r="I375" s="23" t="s">
        <v>11422</v>
      </c>
      <c r="L375" s="23" t="s">
        <v>11422</v>
      </c>
      <c r="O375" s="30" t="s">
        <v>11422</v>
      </c>
      <c r="P375" t="s">
        <v>11422</v>
      </c>
    </row>
    <row r="376" spans="1:16" x14ac:dyDescent="0.25">
      <c r="A376" t="s">
        <v>2276</v>
      </c>
      <c r="B376">
        <v>40</v>
      </c>
      <c r="C376" t="s">
        <v>12000</v>
      </c>
      <c r="D376" s="27">
        <v>7.65</v>
      </c>
      <c r="E376" t="s">
        <v>9317</v>
      </c>
      <c r="F376" s="18">
        <v>41979</v>
      </c>
      <c r="I376" s="23" t="s">
        <v>11422</v>
      </c>
      <c r="L376" s="23" t="s">
        <v>11422</v>
      </c>
      <c r="O376" s="30" t="s">
        <v>11422</v>
      </c>
      <c r="P376" t="s">
        <v>11422</v>
      </c>
    </row>
    <row r="377" spans="1:16" x14ac:dyDescent="0.25">
      <c r="A377" t="s">
        <v>3377</v>
      </c>
      <c r="B377">
        <v>616</v>
      </c>
      <c r="C377" t="s">
        <v>12003</v>
      </c>
      <c r="D377" s="27">
        <v>5.61</v>
      </c>
      <c r="E377" t="s">
        <v>11137</v>
      </c>
      <c r="F377" s="18">
        <v>41979</v>
      </c>
      <c r="I377" s="23" t="s">
        <v>11422</v>
      </c>
      <c r="L377" s="23" t="s">
        <v>11422</v>
      </c>
      <c r="O377" s="30" t="s">
        <v>11422</v>
      </c>
      <c r="P377" t="s">
        <v>11422</v>
      </c>
    </row>
    <row r="378" spans="1:16" x14ac:dyDescent="0.25">
      <c r="A378" t="s">
        <v>3460</v>
      </c>
      <c r="B378">
        <v>659</v>
      </c>
      <c r="C378" t="s">
        <v>12004</v>
      </c>
      <c r="D378" s="27">
        <v>16</v>
      </c>
      <c r="E378" t="s">
        <v>11182</v>
      </c>
      <c r="F378" s="18">
        <v>41979</v>
      </c>
      <c r="I378" s="23" t="s">
        <v>11422</v>
      </c>
      <c r="L378" s="23" t="s">
        <v>11422</v>
      </c>
      <c r="O378" s="30" t="s">
        <v>11422</v>
      </c>
      <c r="P378" t="s">
        <v>11422</v>
      </c>
    </row>
    <row r="379" spans="1:16" x14ac:dyDescent="0.25">
      <c r="A379" t="s">
        <v>23</v>
      </c>
      <c r="B379">
        <v>255</v>
      </c>
      <c r="C379" t="s">
        <v>11973</v>
      </c>
      <c r="D379" s="27">
        <v>7.75</v>
      </c>
      <c r="E379" t="s">
        <v>5255</v>
      </c>
      <c r="F379" s="18">
        <v>41980</v>
      </c>
      <c r="G379" s="34">
        <v>350</v>
      </c>
      <c r="H379" s="18">
        <v>41992</v>
      </c>
      <c r="I379" s="23" t="s">
        <v>11422</v>
      </c>
      <c r="L379" s="23" t="s">
        <v>11422</v>
      </c>
      <c r="O379" s="30" t="s">
        <v>11422</v>
      </c>
      <c r="P379" t="s">
        <v>11422</v>
      </c>
    </row>
    <row r="380" spans="1:16" x14ac:dyDescent="0.25">
      <c r="A380" t="s">
        <v>3747</v>
      </c>
      <c r="B380">
        <v>807</v>
      </c>
      <c r="C380" t="s">
        <v>11838</v>
      </c>
      <c r="D380" s="27">
        <v>4.335</v>
      </c>
      <c r="E380" t="s">
        <v>11578</v>
      </c>
      <c r="F380" s="18">
        <v>41981</v>
      </c>
      <c r="G380" s="34">
        <v>250</v>
      </c>
      <c r="H380" s="18">
        <v>41999</v>
      </c>
      <c r="I380" s="23" t="s">
        <v>11422</v>
      </c>
      <c r="L380" s="23" t="s">
        <v>11422</v>
      </c>
      <c r="O380" s="30" t="s">
        <v>11422</v>
      </c>
      <c r="P380" t="s">
        <v>11422</v>
      </c>
    </row>
    <row r="381" spans="1:16" x14ac:dyDescent="0.25">
      <c r="A381" t="s">
        <v>11454</v>
      </c>
      <c r="B381">
        <v>857</v>
      </c>
      <c r="C381" t="s">
        <v>11840</v>
      </c>
      <c r="D381" s="27">
        <v>3.75</v>
      </c>
      <c r="E381" t="s">
        <v>11548</v>
      </c>
      <c r="F381" s="18">
        <v>41981</v>
      </c>
      <c r="I381" s="23" t="s">
        <v>11422</v>
      </c>
      <c r="L381" s="23" t="s">
        <v>11422</v>
      </c>
      <c r="O381" s="30" t="s">
        <v>11422</v>
      </c>
      <c r="P381" t="s">
        <v>11422</v>
      </c>
    </row>
    <row r="382" spans="1:16" x14ac:dyDescent="0.25">
      <c r="A382" t="s">
        <v>3003</v>
      </c>
      <c r="B382">
        <v>422</v>
      </c>
      <c r="C382" t="s">
        <v>11967</v>
      </c>
      <c r="D382" s="27">
        <v>11.25</v>
      </c>
      <c r="E382" t="s">
        <v>11552</v>
      </c>
      <c r="F382" s="18">
        <v>41981</v>
      </c>
      <c r="I382" s="23" t="s">
        <v>11422</v>
      </c>
      <c r="L382" s="23" t="s">
        <v>11422</v>
      </c>
      <c r="O382" s="30" t="s">
        <v>11422</v>
      </c>
      <c r="P382" t="s">
        <v>11422</v>
      </c>
    </row>
    <row r="383" spans="1:16" x14ac:dyDescent="0.25">
      <c r="A383" t="s">
        <v>3747</v>
      </c>
      <c r="B383">
        <v>807</v>
      </c>
      <c r="C383" t="s">
        <v>11847</v>
      </c>
      <c r="D383" s="27">
        <v>6</v>
      </c>
      <c r="E383" t="s">
        <v>11614</v>
      </c>
      <c r="F383" s="18">
        <v>41981</v>
      </c>
      <c r="I383" s="23" t="s">
        <v>11422</v>
      </c>
      <c r="L383" s="23" t="s">
        <v>11422</v>
      </c>
      <c r="O383" s="30" t="s">
        <v>11422</v>
      </c>
      <c r="P383" t="s">
        <v>11422</v>
      </c>
    </row>
    <row r="384" spans="1:16" x14ac:dyDescent="0.25">
      <c r="A384" t="s">
        <v>2890</v>
      </c>
      <c r="B384">
        <v>365</v>
      </c>
      <c r="C384" t="s">
        <v>11845</v>
      </c>
      <c r="D384" s="27">
        <v>4.75</v>
      </c>
      <c r="E384" t="s">
        <v>11653</v>
      </c>
      <c r="F384" s="18">
        <v>41981</v>
      </c>
      <c r="I384" s="23" t="s">
        <v>11422</v>
      </c>
      <c r="L384" s="23" t="s">
        <v>11422</v>
      </c>
      <c r="O384" s="30" t="s">
        <v>11422</v>
      </c>
      <c r="P384" t="s">
        <v>11422</v>
      </c>
    </row>
    <row r="385" spans="1:16" x14ac:dyDescent="0.25">
      <c r="A385" t="s">
        <v>1007</v>
      </c>
      <c r="B385">
        <v>703</v>
      </c>
      <c r="C385" t="s">
        <v>11968</v>
      </c>
      <c r="D385" s="27">
        <v>6.12</v>
      </c>
      <c r="E385" t="s">
        <v>11675</v>
      </c>
      <c r="F385" s="18">
        <v>41981</v>
      </c>
      <c r="I385" s="23" t="s">
        <v>11422</v>
      </c>
      <c r="L385" s="23" t="s">
        <v>11422</v>
      </c>
      <c r="O385" s="30" t="s">
        <v>11422</v>
      </c>
      <c r="P385" t="s">
        <v>11422</v>
      </c>
    </row>
    <row r="386" spans="1:16" x14ac:dyDescent="0.25">
      <c r="A386" t="s">
        <v>1007</v>
      </c>
      <c r="B386">
        <v>703</v>
      </c>
      <c r="C386" t="s">
        <v>11969</v>
      </c>
      <c r="D386" s="27">
        <v>4.335</v>
      </c>
      <c r="E386" t="s">
        <v>11678</v>
      </c>
      <c r="F386" s="18">
        <v>41981</v>
      </c>
      <c r="I386" s="23" t="s">
        <v>11422</v>
      </c>
      <c r="L386" s="23" t="s">
        <v>11422</v>
      </c>
      <c r="O386" s="30" t="s">
        <v>11422</v>
      </c>
      <c r="P386" t="s">
        <v>11422</v>
      </c>
    </row>
    <row r="387" spans="1:16" x14ac:dyDescent="0.25">
      <c r="A387" t="s">
        <v>3747</v>
      </c>
      <c r="B387">
        <v>807</v>
      </c>
      <c r="C387" t="s">
        <v>11837</v>
      </c>
      <c r="D387" s="27">
        <v>3.75</v>
      </c>
      <c r="E387" t="s">
        <v>11721</v>
      </c>
      <c r="F387" s="18">
        <v>41981</v>
      </c>
      <c r="I387" s="23" t="s">
        <v>11422</v>
      </c>
      <c r="L387" s="23" t="s">
        <v>11422</v>
      </c>
      <c r="O387" s="30" t="s">
        <v>11422</v>
      </c>
      <c r="P387" t="s">
        <v>11422</v>
      </c>
    </row>
    <row r="388" spans="1:16" x14ac:dyDescent="0.25">
      <c r="A388" t="s">
        <v>3830</v>
      </c>
      <c r="B388">
        <v>261</v>
      </c>
      <c r="C388" t="s">
        <v>11971</v>
      </c>
      <c r="D388" s="27">
        <v>7.5</v>
      </c>
      <c r="E388" t="s">
        <v>11757</v>
      </c>
      <c r="F388" s="18">
        <v>41981</v>
      </c>
      <c r="I388" s="23" t="s">
        <v>11422</v>
      </c>
      <c r="L388" s="23" t="s">
        <v>11422</v>
      </c>
      <c r="O388" s="30" t="s">
        <v>11422</v>
      </c>
      <c r="P388" t="s">
        <v>11422</v>
      </c>
    </row>
    <row r="389" spans="1:16" x14ac:dyDescent="0.25">
      <c r="A389" t="s">
        <v>11454</v>
      </c>
      <c r="B389">
        <v>857</v>
      </c>
      <c r="C389" t="s">
        <v>11841</v>
      </c>
      <c r="D389" s="27">
        <v>6</v>
      </c>
      <c r="E389" t="s">
        <v>11803</v>
      </c>
      <c r="F389" s="18">
        <v>41981</v>
      </c>
      <c r="I389" s="23" t="s">
        <v>11422</v>
      </c>
      <c r="L389" s="23" t="s">
        <v>11422</v>
      </c>
      <c r="O389" s="30" t="s">
        <v>11422</v>
      </c>
      <c r="P389" t="s">
        <v>11422</v>
      </c>
    </row>
    <row r="390" spans="1:16" x14ac:dyDescent="0.25">
      <c r="A390" t="s">
        <v>3435</v>
      </c>
      <c r="B390">
        <v>646</v>
      </c>
      <c r="C390" t="s">
        <v>11963</v>
      </c>
      <c r="D390" s="27">
        <v>2</v>
      </c>
      <c r="E390" t="s">
        <v>11591</v>
      </c>
      <c r="F390" s="18">
        <v>41982</v>
      </c>
      <c r="I390" s="23" t="s">
        <v>11422</v>
      </c>
      <c r="L390" s="23" t="s">
        <v>11422</v>
      </c>
      <c r="O390" s="30" t="s">
        <v>11422</v>
      </c>
      <c r="P390" t="s">
        <v>11422</v>
      </c>
    </row>
    <row r="391" spans="1:16" x14ac:dyDescent="0.25">
      <c r="A391" t="s">
        <v>11484</v>
      </c>
      <c r="B391">
        <v>882</v>
      </c>
      <c r="C391" t="s">
        <v>11848</v>
      </c>
      <c r="D391" s="27">
        <v>2.75</v>
      </c>
      <c r="E391" t="s">
        <v>11635</v>
      </c>
      <c r="F391" s="18">
        <v>41982</v>
      </c>
      <c r="I391" s="23" t="s">
        <v>11422</v>
      </c>
      <c r="L391" s="23" t="s">
        <v>11422</v>
      </c>
      <c r="O391" s="30" t="s">
        <v>11422</v>
      </c>
      <c r="P391" t="s">
        <v>11422</v>
      </c>
    </row>
    <row r="392" spans="1:16" x14ac:dyDescent="0.25">
      <c r="A392" t="s">
        <v>2430</v>
      </c>
      <c r="B392">
        <v>121</v>
      </c>
      <c r="C392" t="s">
        <v>11849</v>
      </c>
      <c r="D392" s="27">
        <v>9</v>
      </c>
      <c r="E392" t="s">
        <v>11641</v>
      </c>
      <c r="F392" s="18">
        <v>41982</v>
      </c>
      <c r="I392" s="23" t="s">
        <v>11422</v>
      </c>
      <c r="L392" s="23" t="s">
        <v>11422</v>
      </c>
      <c r="O392" s="30" t="s">
        <v>11422</v>
      </c>
      <c r="P392" t="s">
        <v>11422</v>
      </c>
    </row>
    <row r="393" spans="1:16" x14ac:dyDescent="0.25">
      <c r="A393" t="s">
        <v>11492</v>
      </c>
      <c r="B393">
        <v>887</v>
      </c>
      <c r="C393" t="s">
        <v>11964</v>
      </c>
      <c r="D393" s="27">
        <v>5.5</v>
      </c>
      <c r="E393" t="s">
        <v>11645</v>
      </c>
      <c r="F393" s="18">
        <v>41982</v>
      </c>
      <c r="I393" s="23" t="s">
        <v>11422</v>
      </c>
      <c r="L393" s="23" t="s">
        <v>11422</v>
      </c>
      <c r="O393" s="30" t="s">
        <v>11422</v>
      </c>
      <c r="P393" t="s">
        <v>11422</v>
      </c>
    </row>
    <row r="394" spans="1:16" x14ac:dyDescent="0.25">
      <c r="A394" t="s">
        <v>3486</v>
      </c>
      <c r="B394">
        <v>672</v>
      </c>
      <c r="C394" t="s">
        <v>11850</v>
      </c>
      <c r="D394" s="27">
        <v>8.5</v>
      </c>
      <c r="E394" t="s">
        <v>11759</v>
      </c>
      <c r="F394" s="18">
        <v>41982</v>
      </c>
      <c r="I394" s="23" t="s">
        <v>11422</v>
      </c>
      <c r="L394" s="23" t="s">
        <v>11422</v>
      </c>
      <c r="O394" s="30" t="s">
        <v>11422</v>
      </c>
      <c r="P394" t="s">
        <v>11422</v>
      </c>
    </row>
    <row r="395" spans="1:16" x14ac:dyDescent="0.25">
      <c r="A395" t="s">
        <v>3571</v>
      </c>
      <c r="B395">
        <v>716</v>
      </c>
      <c r="C395" t="s">
        <v>11958</v>
      </c>
      <c r="D395" s="27">
        <v>8.25</v>
      </c>
      <c r="E395" t="s">
        <v>11554</v>
      </c>
      <c r="F395" s="18">
        <v>41983</v>
      </c>
      <c r="I395" s="23" t="s">
        <v>11422</v>
      </c>
      <c r="L395" s="23" t="s">
        <v>11422</v>
      </c>
      <c r="O395" s="30" t="s">
        <v>11422</v>
      </c>
      <c r="P395" t="s">
        <v>11422</v>
      </c>
    </row>
    <row r="396" spans="1:16" x14ac:dyDescent="0.25">
      <c r="A396" t="s">
        <v>3003</v>
      </c>
      <c r="B396">
        <v>422</v>
      </c>
      <c r="C396" t="s">
        <v>11959</v>
      </c>
      <c r="D396" s="27">
        <v>8</v>
      </c>
      <c r="E396" t="s">
        <v>11603</v>
      </c>
      <c r="F396" s="18">
        <v>41983</v>
      </c>
      <c r="I396" s="23" t="s">
        <v>11422</v>
      </c>
      <c r="L396" s="23" t="s">
        <v>11422</v>
      </c>
      <c r="O396" s="30" t="s">
        <v>11422</v>
      </c>
      <c r="P396" t="s">
        <v>11422</v>
      </c>
    </row>
    <row r="397" spans="1:16" x14ac:dyDescent="0.25">
      <c r="A397" t="s">
        <v>3830</v>
      </c>
      <c r="B397">
        <v>261</v>
      </c>
      <c r="C397" t="s">
        <v>11861</v>
      </c>
      <c r="D397" s="27">
        <v>9.5</v>
      </c>
      <c r="E397" t="s">
        <v>11658</v>
      </c>
      <c r="F397" s="18">
        <v>41983</v>
      </c>
      <c r="I397" s="23" t="s">
        <v>11422</v>
      </c>
      <c r="L397" s="23" t="s">
        <v>11422</v>
      </c>
      <c r="O397" s="30" t="s">
        <v>11422</v>
      </c>
      <c r="P397" t="s">
        <v>11422</v>
      </c>
    </row>
    <row r="398" spans="1:16" x14ac:dyDescent="0.25">
      <c r="A398" t="s">
        <v>3407</v>
      </c>
      <c r="B398">
        <v>632</v>
      </c>
      <c r="C398" t="s">
        <v>11858</v>
      </c>
      <c r="D398" s="27">
        <v>3.36</v>
      </c>
      <c r="E398" t="s">
        <v>11660</v>
      </c>
      <c r="F398" s="18">
        <v>41983</v>
      </c>
      <c r="I398" s="23" t="s">
        <v>11422</v>
      </c>
      <c r="L398" s="23" t="s">
        <v>11422</v>
      </c>
      <c r="O398" s="30" t="s">
        <v>11422</v>
      </c>
      <c r="P398" t="s">
        <v>11422</v>
      </c>
    </row>
    <row r="399" spans="1:16" x14ac:dyDescent="0.25">
      <c r="A399" t="s">
        <v>2944</v>
      </c>
      <c r="B399">
        <v>392</v>
      </c>
      <c r="C399" t="s">
        <v>11859</v>
      </c>
      <c r="D399" s="27">
        <v>7.5</v>
      </c>
      <c r="E399" t="s">
        <v>11769</v>
      </c>
      <c r="F399" s="18">
        <v>41983</v>
      </c>
      <c r="I399" s="23" t="s">
        <v>11422</v>
      </c>
      <c r="L399" s="23" t="s">
        <v>11422</v>
      </c>
      <c r="O399" s="30" t="s">
        <v>11422</v>
      </c>
      <c r="P399" t="s">
        <v>11422</v>
      </c>
    </row>
    <row r="400" spans="1:16" x14ac:dyDescent="0.25">
      <c r="A400" t="s">
        <v>3407</v>
      </c>
      <c r="B400">
        <v>632</v>
      </c>
      <c r="C400" t="s">
        <v>11856</v>
      </c>
      <c r="D400" s="27">
        <v>15</v>
      </c>
      <c r="E400" t="s">
        <v>11773</v>
      </c>
      <c r="F400" s="18">
        <v>41983</v>
      </c>
      <c r="I400" s="23" t="s">
        <v>11422</v>
      </c>
      <c r="L400" s="23" t="s">
        <v>11422</v>
      </c>
      <c r="O400" s="30" t="s">
        <v>11422</v>
      </c>
      <c r="P400" t="s">
        <v>11422</v>
      </c>
    </row>
    <row r="401" spans="1:16" x14ac:dyDescent="0.25">
      <c r="A401" t="s">
        <v>3675</v>
      </c>
      <c r="B401">
        <v>771</v>
      </c>
      <c r="C401" t="s">
        <v>11854</v>
      </c>
      <c r="D401" s="27">
        <v>9</v>
      </c>
      <c r="E401" t="s">
        <v>11791</v>
      </c>
      <c r="F401" s="18">
        <v>41983</v>
      </c>
      <c r="I401" s="23" t="s">
        <v>11422</v>
      </c>
      <c r="L401" s="23" t="s">
        <v>11422</v>
      </c>
      <c r="O401" s="30" t="s">
        <v>11422</v>
      </c>
      <c r="P401" t="s">
        <v>11422</v>
      </c>
    </row>
    <row r="402" spans="1:16" x14ac:dyDescent="0.25">
      <c r="A402" t="s">
        <v>3747</v>
      </c>
      <c r="B402">
        <v>807</v>
      </c>
      <c r="C402" t="s">
        <v>11866</v>
      </c>
      <c r="D402" s="27">
        <v>14.25</v>
      </c>
      <c r="E402" t="s">
        <v>11572</v>
      </c>
      <c r="F402" s="18">
        <v>41984</v>
      </c>
      <c r="I402" s="23" t="s">
        <v>11422</v>
      </c>
      <c r="L402" s="23" t="s">
        <v>11422</v>
      </c>
      <c r="O402" s="30" t="s">
        <v>11422</v>
      </c>
      <c r="P402" t="s">
        <v>11422</v>
      </c>
    </row>
    <row r="403" spans="1:16" x14ac:dyDescent="0.25">
      <c r="A403" t="s">
        <v>2318</v>
      </c>
      <c r="B403">
        <v>63</v>
      </c>
      <c r="C403" t="s">
        <v>11950</v>
      </c>
      <c r="D403" s="27">
        <v>1.53</v>
      </c>
      <c r="E403" t="s">
        <v>11589</v>
      </c>
      <c r="F403" s="18">
        <v>41984</v>
      </c>
      <c r="I403" s="23" t="s">
        <v>11422</v>
      </c>
      <c r="L403" s="23" t="s">
        <v>11422</v>
      </c>
      <c r="O403" s="30" t="s">
        <v>11422</v>
      </c>
      <c r="P403" t="s">
        <v>11422</v>
      </c>
    </row>
    <row r="404" spans="1:16" x14ac:dyDescent="0.25">
      <c r="A404" t="s">
        <v>11502</v>
      </c>
      <c r="B404">
        <v>893</v>
      </c>
      <c r="C404" t="s">
        <v>11951</v>
      </c>
      <c r="D404" s="27">
        <v>2.75</v>
      </c>
      <c r="E404" t="s">
        <v>11684</v>
      </c>
      <c r="F404" s="18">
        <v>41984</v>
      </c>
      <c r="I404" s="23" t="s">
        <v>11422</v>
      </c>
      <c r="L404" s="23" t="s">
        <v>11422</v>
      </c>
      <c r="O404" s="30" t="s">
        <v>11422</v>
      </c>
      <c r="P404" t="s">
        <v>11422</v>
      </c>
    </row>
    <row r="405" spans="1:16" x14ac:dyDescent="0.25">
      <c r="A405" t="s">
        <v>3512</v>
      </c>
      <c r="B405">
        <v>685</v>
      </c>
      <c r="C405" t="s">
        <v>11952</v>
      </c>
      <c r="D405" s="27">
        <v>2.04</v>
      </c>
      <c r="E405" t="s">
        <v>11702</v>
      </c>
      <c r="F405" s="18">
        <v>41984</v>
      </c>
      <c r="I405" s="23" t="s">
        <v>11422</v>
      </c>
      <c r="L405" s="23" t="s">
        <v>11422</v>
      </c>
      <c r="O405" s="30" t="s">
        <v>11422</v>
      </c>
      <c r="P405" t="s">
        <v>11422</v>
      </c>
    </row>
    <row r="406" spans="1:16" x14ac:dyDescent="0.25">
      <c r="A406" t="s">
        <v>2814</v>
      </c>
      <c r="B406">
        <v>326</v>
      </c>
      <c r="C406" t="s">
        <v>11855</v>
      </c>
      <c r="D406" s="27">
        <v>9.5</v>
      </c>
      <c r="E406" t="s">
        <v>11719</v>
      </c>
      <c r="F406" s="18">
        <v>41984</v>
      </c>
      <c r="I406" s="23" t="s">
        <v>11422</v>
      </c>
      <c r="L406" s="23" t="s">
        <v>11422</v>
      </c>
      <c r="O406" s="30" t="s">
        <v>11422</v>
      </c>
      <c r="P406" t="s">
        <v>11422</v>
      </c>
    </row>
    <row r="407" spans="1:16" x14ac:dyDescent="0.25">
      <c r="A407" t="s">
        <v>3697</v>
      </c>
      <c r="B407">
        <v>782</v>
      </c>
      <c r="C407" t="s">
        <v>11954</v>
      </c>
      <c r="D407" s="27">
        <v>3.64</v>
      </c>
      <c r="E407" t="s">
        <v>11729</v>
      </c>
      <c r="F407" s="18">
        <v>41984</v>
      </c>
      <c r="I407" s="23" t="s">
        <v>11422</v>
      </c>
      <c r="L407" s="23" t="s">
        <v>11422</v>
      </c>
      <c r="O407" s="30" t="s">
        <v>11422</v>
      </c>
      <c r="P407" t="s">
        <v>11422</v>
      </c>
    </row>
    <row r="408" spans="1:16" x14ac:dyDescent="0.25">
      <c r="A408" t="s">
        <v>3569</v>
      </c>
      <c r="B408">
        <v>715</v>
      </c>
      <c r="C408" t="s">
        <v>11957</v>
      </c>
      <c r="D408" s="27">
        <v>6</v>
      </c>
      <c r="E408" t="s">
        <v>11783</v>
      </c>
      <c r="F408" s="18">
        <v>41984</v>
      </c>
      <c r="I408" s="23" t="s">
        <v>11422</v>
      </c>
      <c r="L408" s="23" t="s">
        <v>11422</v>
      </c>
      <c r="O408" s="30" t="s">
        <v>11422</v>
      </c>
      <c r="P408" t="s">
        <v>11422</v>
      </c>
    </row>
    <row r="409" spans="1:16" x14ac:dyDescent="0.25">
      <c r="A409" t="s">
        <v>3524</v>
      </c>
      <c r="B409">
        <v>691</v>
      </c>
      <c r="C409" t="s">
        <v>11865</v>
      </c>
      <c r="D409" s="27">
        <v>6.63</v>
      </c>
      <c r="E409" t="s">
        <v>11807</v>
      </c>
      <c r="F409" s="18">
        <v>41984</v>
      </c>
      <c r="I409" s="23" t="s">
        <v>11422</v>
      </c>
      <c r="L409" s="23" t="s">
        <v>11422</v>
      </c>
      <c r="O409" s="30" t="s">
        <v>11422</v>
      </c>
      <c r="P409" t="s">
        <v>11422</v>
      </c>
    </row>
    <row r="410" spans="1:16" x14ac:dyDescent="0.25">
      <c r="A410" t="s">
        <v>3830</v>
      </c>
      <c r="B410">
        <v>261</v>
      </c>
      <c r="C410" t="s">
        <v>11868</v>
      </c>
      <c r="D410" s="27">
        <v>3.8250000000000002</v>
      </c>
      <c r="E410" t="s">
        <v>11562</v>
      </c>
      <c r="F410" s="18">
        <v>41985</v>
      </c>
      <c r="I410" s="23" t="s">
        <v>11422</v>
      </c>
      <c r="L410" s="23" t="s">
        <v>11422</v>
      </c>
      <c r="O410" s="30" t="s">
        <v>11422</v>
      </c>
      <c r="P410" t="s">
        <v>11422</v>
      </c>
    </row>
    <row r="411" spans="1:16" x14ac:dyDescent="0.25">
      <c r="A411" t="s">
        <v>3512</v>
      </c>
      <c r="B411">
        <v>685</v>
      </c>
      <c r="C411" t="s">
        <v>11942</v>
      </c>
      <c r="D411" s="27">
        <v>9.18</v>
      </c>
      <c r="E411" t="s">
        <v>11565</v>
      </c>
      <c r="F411" s="18">
        <v>41985</v>
      </c>
      <c r="I411" s="23" t="s">
        <v>11422</v>
      </c>
      <c r="L411" s="23" t="s">
        <v>11422</v>
      </c>
      <c r="O411" s="30" t="s">
        <v>11422</v>
      </c>
      <c r="P411" t="s">
        <v>11422</v>
      </c>
    </row>
    <row r="412" spans="1:16" x14ac:dyDescent="0.25">
      <c r="A412" t="s">
        <v>3524</v>
      </c>
      <c r="B412">
        <v>691</v>
      </c>
      <c r="C412" t="s">
        <v>709</v>
      </c>
      <c r="D412" s="27">
        <v>6</v>
      </c>
      <c r="E412" t="s">
        <v>11568</v>
      </c>
      <c r="F412" s="18">
        <v>41985</v>
      </c>
      <c r="I412" s="23" t="s">
        <v>11422</v>
      </c>
      <c r="L412" s="23" t="s">
        <v>11422</v>
      </c>
      <c r="O412" s="30" t="s">
        <v>11422</v>
      </c>
      <c r="P412" t="s">
        <v>11422</v>
      </c>
    </row>
    <row r="413" spans="1:16" x14ac:dyDescent="0.25">
      <c r="A413" t="s">
        <v>3747</v>
      </c>
      <c r="B413">
        <v>807</v>
      </c>
      <c r="C413" t="s">
        <v>11879</v>
      </c>
      <c r="D413" s="27">
        <v>11.475</v>
      </c>
      <c r="E413" t="s">
        <v>11570</v>
      </c>
      <c r="F413" s="18">
        <v>41985</v>
      </c>
      <c r="I413" s="23" t="s">
        <v>11422</v>
      </c>
      <c r="L413" s="23" t="s">
        <v>11422</v>
      </c>
      <c r="O413" s="30" t="s">
        <v>11422</v>
      </c>
      <c r="P413" t="s">
        <v>11422</v>
      </c>
    </row>
    <row r="414" spans="1:16" x14ac:dyDescent="0.25">
      <c r="A414" t="s">
        <v>2342</v>
      </c>
      <c r="B414">
        <v>77</v>
      </c>
      <c r="C414" t="s">
        <v>11943</v>
      </c>
      <c r="D414" s="27">
        <v>5</v>
      </c>
      <c r="E414" t="s">
        <v>11576</v>
      </c>
      <c r="F414" s="18">
        <v>41985</v>
      </c>
      <c r="I414" s="23" t="s">
        <v>11422</v>
      </c>
      <c r="L414" s="23" t="s">
        <v>11422</v>
      </c>
      <c r="O414" s="30" t="s">
        <v>11422</v>
      </c>
      <c r="P414" t="s">
        <v>11422</v>
      </c>
    </row>
    <row r="415" spans="1:16" x14ac:dyDescent="0.25">
      <c r="A415" t="s">
        <v>2890</v>
      </c>
      <c r="B415">
        <v>365</v>
      </c>
      <c r="C415" t="s">
        <v>11871</v>
      </c>
      <c r="D415" s="27">
        <v>7.5</v>
      </c>
      <c r="E415" t="s">
        <v>11585</v>
      </c>
      <c r="F415" s="18">
        <v>41985</v>
      </c>
      <c r="I415" s="23" t="s">
        <v>11422</v>
      </c>
      <c r="L415" s="23" t="s">
        <v>11422</v>
      </c>
      <c r="O415" s="30" t="s">
        <v>11422</v>
      </c>
      <c r="P415" t="s">
        <v>11422</v>
      </c>
    </row>
    <row r="416" spans="1:16" x14ac:dyDescent="0.25">
      <c r="A416" t="s">
        <v>3641</v>
      </c>
      <c r="B416">
        <v>753</v>
      </c>
      <c r="C416" t="s">
        <v>11944</v>
      </c>
      <c r="D416" s="27">
        <v>4.8449999999999998</v>
      </c>
      <c r="E416" t="s">
        <v>11595</v>
      </c>
      <c r="F416" s="18">
        <v>41985</v>
      </c>
      <c r="I416" s="23" t="s">
        <v>11422</v>
      </c>
      <c r="L416" s="23" t="s">
        <v>11422</v>
      </c>
      <c r="O416" s="30" t="s">
        <v>11422</v>
      </c>
      <c r="P416" t="s">
        <v>11422</v>
      </c>
    </row>
    <row r="417" spans="1:16" x14ac:dyDescent="0.25">
      <c r="A417" t="s">
        <v>3759</v>
      </c>
      <c r="B417">
        <v>813</v>
      </c>
      <c r="C417" t="s">
        <v>11946</v>
      </c>
      <c r="D417" s="27">
        <v>3</v>
      </c>
      <c r="E417" t="s">
        <v>11673</v>
      </c>
      <c r="F417" s="18">
        <v>41985</v>
      </c>
      <c r="I417" s="23" t="s">
        <v>11422</v>
      </c>
      <c r="L417" s="23" t="s">
        <v>11422</v>
      </c>
      <c r="O417" s="30" t="s">
        <v>11422</v>
      </c>
      <c r="P417" t="s">
        <v>11422</v>
      </c>
    </row>
    <row r="418" spans="1:16" x14ac:dyDescent="0.25">
      <c r="A418" t="s">
        <v>3502</v>
      </c>
      <c r="B418">
        <v>680</v>
      </c>
      <c r="C418" t="s">
        <v>11877</v>
      </c>
      <c r="D418" s="27">
        <v>4.75</v>
      </c>
      <c r="E418" t="s">
        <v>11542</v>
      </c>
      <c r="F418" s="18">
        <v>41986</v>
      </c>
      <c r="I418" s="23" t="s">
        <v>11422</v>
      </c>
      <c r="L418" s="23" t="s">
        <v>11422</v>
      </c>
      <c r="O418" s="30" t="s">
        <v>11422</v>
      </c>
      <c r="P418" t="s">
        <v>11422</v>
      </c>
    </row>
    <row r="419" spans="1:16" x14ac:dyDescent="0.25">
      <c r="A419" t="s">
        <v>3361</v>
      </c>
      <c r="B419">
        <v>607</v>
      </c>
      <c r="C419" t="s">
        <v>11928</v>
      </c>
      <c r="D419" s="27">
        <v>10.5</v>
      </c>
      <c r="E419" t="s">
        <v>11556</v>
      </c>
      <c r="F419" s="18">
        <v>41986</v>
      </c>
      <c r="I419" s="23" t="s">
        <v>11422</v>
      </c>
      <c r="L419" s="23" t="s">
        <v>11422</v>
      </c>
      <c r="O419" s="30" t="s">
        <v>11422</v>
      </c>
      <c r="P419" t="s">
        <v>11422</v>
      </c>
    </row>
    <row r="420" spans="1:16" x14ac:dyDescent="0.25">
      <c r="A420" t="s">
        <v>3747</v>
      </c>
      <c r="B420">
        <v>807</v>
      </c>
      <c r="C420" t="s">
        <v>11930</v>
      </c>
      <c r="D420" s="27">
        <v>8.67</v>
      </c>
      <c r="E420" t="s">
        <v>11580</v>
      </c>
      <c r="F420" s="18">
        <v>41986</v>
      </c>
      <c r="I420" s="23" t="s">
        <v>11422</v>
      </c>
      <c r="L420" s="23" t="s">
        <v>11422</v>
      </c>
      <c r="O420" s="30" t="s">
        <v>11422</v>
      </c>
      <c r="P420" t="s">
        <v>11422</v>
      </c>
    </row>
    <row r="421" spans="1:16" x14ac:dyDescent="0.25">
      <c r="A421" t="s">
        <v>2704</v>
      </c>
      <c r="B421">
        <v>268</v>
      </c>
      <c r="C421" t="s">
        <v>11931</v>
      </c>
      <c r="D421" s="27">
        <v>5.0999999999999996</v>
      </c>
      <c r="E421" t="s">
        <v>11601</v>
      </c>
      <c r="F421" s="18">
        <v>41986</v>
      </c>
      <c r="I421" s="23" t="s">
        <v>11422</v>
      </c>
      <c r="L421" s="23" t="s">
        <v>11422</v>
      </c>
      <c r="O421" s="30" t="s">
        <v>11422</v>
      </c>
      <c r="P421" t="s">
        <v>11422</v>
      </c>
    </row>
    <row r="422" spans="1:16" x14ac:dyDescent="0.25">
      <c r="A422" t="s">
        <v>3494</v>
      </c>
      <c r="B422">
        <v>676</v>
      </c>
      <c r="C422" t="s">
        <v>11873</v>
      </c>
      <c r="D422" s="27">
        <v>5.0999999999999996</v>
      </c>
      <c r="E422" t="s">
        <v>11651</v>
      </c>
      <c r="F422" s="18">
        <v>41986</v>
      </c>
      <c r="I422" s="23" t="s">
        <v>11422</v>
      </c>
      <c r="L422" s="23" t="s">
        <v>11422</v>
      </c>
      <c r="O422" s="30" t="s">
        <v>11422</v>
      </c>
      <c r="P422" t="s">
        <v>11422</v>
      </c>
    </row>
    <row r="423" spans="1:16" x14ac:dyDescent="0.25">
      <c r="A423" t="s">
        <v>3567</v>
      </c>
      <c r="B423">
        <v>714</v>
      </c>
      <c r="C423" t="s">
        <v>11878</v>
      </c>
      <c r="D423" s="27">
        <v>6.12</v>
      </c>
      <c r="E423" t="s">
        <v>11708</v>
      </c>
      <c r="F423" s="18">
        <v>41986</v>
      </c>
      <c r="I423" s="23" t="s">
        <v>11422</v>
      </c>
      <c r="L423" s="23" t="s">
        <v>11422</v>
      </c>
      <c r="O423" s="30" t="s">
        <v>11422</v>
      </c>
      <c r="P423" t="s">
        <v>11422</v>
      </c>
    </row>
    <row r="424" spans="1:16" x14ac:dyDescent="0.25">
      <c r="A424" t="s">
        <v>2252</v>
      </c>
      <c r="B424">
        <v>28</v>
      </c>
      <c r="C424" t="s">
        <v>11935</v>
      </c>
      <c r="D424" s="27">
        <v>5.25</v>
      </c>
      <c r="E424" t="s">
        <v>11715</v>
      </c>
      <c r="F424" s="18">
        <v>41986</v>
      </c>
      <c r="I424" s="23" t="s">
        <v>11422</v>
      </c>
      <c r="L424" s="23" t="s">
        <v>11422</v>
      </c>
      <c r="O424" s="30" t="s">
        <v>11422</v>
      </c>
      <c r="P424" t="s">
        <v>11422</v>
      </c>
    </row>
    <row r="425" spans="1:16" x14ac:dyDescent="0.25">
      <c r="A425" t="s">
        <v>3524</v>
      </c>
      <c r="B425">
        <v>691</v>
      </c>
      <c r="C425" t="s">
        <v>11937</v>
      </c>
      <c r="D425" s="27">
        <v>3.5</v>
      </c>
      <c r="E425" t="s">
        <v>11733</v>
      </c>
      <c r="F425" s="18">
        <v>41986</v>
      </c>
      <c r="I425" s="23" t="s">
        <v>11422</v>
      </c>
      <c r="L425" s="23" t="s">
        <v>11422</v>
      </c>
      <c r="O425" s="30" t="s">
        <v>11422</v>
      </c>
      <c r="P425" t="s">
        <v>11422</v>
      </c>
    </row>
    <row r="426" spans="1:16" x14ac:dyDescent="0.25">
      <c r="A426" t="s">
        <v>3486</v>
      </c>
      <c r="B426">
        <v>672</v>
      </c>
      <c r="C426" t="s">
        <v>11876</v>
      </c>
      <c r="D426" s="27">
        <v>4.335</v>
      </c>
      <c r="E426" t="s">
        <v>11737</v>
      </c>
      <c r="F426" s="18">
        <v>41986</v>
      </c>
      <c r="I426" s="23" t="s">
        <v>11422</v>
      </c>
      <c r="L426" s="23" t="s">
        <v>11422</v>
      </c>
      <c r="O426" s="30" t="s">
        <v>11422</v>
      </c>
      <c r="P426" t="s">
        <v>11422</v>
      </c>
    </row>
    <row r="427" spans="1:16" x14ac:dyDescent="0.25">
      <c r="A427" t="s">
        <v>3641</v>
      </c>
      <c r="B427">
        <v>753</v>
      </c>
      <c r="C427" t="s">
        <v>11938</v>
      </c>
      <c r="D427" s="27">
        <v>6.25</v>
      </c>
      <c r="E427" t="s">
        <v>11745</v>
      </c>
      <c r="F427" s="18">
        <v>41986</v>
      </c>
      <c r="I427" s="23" t="s">
        <v>11422</v>
      </c>
      <c r="L427" s="23" t="s">
        <v>11422</v>
      </c>
      <c r="O427" s="30" t="s">
        <v>11422</v>
      </c>
      <c r="P427" t="s">
        <v>11422</v>
      </c>
    </row>
    <row r="428" spans="1:16" x14ac:dyDescent="0.25">
      <c r="A428" t="s">
        <v>11496</v>
      </c>
      <c r="B428">
        <v>890</v>
      </c>
      <c r="C428" t="s">
        <v>11939</v>
      </c>
      <c r="D428" s="27">
        <v>7.14</v>
      </c>
      <c r="E428" t="s">
        <v>11753</v>
      </c>
      <c r="F428" s="18">
        <v>41986</v>
      </c>
      <c r="I428" s="23" t="s">
        <v>11422</v>
      </c>
      <c r="L428" s="23" t="s">
        <v>11422</v>
      </c>
      <c r="O428" s="30" t="s">
        <v>11422</v>
      </c>
      <c r="P428" t="s">
        <v>11422</v>
      </c>
    </row>
    <row r="429" spans="1:16" x14ac:dyDescent="0.25">
      <c r="A429" t="s">
        <v>3635</v>
      </c>
      <c r="B429">
        <v>750</v>
      </c>
      <c r="C429" t="s">
        <v>11918</v>
      </c>
      <c r="D429" s="27">
        <v>5.2</v>
      </c>
      <c r="E429" t="s">
        <v>11531</v>
      </c>
      <c r="F429" s="18">
        <v>41988</v>
      </c>
      <c r="I429" s="23" t="s">
        <v>11422</v>
      </c>
      <c r="L429" s="23" t="s">
        <v>11422</v>
      </c>
      <c r="O429" s="30" t="s">
        <v>11422</v>
      </c>
      <c r="P429" t="s">
        <v>11422</v>
      </c>
    </row>
    <row r="430" spans="1:16" x14ac:dyDescent="0.25">
      <c r="A430" t="s">
        <v>2588</v>
      </c>
      <c r="B430">
        <v>203</v>
      </c>
      <c r="C430" t="s">
        <v>11884</v>
      </c>
      <c r="D430" s="27">
        <v>4.75</v>
      </c>
      <c r="E430" t="s">
        <v>11534</v>
      </c>
      <c r="F430" s="18">
        <v>41988</v>
      </c>
      <c r="I430" s="23" t="s">
        <v>11422</v>
      </c>
      <c r="L430" s="23" t="s">
        <v>11422</v>
      </c>
      <c r="O430" s="30" t="s">
        <v>11422</v>
      </c>
      <c r="P430" t="s">
        <v>11422</v>
      </c>
    </row>
    <row r="431" spans="1:16" x14ac:dyDescent="0.25">
      <c r="A431" t="s">
        <v>3413</v>
      </c>
      <c r="B431">
        <v>635</v>
      </c>
      <c r="C431" t="s">
        <v>11919</v>
      </c>
      <c r="D431" s="27">
        <v>11.25</v>
      </c>
      <c r="E431" t="s">
        <v>11544</v>
      </c>
      <c r="F431" s="18">
        <v>41988</v>
      </c>
      <c r="I431" s="23" t="s">
        <v>11422</v>
      </c>
      <c r="L431" s="23" t="s">
        <v>11422</v>
      </c>
      <c r="O431" s="30" t="s">
        <v>11422</v>
      </c>
      <c r="P431" t="s">
        <v>11422</v>
      </c>
    </row>
    <row r="432" spans="1:16" x14ac:dyDescent="0.25">
      <c r="A432" t="s">
        <v>2588</v>
      </c>
      <c r="B432">
        <v>203</v>
      </c>
      <c r="C432" t="s">
        <v>11886</v>
      </c>
      <c r="D432" s="27">
        <v>5.75</v>
      </c>
      <c r="E432" t="s">
        <v>11546</v>
      </c>
      <c r="F432" s="18">
        <v>41988</v>
      </c>
      <c r="I432" s="23" t="s">
        <v>11422</v>
      </c>
      <c r="L432" s="23" t="s">
        <v>11422</v>
      </c>
      <c r="O432" s="30" t="s">
        <v>11422</v>
      </c>
      <c r="P432" t="s">
        <v>11422</v>
      </c>
    </row>
    <row r="433" spans="1:16" x14ac:dyDescent="0.25">
      <c r="A433" t="s">
        <v>2252</v>
      </c>
      <c r="B433">
        <v>28</v>
      </c>
      <c r="C433" t="s">
        <v>11922</v>
      </c>
      <c r="D433" s="27">
        <v>9.18</v>
      </c>
      <c r="E433" t="s">
        <v>11633</v>
      </c>
      <c r="F433" s="18">
        <v>41988</v>
      </c>
      <c r="I433" s="23" t="s">
        <v>11422</v>
      </c>
      <c r="L433" s="23" t="s">
        <v>11422</v>
      </c>
      <c r="O433" s="30" t="s">
        <v>11422</v>
      </c>
      <c r="P433" t="s">
        <v>11422</v>
      </c>
    </row>
    <row r="434" spans="1:16" x14ac:dyDescent="0.25">
      <c r="A434" t="s">
        <v>2890</v>
      </c>
      <c r="B434">
        <v>365</v>
      </c>
      <c r="C434" t="s">
        <v>11891</v>
      </c>
      <c r="D434" s="27">
        <v>8.75</v>
      </c>
      <c r="E434" t="s">
        <v>11649</v>
      </c>
      <c r="F434" s="18">
        <v>41988</v>
      </c>
      <c r="I434" s="23" t="s">
        <v>11422</v>
      </c>
      <c r="L434" s="23" t="s">
        <v>11422</v>
      </c>
      <c r="O434" s="30" t="s">
        <v>11422</v>
      </c>
      <c r="P434" t="s">
        <v>11422</v>
      </c>
    </row>
    <row r="435" spans="1:16" x14ac:dyDescent="0.25">
      <c r="A435" t="s">
        <v>3571</v>
      </c>
      <c r="B435">
        <v>716</v>
      </c>
      <c r="C435" t="s">
        <v>11923</v>
      </c>
      <c r="D435" s="27">
        <v>8.75</v>
      </c>
      <c r="E435" t="s">
        <v>11664</v>
      </c>
      <c r="F435" s="18">
        <v>41988</v>
      </c>
      <c r="I435" s="23" t="s">
        <v>11422</v>
      </c>
      <c r="L435" s="23" t="s">
        <v>11422</v>
      </c>
      <c r="O435" s="30" t="s">
        <v>11422</v>
      </c>
      <c r="P435" t="s">
        <v>11422</v>
      </c>
    </row>
    <row r="436" spans="1:16" x14ac:dyDescent="0.25">
      <c r="A436" t="s">
        <v>11454</v>
      </c>
      <c r="B436">
        <v>857</v>
      </c>
      <c r="C436" t="s">
        <v>11880</v>
      </c>
      <c r="D436" s="27">
        <v>3.5</v>
      </c>
      <c r="E436" t="s">
        <v>11666</v>
      </c>
      <c r="F436" s="18">
        <v>41988</v>
      </c>
      <c r="I436" s="23" t="s">
        <v>11422</v>
      </c>
      <c r="L436" s="23" t="s">
        <v>11422</v>
      </c>
      <c r="O436" s="30" t="s">
        <v>11422</v>
      </c>
      <c r="P436" t="s">
        <v>11422</v>
      </c>
    </row>
    <row r="437" spans="1:16" x14ac:dyDescent="0.25">
      <c r="A437" t="s">
        <v>3486</v>
      </c>
      <c r="B437">
        <v>672</v>
      </c>
      <c r="C437" t="s">
        <v>11890</v>
      </c>
      <c r="D437" s="27">
        <v>2.75</v>
      </c>
      <c r="E437" t="s">
        <v>11669</v>
      </c>
      <c r="F437" s="18">
        <v>41988</v>
      </c>
      <c r="I437" s="23" t="s">
        <v>11422</v>
      </c>
      <c r="L437" s="23" t="s">
        <v>11422</v>
      </c>
      <c r="O437" s="30" t="s">
        <v>11422</v>
      </c>
      <c r="P437" t="s">
        <v>11422</v>
      </c>
    </row>
    <row r="438" spans="1:16" x14ac:dyDescent="0.25">
      <c r="A438" t="s">
        <v>3516</v>
      </c>
      <c r="B438">
        <v>687</v>
      </c>
      <c r="C438" t="s">
        <v>11883</v>
      </c>
      <c r="D438" s="27">
        <v>11.25</v>
      </c>
      <c r="E438" t="s">
        <v>11699</v>
      </c>
      <c r="F438" s="18">
        <v>41988</v>
      </c>
      <c r="I438" s="23" t="s">
        <v>11422</v>
      </c>
      <c r="L438" s="23" t="s">
        <v>11422</v>
      </c>
      <c r="O438" s="30" t="s">
        <v>11422</v>
      </c>
      <c r="P438" t="s">
        <v>11422</v>
      </c>
    </row>
    <row r="439" spans="1:16" x14ac:dyDescent="0.25">
      <c r="A439" t="s">
        <v>2430</v>
      </c>
      <c r="B439">
        <v>121</v>
      </c>
      <c r="C439" t="s">
        <v>11925</v>
      </c>
      <c r="D439" s="27">
        <v>12</v>
      </c>
      <c r="E439" t="s">
        <v>11741</v>
      </c>
      <c r="F439" s="18">
        <v>41988</v>
      </c>
      <c r="I439" s="23" t="s">
        <v>11422</v>
      </c>
      <c r="L439" s="23" t="s">
        <v>11422</v>
      </c>
      <c r="O439" s="30" t="s">
        <v>11422</v>
      </c>
      <c r="P439" t="s">
        <v>11422</v>
      </c>
    </row>
    <row r="440" spans="1:16" x14ac:dyDescent="0.25">
      <c r="A440" t="s">
        <v>3846</v>
      </c>
      <c r="B440">
        <v>0</v>
      </c>
      <c r="C440" t="s">
        <v>11881</v>
      </c>
      <c r="D440" s="27">
        <v>8.25</v>
      </c>
      <c r="E440" t="s">
        <v>11775</v>
      </c>
      <c r="F440" s="18">
        <v>41988</v>
      </c>
      <c r="I440" s="23" t="s">
        <v>11422</v>
      </c>
      <c r="L440" s="23" t="s">
        <v>11422</v>
      </c>
      <c r="O440" s="30" t="s">
        <v>11422</v>
      </c>
      <c r="P440" t="s">
        <v>11422</v>
      </c>
    </row>
    <row r="441" spans="1:16" x14ac:dyDescent="0.25">
      <c r="A441" t="s">
        <v>2430</v>
      </c>
      <c r="B441">
        <v>121</v>
      </c>
      <c r="C441" t="s">
        <v>11902</v>
      </c>
      <c r="D441" s="27">
        <v>13.5</v>
      </c>
      <c r="E441" t="s">
        <v>11560</v>
      </c>
      <c r="F441" s="18">
        <v>41989</v>
      </c>
      <c r="I441" s="23" t="s">
        <v>11422</v>
      </c>
      <c r="L441" s="23" t="s">
        <v>11422</v>
      </c>
      <c r="O441" s="30" t="s">
        <v>11422</v>
      </c>
      <c r="P441" t="s">
        <v>11422</v>
      </c>
    </row>
    <row r="442" spans="1:16" x14ac:dyDescent="0.25">
      <c r="A442" t="s">
        <v>1007</v>
      </c>
      <c r="B442">
        <v>703</v>
      </c>
      <c r="C442" t="s">
        <v>11904</v>
      </c>
      <c r="D442" s="27">
        <v>11.5</v>
      </c>
      <c r="E442" t="s">
        <v>11583</v>
      </c>
      <c r="F442" s="18">
        <v>41989</v>
      </c>
      <c r="I442" s="23" t="s">
        <v>11422</v>
      </c>
      <c r="L442" s="23" t="s">
        <v>11422</v>
      </c>
      <c r="O442" s="30" t="s">
        <v>11422</v>
      </c>
      <c r="P442" t="s">
        <v>11422</v>
      </c>
    </row>
    <row r="443" spans="1:16" x14ac:dyDescent="0.25">
      <c r="A443" t="s">
        <v>3526</v>
      </c>
      <c r="B443">
        <v>692</v>
      </c>
      <c r="C443" t="s">
        <v>11905</v>
      </c>
      <c r="D443" s="27">
        <v>15</v>
      </c>
      <c r="E443" t="s">
        <v>11593</v>
      </c>
      <c r="F443" s="18">
        <v>41989</v>
      </c>
      <c r="I443" s="23" t="s">
        <v>11422</v>
      </c>
      <c r="L443" s="23" t="s">
        <v>11422</v>
      </c>
      <c r="O443" s="30" t="s">
        <v>11422</v>
      </c>
      <c r="P443" t="s">
        <v>11422</v>
      </c>
    </row>
    <row r="444" spans="1:16" x14ac:dyDescent="0.25">
      <c r="A444" t="s">
        <v>137</v>
      </c>
      <c r="B444">
        <v>648</v>
      </c>
      <c r="C444" t="s">
        <v>11909</v>
      </c>
      <c r="D444" s="27">
        <v>7.25</v>
      </c>
      <c r="E444" t="s">
        <v>11627</v>
      </c>
      <c r="F444" s="18">
        <v>41989</v>
      </c>
      <c r="I444" s="23" t="s">
        <v>11422</v>
      </c>
      <c r="L444" s="23" t="s">
        <v>11422</v>
      </c>
      <c r="O444" s="30" t="s">
        <v>11422</v>
      </c>
      <c r="P444" t="s">
        <v>11422</v>
      </c>
    </row>
    <row r="445" spans="1:16" x14ac:dyDescent="0.25">
      <c r="A445" t="s">
        <v>2862</v>
      </c>
      <c r="B445">
        <v>351</v>
      </c>
      <c r="C445" t="s">
        <v>11894</v>
      </c>
      <c r="D445" s="27">
        <v>7</v>
      </c>
      <c r="E445" t="s">
        <v>11647</v>
      </c>
      <c r="F445" s="18">
        <v>41989</v>
      </c>
      <c r="I445" s="23" t="s">
        <v>11422</v>
      </c>
      <c r="L445" s="23" t="s">
        <v>11422</v>
      </c>
      <c r="O445" s="30" t="s">
        <v>11422</v>
      </c>
      <c r="P445" t="s">
        <v>11422</v>
      </c>
    </row>
    <row r="446" spans="1:16" x14ac:dyDescent="0.25">
      <c r="A446" t="s">
        <v>3524</v>
      </c>
      <c r="B446">
        <v>691</v>
      </c>
      <c r="C446" t="s">
        <v>11910</v>
      </c>
      <c r="D446" s="27">
        <v>11.25</v>
      </c>
      <c r="E446" t="s">
        <v>11662</v>
      </c>
      <c r="F446" s="18">
        <v>41989</v>
      </c>
      <c r="I446" s="23" t="s">
        <v>11422</v>
      </c>
      <c r="L446" s="23" t="s">
        <v>11422</v>
      </c>
      <c r="O446" s="30" t="s">
        <v>11422</v>
      </c>
      <c r="P446" t="s">
        <v>11422</v>
      </c>
    </row>
    <row r="447" spans="1:16" x14ac:dyDescent="0.25">
      <c r="A447" t="s">
        <v>3460</v>
      </c>
      <c r="B447">
        <v>659</v>
      </c>
      <c r="C447" t="s">
        <v>11915</v>
      </c>
      <c r="D447" s="27">
        <v>7.65</v>
      </c>
      <c r="E447" t="s">
        <v>11749</v>
      </c>
      <c r="F447" s="18">
        <v>41989</v>
      </c>
      <c r="I447" s="23" t="s">
        <v>11422</v>
      </c>
      <c r="L447" s="23" t="s">
        <v>11422</v>
      </c>
      <c r="O447" s="30" t="s">
        <v>11422</v>
      </c>
      <c r="P447" t="s">
        <v>11422</v>
      </c>
    </row>
    <row r="448" spans="1:16" x14ac:dyDescent="0.25">
      <c r="A448" t="s">
        <v>2242</v>
      </c>
      <c r="B448">
        <v>22</v>
      </c>
      <c r="C448" t="s">
        <v>11893</v>
      </c>
      <c r="D448" s="27">
        <v>9.25</v>
      </c>
      <c r="E448" t="s">
        <v>11764</v>
      </c>
      <c r="F448" s="18">
        <v>41989</v>
      </c>
      <c r="I448" s="23" t="s">
        <v>11422</v>
      </c>
      <c r="L448" s="23" t="s">
        <v>11422</v>
      </c>
      <c r="O448" s="30" t="s">
        <v>11422</v>
      </c>
      <c r="P448" t="s">
        <v>11422</v>
      </c>
    </row>
    <row r="449" spans="1:16" x14ac:dyDescent="0.25">
      <c r="A449" t="s">
        <v>2890</v>
      </c>
      <c r="B449">
        <v>365</v>
      </c>
      <c r="C449" t="s">
        <v>11895</v>
      </c>
      <c r="D449" s="27">
        <v>4.8449999999999998</v>
      </c>
      <c r="E449" t="s">
        <v>11787</v>
      </c>
      <c r="F449" s="18">
        <v>41989</v>
      </c>
      <c r="I449" s="23" t="s">
        <v>11422</v>
      </c>
      <c r="L449" s="23" t="s">
        <v>11422</v>
      </c>
      <c r="O449" s="30" t="s">
        <v>11422</v>
      </c>
      <c r="P449" t="s">
        <v>11422</v>
      </c>
    </row>
    <row r="450" spans="1:16" x14ac:dyDescent="0.25">
      <c r="A450" t="s">
        <v>3713</v>
      </c>
      <c r="B450">
        <v>790</v>
      </c>
      <c r="C450" t="s">
        <v>11900</v>
      </c>
      <c r="D450" s="27">
        <v>6.12</v>
      </c>
      <c r="E450" t="s">
        <v>11550</v>
      </c>
      <c r="F450" s="18">
        <v>41990</v>
      </c>
      <c r="G450" s="34">
        <v>250</v>
      </c>
      <c r="H450" s="18">
        <v>42023</v>
      </c>
      <c r="I450" s="23" t="s">
        <v>11422</v>
      </c>
      <c r="J450" s="23">
        <v>312.5</v>
      </c>
      <c r="K450" s="18">
        <v>42023</v>
      </c>
      <c r="L450" s="23" t="s">
        <v>11422</v>
      </c>
      <c r="O450" s="30" t="s">
        <v>11422</v>
      </c>
      <c r="P450" t="s">
        <v>11422</v>
      </c>
    </row>
    <row r="451" spans="1:16" x14ac:dyDescent="0.25">
      <c r="A451" t="s">
        <v>11454</v>
      </c>
      <c r="B451">
        <v>857</v>
      </c>
      <c r="C451" t="s">
        <v>12193</v>
      </c>
      <c r="D451" s="27">
        <v>6.75</v>
      </c>
      <c r="E451" t="s">
        <v>12095</v>
      </c>
      <c r="F451" s="18">
        <v>41990</v>
      </c>
      <c r="I451" s="23" t="s">
        <v>11422</v>
      </c>
      <c r="L451" s="23" t="s">
        <v>11422</v>
      </c>
      <c r="O451" s="30" t="s">
        <v>11422</v>
      </c>
      <c r="P451" t="s">
        <v>11422</v>
      </c>
    </row>
    <row r="452" spans="1:16" x14ac:dyDescent="0.25">
      <c r="A452" t="s">
        <v>11502</v>
      </c>
      <c r="B452">
        <v>893</v>
      </c>
      <c r="C452" t="s">
        <v>12109</v>
      </c>
      <c r="D452" s="27">
        <v>4</v>
      </c>
      <c r="E452" t="s">
        <v>12108</v>
      </c>
      <c r="F452" s="18">
        <v>41990</v>
      </c>
      <c r="I452" s="23" t="s">
        <v>11422</v>
      </c>
      <c r="L452" s="23" t="s">
        <v>11422</v>
      </c>
      <c r="O452" s="30" t="s">
        <v>11422</v>
      </c>
      <c r="P452" t="s">
        <v>11422</v>
      </c>
    </row>
    <row r="453" spans="1:16" x14ac:dyDescent="0.25">
      <c r="A453" t="s">
        <v>1007</v>
      </c>
      <c r="B453">
        <v>703</v>
      </c>
      <c r="C453" t="s">
        <v>12111</v>
      </c>
      <c r="D453" s="27">
        <v>4.08</v>
      </c>
      <c r="E453" t="s">
        <v>12110</v>
      </c>
      <c r="F453" s="18">
        <v>41990</v>
      </c>
      <c r="I453" s="23" t="s">
        <v>11422</v>
      </c>
      <c r="L453" s="23" t="s">
        <v>11422</v>
      </c>
      <c r="O453" s="30" t="s">
        <v>11422</v>
      </c>
      <c r="P453" t="s">
        <v>11422</v>
      </c>
    </row>
    <row r="454" spans="1:16" x14ac:dyDescent="0.25">
      <c r="A454" t="s">
        <v>2260</v>
      </c>
      <c r="B454">
        <v>32</v>
      </c>
      <c r="C454" t="s">
        <v>12113</v>
      </c>
      <c r="D454" s="27">
        <v>7</v>
      </c>
      <c r="E454" t="s">
        <v>12112</v>
      </c>
      <c r="F454" s="18">
        <v>41990</v>
      </c>
      <c r="I454" s="23" t="s">
        <v>11422</v>
      </c>
      <c r="L454" s="23" t="s">
        <v>11422</v>
      </c>
      <c r="O454" s="30" t="s">
        <v>11422</v>
      </c>
      <c r="P454" t="s">
        <v>11422</v>
      </c>
    </row>
    <row r="455" spans="1:16" x14ac:dyDescent="0.25">
      <c r="A455" t="s">
        <v>3546</v>
      </c>
      <c r="B455">
        <v>702</v>
      </c>
      <c r="C455" t="s">
        <v>12187</v>
      </c>
      <c r="D455" s="27">
        <v>10</v>
      </c>
      <c r="E455" t="s">
        <v>12078</v>
      </c>
      <c r="F455" s="18">
        <v>41991</v>
      </c>
      <c r="I455" s="23" t="s">
        <v>11422</v>
      </c>
      <c r="L455" s="23" t="s">
        <v>11422</v>
      </c>
      <c r="O455" s="30" t="s">
        <v>11422</v>
      </c>
      <c r="P455" t="s">
        <v>11422</v>
      </c>
    </row>
    <row r="456" spans="1:16" x14ac:dyDescent="0.25">
      <c r="A456" t="s">
        <v>2704</v>
      </c>
      <c r="B456">
        <v>268</v>
      </c>
      <c r="C456" t="s">
        <v>12082</v>
      </c>
      <c r="D456" s="27">
        <v>6.12</v>
      </c>
      <c r="E456" t="s">
        <v>12081</v>
      </c>
      <c r="F456" s="18">
        <v>41991</v>
      </c>
      <c r="I456" s="23" t="s">
        <v>11422</v>
      </c>
      <c r="L456" s="23" t="s">
        <v>11422</v>
      </c>
      <c r="O456" s="30" t="s">
        <v>11422</v>
      </c>
      <c r="P456" t="s">
        <v>11422</v>
      </c>
    </row>
    <row r="457" spans="1:16" x14ac:dyDescent="0.25">
      <c r="A457" t="s">
        <v>2260</v>
      </c>
      <c r="B457">
        <v>32</v>
      </c>
      <c r="C457" t="s">
        <v>12189</v>
      </c>
      <c r="D457" s="27">
        <v>5.61</v>
      </c>
      <c r="E457" t="s">
        <v>12083</v>
      </c>
      <c r="F457" s="18">
        <v>41991</v>
      </c>
      <c r="I457" s="23" t="s">
        <v>11422</v>
      </c>
      <c r="L457" s="23" t="s">
        <v>11422</v>
      </c>
      <c r="O457" s="30" t="s">
        <v>11422</v>
      </c>
      <c r="P457" t="s">
        <v>11422</v>
      </c>
    </row>
    <row r="458" spans="1:16" x14ac:dyDescent="0.25">
      <c r="A458" t="s">
        <v>2993</v>
      </c>
      <c r="B458">
        <v>417</v>
      </c>
      <c r="C458" t="s">
        <v>12115</v>
      </c>
      <c r="D458" s="27">
        <v>10.199999999999999</v>
      </c>
      <c r="E458" t="s">
        <v>12114</v>
      </c>
      <c r="F458" s="18">
        <v>41991</v>
      </c>
      <c r="I458" s="23" t="s">
        <v>11422</v>
      </c>
      <c r="L458" s="23" t="s">
        <v>11422</v>
      </c>
      <c r="O458" s="30" t="s">
        <v>11422</v>
      </c>
      <c r="P458" t="s">
        <v>11422</v>
      </c>
    </row>
    <row r="459" spans="1:16" x14ac:dyDescent="0.25">
      <c r="A459" t="s">
        <v>12209</v>
      </c>
      <c r="B459">
        <v>912</v>
      </c>
      <c r="C459" t="s">
        <v>12344</v>
      </c>
      <c r="D459" s="27">
        <v>6.63</v>
      </c>
      <c r="E459" t="s">
        <v>12320</v>
      </c>
      <c r="F459" s="28">
        <v>42002</v>
      </c>
      <c r="G459" s="34">
        <v>250</v>
      </c>
      <c r="H459" s="18">
        <v>42041</v>
      </c>
      <c r="I459" s="23" t="s">
        <v>11422</v>
      </c>
      <c r="L459" s="23" t="s">
        <v>11422</v>
      </c>
      <c r="O459" s="30" t="s">
        <v>11422</v>
      </c>
      <c r="P459" t="s">
        <v>11422</v>
      </c>
    </row>
    <row r="460" spans="1:16" x14ac:dyDescent="0.25">
      <c r="A460" t="s">
        <v>11454</v>
      </c>
      <c r="B460">
        <v>857</v>
      </c>
      <c r="C460" t="s">
        <v>12466</v>
      </c>
      <c r="D460" s="27">
        <v>8.5</v>
      </c>
      <c r="E460" t="s">
        <v>12315</v>
      </c>
      <c r="F460" s="28">
        <v>42000</v>
      </c>
      <c r="I460" s="23" t="s">
        <v>11422</v>
      </c>
      <c r="L460" s="23" t="s">
        <v>11422</v>
      </c>
      <c r="O460" s="30" t="s">
        <v>11422</v>
      </c>
      <c r="P460" t="s">
        <v>11422</v>
      </c>
    </row>
    <row r="461" spans="1:16" x14ac:dyDescent="0.25">
      <c r="A461" t="s">
        <v>3015</v>
      </c>
      <c r="B461">
        <v>428</v>
      </c>
      <c r="C461" t="s">
        <v>12511</v>
      </c>
      <c r="D461" s="27">
        <v>6.63</v>
      </c>
      <c r="E461" t="s">
        <v>12322</v>
      </c>
      <c r="F461" s="28">
        <v>42000</v>
      </c>
      <c r="I461" s="23" t="s">
        <v>11422</v>
      </c>
      <c r="L461" s="23" t="s">
        <v>11422</v>
      </c>
      <c r="O461" s="30" t="s">
        <v>11422</v>
      </c>
      <c r="P461" t="s">
        <v>11422</v>
      </c>
    </row>
    <row r="462" spans="1:16" x14ac:dyDescent="0.25">
      <c r="A462" t="s">
        <v>3015</v>
      </c>
      <c r="B462">
        <v>428</v>
      </c>
      <c r="C462" t="s">
        <v>12514</v>
      </c>
      <c r="D462" s="27">
        <v>8.9250000000000007</v>
      </c>
      <c r="E462" t="s">
        <v>12307</v>
      </c>
      <c r="F462" s="28">
        <v>41999</v>
      </c>
      <c r="I462" s="23" t="s">
        <v>11422</v>
      </c>
      <c r="L462" s="23" t="s">
        <v>11422</v>
      </c>
      <c r="O462" s="30" t="s">
        <v>11422</v>
      </c>
      <c r="P462" t="s">
        <v>11422</v>
      </c>
    </row>
    <row r="463" spans="1:16" x14ac:dyDescent="0.25">
      <c r="A463" t="s">
        <v>11512</v>
      </c>
      <c r="B463">
        <v>898</v>
      </c>
      <c r="C463" t="s">
        <v>12515</v>
      </c>
      <c r="D463" s="27">
        <v>5.8650000000000002</v>
      </c>
      <c r="E463" t="s">
        <v>12330</v>
      </c>
      <c r="F463" s="28">
        <v>41997</v>
      </c>
      <c r="I463" s="23" t="s">
        <v>11422</v>
      </c>
      <c r="L463" s="23" t="s">
        <v>11422</v>
      </c>
      <c r="O463" s="30" t="s">
        <v>11422</v>
      </c>
      <c r="P463" t="s">
        <v>11422</v>
      </c>
    </row>
    <row r="464" spans="1:16" x14ac:dyDescent="0.25">
      <c r="A464" t="s">
        <v>3778</v>
      </c>
      <c r="B464">
        <v>823</v>
      </c>
      <c r="C464" t="s">
        <v>12347</v>
      </c>
      <c r="D464" s="27">
        <v>4.335</v>
      </c>
      <c r="E464" t="s">
        <v>12289</v>
      </c>
      <c r="F464" s="28">
        <v>41996</v>
      </c>
      <c r="I464" s="23" t="s">
        <v>11422</v>
      </c>
      <c r="L464" s="23" t="s">
        <v>11422</v>
      </c>
      <c r="O464" s="30" t="s">
        <v>11422</v>
      </c>
      <c r="P464" t="s">
        <v>11422</v>
      </c>
    </row>
    <row r="465" spans="1:16" x14ac:dyDescent="0.25">
      <c r="A465" t="s">
        <v>3490</v>
      </c>
      <c r="B465">
        <v>674</v>
      </c>
      <c r="C465" t="s">
        <v>12468</v>
      </c>
      <c r="D465" s="27">
        <v>7</v>
      </c>
      <c r="E465" t="s">
        <v>12295</v>
      </c>
      <c r="F465" s="28">
        <v>41996</v>
      </c>
      <c r="I465" s="23" t="s">
        <v>11422</v>
      </c>
      <c r="L465" s="23" t="s">
        <v>11422</v>
      </c>
      <c r="O465" s="30" t="s">
        <v>11422</v>
      </c>
      <c r="P465" t="s">
        <v>11422</v>
      </c>
    </row>
    <row r="466" spans="1:16" x14ac:dyDescent="0.25">
      <c r="A466" t="s">
        <v>3713</v>
      </c>
      <c r="B466">
        <v>790</v>
      </c>
      <c r="C466" t="s">
        <v>12517</v>
      </c>
      <c r="D466" s="27">
        <v>4.8449999999999998</v>
      </c>
      <c r="E466" t="s">
        <v>12311</v>
      </c>
      <c r="F466" s="28">
        <v>41996</v>
      </c>
      <c r="I466" s="23" t="s">
        <v>11422</v>
      </c>
      <c r="L466" s="23" t="s">
        <v>11422</v>
      </c>
      <c r="O466" s="30" t="s">
        <v>11422</v>
      </c>
      <c r="P466" t="s">
        <v>11422</v>
      </c>
    </row>
    <row r="467" spans="1:16" x14ac:dyDescent="0.25">
      <c r="A467" t="s">
        <v>3003</v>
      </c>
      <c r="B467">
        <v>422</v>
      </c>
      <c r="C467" t="s">
        <v>12520</v>
      </c>
      <c r="D467" s="27">
        <v>5.0999999999999996</v>
      </c>
      <c r="E467" t="s">
        <v>12297</v>
      </c>
      <c r="F467" s="28">
        <v>41995</v>
      </c>
      <c r="I467" s="23" t="s">
        <v>11422</v>
      </c>
      <c r="L467" s="23" t="s">
        <v>11422</v>
      </c>
      <c r="O467" s="30" t="s">
        <v>11422</v>
      </c>
      <c r="P467" t="s">
        <v>11422</v>
      </c>
    </row>
    <row r="468" spans="1:16" x14ac:dyDescent="0.25">
      <c r="A468" t="s">
        <v>3502</v>
      </c>
      <c r="B468">
        <v>680</v>
      </c>
      <c r="C468" t="s">
        <v>12349</v>
      </c>
      <c r="D468" s="27">
        <v>3.8250000000000002</v>
      </c>
      <c r="E468" t="s">
        <v>12299</v>
      </c>
      <c r="F468" s="28">
        <v>41995</v>
      </c>
      <c r="I468" s="23" t="s">
        <v>11422</v>
      </c>
      <c r="L468" s="23" t="s">
        <v>11422</v>
      </c>
      <c r="O468" s="30" t="s">
        <v>11422</v>
      </c>
      <c r="P468" t="s">
        <v>11422</v>
      </c>
    </row>
    <row r="469" spans="1:16" x14ac:dyDescent="0.25">
      <c r="A469" t="s">
        <v>3590</v>
      </c>
      <c r="B469">
        <v>726</v>
      </c>
      <c r="C469" t="s">
        <v>12521</v>
      </c>
      <c r="D469" s="27">
        <v>8.16</v>
      </c>
      <c r="E469" t="s">
        <v>12303</v>
      </c>
      <c r="F469" s="28">
        <v>41995</v>
      </c>
      <c r="I469" s="23" t="s">
        <v>11422</v>
      </c>
      <c r="L469" s="23" t="s">
        <v>11422</v>
      </c>
      <c r="O469" s="30" t="s">
        <v>11422</v>
      </c>
      <c r="P469" t="s">
        <v>11422</v>
      </c>
    </row>
    <row r="470" spans="1:16" x14ac:dyDescent="0.25">
      <c r="A470" t="s">
        <v>2592</v>
      </c>
      <c r="B470">
        <v>205</v>
      </c>
      <c r="C470" t="s">
        <v>12522</v>
      </c>
      <c r="D470" s="27">
        <v>7.5</v>
      </c>
      <c r="E470" t="s">
        <v>12313</v>
      </c>
      <c r="F470" s="28">
        <v>41995</v>
      </c>
      <c r="I470" s="23" t="s">
        <v>11422</v>
      </c>
      <c r="L470" s="23" t="s">
        <v>11422</v>
      </c>
      <c r="O470" s="30" t="s">
        <v>11422</v>
      </c>
      <c r="P470" t="s">
        <v>11422</v>
      </c>
    </row>
    <row r="471" spans="1:16" x14ac:dyDescent="0.25">
      <c r="A471" t="s">
        <v>3460</v>
      </c>
      <c r="B471">
        <v>659</v>
      </c>
      <c r="C471" t="s">
        <v>12350</v>
      </c>
      <c r="D471" s="27">
        <v>3.06</v>
      </c>
      <c r="E471" t="s">
        <v>12337</v>
      </c>
      <c r="F471" s="28">
        <v>41995</v>
      </c>
      <c r="I471" s="23" t="s">
        <v>11422</v>
      </c>
      <c r="L471" s="23" t="s">
        <v>11422</v>
      </c>
      <c r="O471" s="30" t="s">
        <v>11422</v>
      </c>
      <c r="P471" t="s">
        <v>11422</v>
      </c>
    </row>
    <row r="472" spans="1:16" x14ac:dyDescent="0.25">
      <c r="A472" t="s">
        <v>11510</v>
      </c>
      <c r="B472">
        <v>897</v>
      </c>
      <c r="C472" t="s">
        <v>12524</v>
      </c>
      <c r="D472" s="27">
        <v>2.5499999999999998</v>
      </c>
      <c r="E472" t="s">
        <v>12141</v>
      </c>
      <c r="F472" s="28">
        <v>41993</v>
      </c>
      <c r="I472" s="23" t="s">
        <v>11422</v>
      </c>
      <c r="L472" s="23" t="s">
        <v>11422</v>
      </c>
      <c r="O472" s="30" t="s">
        <v>11422</v>
      </c>
      <c r="P472" t="s">
        <v>11422</v>
      </c>
    </row>
    <row r="473" spans="1:16" x14ac:dyDescent="0.25">
      <c r="A473" t="s">
        <v>3470</v>
      </c>
      <c r="B473">
        <v>664</v>
      </c>
      <c r="C473" t="s">
        <v>12525</v>
      </c>
      <c r="D473" s="27">
        <v>5.8650000000000002</v>
      </c>
      <c r="E473" t="s">
        <v>12144</v>
      </c>
      <c r="F473" s="28">
        <v>41993</v>
      </c>
      <c r="I473" s="23" t="s">
        <v>11422</v>
      </c>
      <c r="L473" s="23" t="s">
        <v>11422</v>
      </c>
      <c r="O473" s="30" t="s">
        <v>11422</v>
      </c>
      <c r="P473" t="s">
        <v>11422</v>
      </c>
    </row>
    <row r="474" spans="1:16" x14ac:dyDescent="0.25">
      <c r="A474" t="s">
        <v>3015</v>
      </c>
      <c r="B474">
        <v>428</v>
      </c>
      <c r="C474" t="s">
        <v>12526</v>
      </c>
      <c r="D474" s="27">
        <v>2.5499999999999998</v>
      </c>
      <c r="E474" t="s">
        <v>12150</v>
      </c>
      <c r="F474" s="28">
        <v>41993</v>
      </c>
      <c r="I474" s="23" t="s">
        <v>11422</v>
      </c>
      <c r="L474" s="23" t="s">
        <v>11422</v>
      </c>
      <c r="O474" s="30" t="s">
        <v>11422</v>
      </c>
      <c r="P474" t="s">
        <v>11422</v>
      </c>
    </row>
    <row r="475" spans="1:16" x14ac:dyDescent="0.25">
      <c r="A475" t="s">
        <v>2927</v>
      </c>
      <c r="B475">
        <v>383</v>
      </c>
      <c r="C475" t="s">
        <v>12528</v>
      </c>
      <c r="D475" s="27">
        <v>2.5</v>
      </c>
      <c r="E475" t="s">
        <v>12157</v>
      </c>
      <c r="F475" s="28">
        <v>41993</v>
      </c>
      <c r="I475" s="23" t="s">
        <v>11422</v>
      </c>
      <c r="L475" s="23" t="s">
        <v>11422</v>
      </c>
      <c r="O475" s="30" t="s">
        <v>11422</v>
      </c>
      <c r="P475" t="s">
        <v>11422</v>
      </c>
    </row>
    <row r="476" spans="1:16" x14ac:dyDescent="0.25">
      <c r="A476" t="s">
        <v>2260</v>
      </c>
      <c r="B476">
        <v>32</v>
      </c>
      <c r="C476" t="s">
        <v>12529</v>
      </c>
      <c r="D476" s="27">
        <v>5.75</v>
      </c>
      <c r="E476" t="s">
        <v>12175</v>
      </c>
      <c r="F476" s="28">
        <v>41993</v>
      </c>
      <c r="I476" s="23" t="s">
        <v>11422</v>
      </c>
      <c r="L476" s="23" t="s">
        <v>11422</v>
      </c>
      <c r="O476" s="30" t="s">
        <v>11422</v>
      </c>
      <c r="P476" t="s">
        <v>11422</v>
      </c>
    </row>
    <row r="477" spans="1:16" x14ac:dyDescent="0.25">
      <c r="A477" t="s">
        <v>12208</v>
      </c>
      <c r="B477">
        <v>911</v>
      </c>
      <c r="C477" t="s">
        <v>12353</v>
      </c>
      <c r="D477" s="27">
        <v>5.0999999999999996</v>
      </c>
      <c r="E477" t="s">
        <v>12177</v>
      </c>
      <c r="F477" s="28">
        <v>41993</v>
      </c>
      <c r="G477" s="34">
        <v>250</v>
      </c>
      <c r="H477" s="18">
        <v>42041</v>
      </c>
      <c r="I477" s="23" t="s">
        <v>11422</v>
      </c>
      <c r="L477" s="23" t="s">
        <v>11422</v>
      </c>
      <c r="O477" s="30" t="s">
        <v>11422</v>
      </c>
      <c r="P477" t="s">
        <v>11422</v>
      </c>
    </row>
    <row r="478" spans="1:16" x14ac:dyDescent="0.25">
      <c r="A478" t="s">
        <v>11454</v>
      </c>
      <c r="B478">
        <v>857</v>
      </c>
      <c r="C478" t="s">
        <v>12530</v>
      </c>
      <c r="D478" s="27">
        <v>7</v>
      </c>
      <c r="E478" t="s">
        <v>12179</v>
      </c>
      <c r="F478" s="28">
        <v>41993</v>
      </c>
      <c r="I478" s="23" t="s">
        <v>11422</v>
      </c>
      <c r="L478" s="23" t="s">
        <v>11422</v>
      </c>
      <c r="O478" s="30" t="s">
        <v>11422</v>
      </c>
      <c r="P478" t="s">
        <v>11422</v>
      </c>
    </row>
    <row r="479" spans="1:16" x14ac:dyDescent="0.25">
      <c r="A479" t="s">
        <v>2240</v>
      </c>
      <c r="B479">
        <v>879</v>
      </c>
      <c r="C479" t="s">
        <v>12533</v>
      </c>
      <c r="D479" s="27">
        <v>11.25</v>
      </c>
      <c r="E479" t="s">
        <v>12138</v>
      </c>
      <c r="F479" s="28">
        <v>41992</v>
      </c>
      <c r="I479" s="23" t="s">
        <v>11422</v>
      </c>
      <c r="L479" s="23" t="s">
        <v>11422</v>
      </c>
      <c r="O479" s="30" t="s">
        <v>11422</v>
      </c>
      <c r="P479" t="s">
        <v>11422</v>
      </c>
    </row>
    <row r="480" spans="1:16" x14ac:dyDescent="0.25">
      <c r="A480" t="s">
        <v>3590</v>
      </c>
      <c r="B480">
        <v>726</v>
      </c>
      <c r="C480" t="s">
        <v>12534</v>
      </c>
      <c r="D480" s="27">
        <v>3.8250000000000002</v>
      </c>
      <c r="E480" t="s">
        <v>12146</v>
      </c>
      <c r="F480" s="28">
        <v>41992</v>
      </c>
      <c r="I480" s="23" t="s">
        <v>11422</v>
      </c>
      <c r="L480" s="23" t="s">
        <v>11422</v>
      </c>
      <c r="O480" s="30" t="s">
        <v>11422</v>
      </c>
      <c r="P480" t="s">
        <v>11422</v>
      </c>
    </row>
    <row r="481" spans="1:16" x14ac:dyDescent="0.25">
      <c r="A481" t="s">
        <v>2242</v>
      </c>
      <c r="B481">
        <v>22</v>
      </c>
      <c r="C481" t="s">
        <v>12536</v>
      </c>
      <c r="D481" s="27">
        <v>9.5</v>
      </c>
      <c r="E481" t="s">
        <v>12162</v>
      </c>
      <c r="F481" s="28">
        <v>41992</v>
      </c>
      <c r="I481" s="23" t="s">
        <v>11422</v>
      </c>
      <c r="L481" s="23" t="s">
        <v>11422</v>
      </c>
      <c r="O481" s="30" t="s">
        <v>11422</v>
      </c>
      <c r="P481" t="s">
        <v>11422</v>
      </c>
    </row>
    <row r="482" spans="1:16" x14ac:dyDescent="0.25">
      <c r="A482" t="s">
        <v>3470</v>
      </c>
      <c r="B482">
        <v>664</v>
      </c>
      <c r="C482" t="s">
        <v>12354</v>
      </c>
      <c r="D482" s="27">
        <v>7.14</v>
      </c>
      <c r="E482" t="s">
        <v>12166</v>
      </c>
      <c r="F482" s="28">
        <v>41992</v>
      </c>
      <c r="I482" s="23" t="s">
        <v>11422</v>
      </c>
      <c r="L482" s="23" t="s">
        <v>11422</v>
      </c>
      <c r="O482" s="30" t="s">
        <v>11422</v>
      </c>
      <c r="P482" t="s">
        <v>11422</v>
      </c>
    </row>
    <row r="483" spans="1:16" x14ac:dyDescent="0.25">
      <c r="A483" t="s">
        <v>2993</v>
      </c>
      <c r="B483">
        <v>417</v>
      </c>
      <c r="C483" t="s">
        <v>12538</v>
      </c>
      <c r="D483" s="27">
        <v>4.335</v>
      </c>
      <c r="E483" t="s">
        <v>12168</v>
      </c>
      <c r="F483" s="28">
        <v>41992</v>
      </c>
      <c r="I483" s="23" t="s">
        <v>11422</v>
      </c>
      <c r="L483" s="23" t="s">
        <v>11422</v>
      </c>
      <c r="O483" s="30" t="s">
        <v>11422</v>
      </c>
      <c r="P483" t="s">
        <v>11422</v>
      </c>
    </row>
    <row r="484" spans="1:16" x14ac:dyDescent="0.25">
      <c r="A484" t="s">
        <v>11496</v>
      </c>
      <c r="B484">
        <v>890</v>
      </c>
      <c r="C484" t="s">
        <v>12539</v>
      </c>
      <c r="D484" s="27">
        <v>2.5499999999999998</v>
      </c>
      <c r="E484" t="s">
        <v>12173</v>
      </c>
      <c r="F484" s="28">
        <v>41992</v>
      </c>
      <c r="I484" s="23" t="s">
        <v>11422</v>
      </c>
      <c r="L484" s="23" t="s">
        <v>11422</v>
      </c>
      <c r="O484" s="30" t="s">
        <v>11422</v>
      </c>
      <c r="P484" t="s">
        <v>11422</v>
      </c>
    </row>
    <row r="485" spans="1:16" x14ac:dyDescent="0.25">
      <c r="A485" t="s">
        <v>2944</v>
      </c>
      <c r="B485">
        <v>392</v>
      </c>
      <c r="C485" t="s">
        <v>12116</v>
      </c>
      <c r="D485" s="27">
        <v>14.5</v>
      </c>
      <c r="E485" t="s">
        <v>12102</v>
      </c>
      <c r="F485" s="28">
        <v>41990</v>
      </c>
      <c r="I485" s="23" t="s">
        <v>11422</v>
      </c>
      <c r="L485" s="23" t="s">
        <v>11422</v>
      </c>
      <c r="O485" s="30" t="s">
        <v>11422</v>
      </c>
      <c r="P485" t="s">
        <v>11422</v>
      </c>
    </row>
    <row r="486" spans="1:16" x14ac:dyDescent="0.25">
      <c r="A486" t="s">
        <v>12249</v>
      </c>
      <c r="B486">
        <v>918</v>
      </c>
      <c r="C486" t="s">
        <v>12542</v>
      </c>
      <c r="D486" s="27">
        <v>5.3550000000000004</v>
      </c>
      <c r="E486" t="s">
        <v>12152</v>
      </c>
      <c r="F486" s="28">
        <v>41990</v>
      </c>
      <c r="G486" s="34">
        <v>250</v>
      </c>
      <c r="H486" s="18">
        <v>42010</v>
      </c>
      <c r="I486" s="23" t="s">
        <v>11422</v>
      </c>
      <c r="J486" s="23">
        <v>178.5</v>
      </c>
      <c r="K486" s="18">
        <v>42010</v>
      </c>
      <c r="L486" s="23" t="s">
        <v>11422</v>
      </c>
      <c r="O486" s="30" t="s">
        <v>11422</v>
      </c>
      <c r="P486" t="s">
        <v>11422</v>
      </c>
    </row>
    <row r="487" spans="1:16" x14ac:dyDescent="0.25">
      <c r="A487" t="s">
        <v>2401</v>
      </c>
      <c r="B487">
        <v>107</v>
      </c>
      <c r="C487" t="s">
        <v>12088</v>
      </c>
      <c r="D487" s="27">
        <v>8.5</v>
      </c>
      <c r="E487" t="s">
        <v>12087</v>
      </c>
      <c r="F487" s="28">
        <v>41990</v>
      </c>
      <c r="I487" s="23" t="s">
        <v>11422</v>
      </c>
      <c r="L487" s="23" t="s">
        <v>11422</v>
      </c>
      <c r="O487" s="30" t="s">
        <v>11422</v>
      </c>
      <c r="P487" t="s">
        <v>11422</v>
      </c>
    </row>
    <row r="488" spans="1:16" x14ac:dyDescent="0.25">
      <c r="A488" t="s">
        <v>12209</v>
      </c>
      <c r="B488">
        <v>912</v>
      </c>
      <c r="C488" t="s">
        <v>12469</v>
      </c>
      <c r="D488" s="27">
        <v>3.06</v>
      </c>
      <c r="E488" t="s">
        <v>12369</v>
      </c>
      <c r="F488" s="28">
        <v>42009</v>
      </c>
      <c r="G488" s="34">
        <v>250</v>
      </c>
      <c r="H488" s="18">
        <v>42041</v>
      </c>
      <c r="I488" s="23" t="s">
        <v>11422</v>
      </c>
      <c r="L488" s="23" t="s">
        <v>11422</v>
      </c>
      <c r="O488" s="30" t="s">
        <v>11422</v>
      </c>
      <c r="P488" t="s">
        <v>11422</v>
      </c>
    </row>
    <row r="489" spans="1:16" x14ac:dyDescent="0.25">
      <c r="A489" t="s">
        <v>12214</v>
      </c>
      <c r="B489">
        <v>915</v>
      </c>
      <c r="C489" t="s">
        <v>12545</v>
      </c>
      <c r="D489" s="27">
        <v>4.8449999999999998</v>
      </c>
      <c r="E489" t="s">
        <v>12385</v>
      </c>
      <c r="F489" s="28">
        <v>42007</v>
      </c>
      <c r="G489" s="34">
        <v>250</v>
      </c>
      <c r="H489" s="18">
        <v>42041</v>
      </c>
      <c r="I489" s="23" t="s">
        <v>11422</v>
      </c>
      <c r="L489" s="23" t="s">
        <v>11422</v>
      </c>
      <c r="O489" s="30" t="s">
        <v>11422</v>
      </c>
      <c r="P489" t="s">
        <v>11422</v>
      </c>
    </row>
    <row r="490" spans="1:16" x14ac:dyDescent="0.25">
      <c r="A490" t="s">
        <v>3567</v>
      </c>
      <c r="B490">
        <v>714</v>
      </c>
      <c r="C490" t="s">
        <v>12451</v>
      </c>
      <c r="D490" s="27">
        <v>12.75</v>
      </c>
      <c r="E490" t="s">
        <v>12418</v>
      </c>
      <c r="F490" s="28">
        <v>42007</v>
      </c>
      <c r="I490" s="23" t="s">
        <v>11422</v>
      </c>
      <c r="L490" s="23" t="s">
        <v>11422</v>
      </c>
      <c r="O490" s="30" t="s">
        <v>11422</v>
      </c>
      <c r="P490" t="s">
        <v>11422</v>
      </c>
    </row>
    <row r="491" spans="1:16" x14ac:dyDescent="0.25">
      <c r="A491" t="s">
        <v>11454</v>
      </c>
      <c r="B491">
        <v>857</v>
      </c>
      <c r="C491" t="s">
        <v>12452</v>
      </c>
      <c r="D491" s="27">
        <v>8.25</v>
      </c>
      <c r="E491" t="s">
        <v>12367</v>
      </c>
      <c r="F491" s="28">
        <v>42006</v>
      </c>
      <c r="I491" s="23" t="s">
        <v>11422</v>
      </c>
      <c r="L491" s="23" t="s">
        <v>11422</v>
      </c>
      <c r="O491" s="30" t="s">
        <v>11422</v>
      </c>
      <c r="P491" t="s">
        <v>11422</v>
      </c>
    </row>
    <row r="492" spans="1:16" x14ac:dyDescent="0.25">
      <c r="A492" t="s">
        <v>3767</v>
      </c>
      <c r="B492">
        <v>817</v>
      </c>
      <c r="C492" t="s">
        <v>12459</v>
      </c>
      <c r="D492" s="27">
        <v>9.4350000000000005</v>
      </c>
      <c r="E492" t="s">
        <v>12365</v>
      </c>
      <c r="F492" s="28">
        <v>42003</v>
      </c>
      <c r="I492" s="23" t="s">
        <v>11422</v>
      </c>
      <c r="L492" s="23" t="s">
        <v>11422</v>
      </c>
      <c r="O492" s="30" t="s">
        <v>11422</v>
      </c>
      <c r="P492" t="s">
        <v>11422</v>
      </c>
    </row>
    <row r="493" spans="1:16" x14ac:dyDescent="0.25">
      <c r="A493" t="s">
        <v>2252</v>
      </c>
      <c r="B493">
        <v>28</v>
      </c>
      <c r="C493" t="s">
        <v>12551</v>
      </c>
      <c r="D493" s="27">
        <v>8.4149999999999991</v>
      </c>
      <c r="E493" t="s">
        <v>12371</v>
      </c>
      <c r="F493" s="28">
        <v>42003</v>
      </c>
      <c r="G493" s="34">
        <v>250</v>
      </c>
      <c r="H493" s="18">
        <v>42027</v>
      </c>
      <c r="I493" s="23" t="s">
        <v>11422</v>
      </c>
      <c r="J493" s="23">
        <v>420.74999999999994</v>
      </c>
      <c r="K493" s="18">
        <v>42027</v>
      </c>
      <c r="L493" s="23" t="s">
        <v>11422</v>
      </c>
      <c r="O493" s="30" t="s">
        <v>11422</v>
      </c>
      <c r="P493" t="s">
        <v>11422</v>
      </c>
    </row>
    <row r="494" spans="1:16" x14ac:dyDescent="0.25">
      <c r="A494" t="s">
        <v>3590</v>
      </c>
      <c r="B494">
        <v>726</v>
      </c>
      <c r="C494" t="s">
        <v>12552</v>
      </c>
      <c r="D494" s="27">
        <v>8.4149999999999991</v>
      </c>
      <c r="E494" t="s">
        <v>12379</v>
      </c>
      <c r="F494" s="28">
        <v>42003</v>
      </c>
      <c r="I494" s="23" t="s">
        <v>11422</v>
      </c>
      <c r="L494" s="23" t="s">
        <v>11422</v>
      </c>
      <c r="O494" s="30" t="s">
        <v>11422</v>
      </c>
      <c r="P494" t="s">
        <v>11422</v>
      </c>
    </row>
    <row r="495" spans="1:16" x14ac:dyDescent="0.25">
      <c r="A495" t="s">
        <v>3590</v>
      </c>
      <c r="B495">
        <v>726</v>
      </c>
      <c r="C495" t="s">
        <v>12553</v>
      </c>
      <c r="D495" s="27">
        <v>5.0999999999999996</v>
      </c>
      <c r="E495" t="s">
        <v>12381</v>
      </c>
      <c r="F495" s="28">
        <v>42003</v>
      </c>
      <c r="I495" s="23" t="s">
        <v>11422</v>
      </c>
      <c r="L495" s="23" t="s">
        <v>11422</v>
      </c>
      <c r="O495" s="30" t="s">
        <v>11422</v>
      </c>
      <c r="P495" t="s">
        <v>11422</v>
      </c>
    </row>
    <row r="496" spans="1:16" x14ac:dyDescent="0.25">
      <c r="A496" t="s">
        <v>3486</v>
      </c>
      <c r="B496">
        <v>672</v>
      </c>
      <c r="C496" t="s">
        <v>12456</v>
      </c>
      <c r="D496" s="27">
        <v>4.08</v>
      </c>
      <c r="E496" t="s">
        <v>12401</v>
      </c>
      <c r="F496" s="28">
        <v>42003</v>
      </c>
      <c r="I496" s="23" t="s">
        <v>11422</v>
      </c>
      <c r="L496" s="23" t="s">
        <v>11422</v>
      </c>
      <c r="O496" s="30" t="s">
        <v>11422</v>
      </c>
      <c r="P496" t="s">
        <v>11422</v>
      </c>
    </row>
    <row r="497" spans="1:16" x14ac:dyDescent="0.25">
      <c r="A497" t="s">
        <v>3567</v>
      </c>
      <c r="B497">
        <v>714</v>
      </c>
      <c r="C497" t="s">
        <v>12554</v>
      </c>
      <c r="D497" s="27">
        <v>4.335</v>
      </c>
      <c r="E497" t="s">
        <v>12420</v>
      </c>
      <c r="F497" s="28">
        <v>42003</v>
      </c>
      <c r="I497" s="23" t="s">
        <v>11422</v>
      </c>
      <c r="L497" s="23" t="s">
        <v>11422</v>
      </c>
      <c r="O497" s="30" t="s">
        <v>11422</v>
      </c>
      <c r="P497" t="s">
        <v>11422</v>
      </c>
    </row>
    <row r="498" spans="1:16" x14ac:dyDescent="0.25">
      <c r="A498" t="s">
        <v>3486</v>
      </c>
      <c r="B498">
        <v>672</v>
      </c>
      <c r="C498" t="s">
        <v>12460</v>
      </c>
      <c r="D498" s="27">
        <v>5.0999999999999996</v>
      </c>
      <c r="E498" t="s">
        <v>12427</v>
      </c>
      <c r="F498" s="28">
        <v>42003</v>
      </c>
      <c r="I498" s="23" t="s">
        <v>11422</v>
      </c>
      <c r="L498" s="23" t="s">
        <v>11422</v>
      </c>
      <c r="O498" s="30" t="s">
        <v>11422</v>
      </c>
      <c r="P498" t="s">
        <v>11422</v>
      </c>
    </row>
    <row r="499" spans="1:16" x14ac:dyDescent="0.25">
      <c r="A499" t="s">
        <v>3713</v>
      </c>
      <c r="B499">
        <v>790</v>
      </c>
      <c r="C499" t="s">
        <v>12555</v>
      </c>
      <c r="D499" s="27">
        <v>8.4149999999999991</v>
      </c>
      <c r="E499" t="s">
        <v>12377</v>
      </c>
      <c r="F499" s="28">
        <v>42002</v>
      </c>
      <c r="I499" s="23" t="s">
        <v>11422</v>
      </c>
      <c r="L499" s="23" t="s">
        <v>11422</v>
      </c>
      <c r="O499" s="30" t="s">
        <v>11422</v>
      </c>
      <c r="P499" t="s">
        <v>11422</v>
      </c>
    </row>
    <row r="500" spans="1:16" x14ac:dyDescent="0.25">
      <c r="A500" t="s">
        <v>3486</v>
      </c>
      <c r="B500">
        <v>672</v>
      </c>
      <c r="C500" t="s">
        <v>12464</v>
      </c>
      <c r="D500" s="27">
        <v>3.3149999999999999</v>
      </c>
      <c r="E500" t="s">
        <v>12399</v>
      </c>
      <c r="F500" s="28">
        <v>42002</v>
      </c>
      <c r="I500" s="23" t="s">
        <v>11422</v>
      </c>
      <c r="L500" s="23" t="s">
        <v>11422</v>
      </c>
      <c r="O500" s="30" t="s">
        <v>11422</v>
      </c>
      <c r="P500" t="s">
        <v>11422</v>
      </c>
    </row>
    <row r="501" spans="1:16" x14ac:dyDescent="0.25">
      <c r="A501" t="s">
        <v>12228</v>
      </c>
      <c r="B501">
        <v>927</v>
      </c>
      <c r="C501" t="s">
        <v>12557</v>
      </c>
      <c r="D501" s="27">
        <v>3.3149999999999999</v>
      </c>
      <c r="E501" t="s">
        <v>12416</v>
      </c>
      <c r="F501" s="28">
        <v>42002</v>
      </c>
      <c r="I501" s="23" t="s">
        <v>11422</v>
      </c>
      <c r="L501" s="23" t="s">
        <v>11422</v>
      </c>
      <c r="O501" s="30" t="s">
        <v>11422</v>
      </c>
      <c r="P501" t="s">
        <v>11422</v>
      </c>
    </row>
    <row r="502" spans="1:16" x14ac:dyDescent="0.25">
      <c r="A502" t="s">
        <v>3486</v>
      </c>
      <c r="B502">
        <v>672</v>
      </c>
      <c r="C502" t="s">
        <v>12558</v>
      </c>
      <c r="D502" s="27">
        <v>2.86</v>
      </c>
      <c r="E502" t="s">
        <v>12429</v>
      </c>
      <c r="F502" s="28">
        <v>42002</v>
      </c>
      <c r="I502" s="23" t="s">
        <v>11422</v>
      </c>
      <c r="L502" s="23" t="s">
        <v>11422</v>
      </c>
      <c r="O502" s="30" t="s">
        <v>11422</v>
      </c>
      <c r="P502" t="s">
        <v>11422</v>
      </c>
    </row>
    <row r="503" spans="1:16" x14ac:dyDescent="0.25">
      <c r="A503" t="s">
        <v>2342</v>
      </c>
      <c r="B503">
        <v>77</v>
      </c>
      <c r="C503" t="s">
        <v>12191</v>
      </c>
      <c r="D503" s="27">
        <v>5</v>
      </c>
      <c r="E503" t="s">
        <v>12091</v>
      </c>
      <c r="F503" s="18">
        <v>41990</v>
      </c>
      <c r="G503" s="34">
        <v>250</v>
      </c>
      <c r="H503" s="18">
        <v>42013</v>
      </c>
      <c r="I503" s="23" t="s">
        <v>11422</v>
      </c>
      <c r="J503" s="23">
        <v>250</v>
      </c>
      <c r="K503" s="18">
        <v>42013</v>
      </c>
      <c r="L503" s="23" t="s">
        <v>11422</v>
      </c>
      <c r="M503" s="23">
        <v>500</v>
      </c>
      <c r="N503" s="18">
        <v>42020</v>
      </c>
      <c r="O503" s="30" t="s">
        <v>11422</v>
      </c>
      <c r="P503" t="s">
        <v>11422</v>
      </c>
    </row>
    <row r="504" spans="1:16" x14ac:dyDescent="0.25">
      <c r="A504" t="s">
        <v>2318</v>
      </c>
      <c r="B504">
        <v>63</v>
      </c>
      <c r="C504" t="s">
        <v>11953</v>
      </c>
      <c r="D504" s="27">
        <v>2.2949999999999999</v>
      </c>
      <c r="E504" t="s">
        <v>11706</v>
      </c>
      <c r="F504" s="18">
        <v>41984</v>
      </c>
      <c r="G504" s="34">
        <v>250</v>
      </c>
      <c r="H504" s="18">
        <v>42013</v>
      </c>
      <c r="I504" s="23" t="s">
        <v>11422</v>
      </c>
      <c r="J504" s="23">
        <v>114.75</v>
      </c>
      <c r="K504" s="18">
        <v>42013</v>
      </c>
      <c r="L504" s="23" t="s">
        <v>11422</v>
      </c>
      <c r="O504" s="30" t="s">
        <v>11422</v>
      </c>
      <c r="P504" t="s">
        <v>11422</v>
      </c>
    </row>
    <row r="505" spans="1:16" x14ac:dyDescent="0.25">
      <c r="A505" t="s">
        <v>3641</v>
      </c>
      <c r="B505">
        <v>753</v>
      </c>
      <c r="C505" t="s">
        <v>12009</v>
      </c>
      <c r="D505" s="27">
        <v>2.8050000000000002</v>
      </c>
      <c r="E505" t="s">
        <v>6370</v>
      </c>
      <c r="F505" s="18">
        <v>41978</v>
      </c>
      <c r="G505" s="34">
        <v>250</v>
      </c>
      <c r="H505" s="18">
        <v>42013</v>
      </c>
      <c r="I505" s="23" t="s">
        <v>11422</v>
      </c>
      <c r="J505" s="23">
        <v>140.25</v>
      </c>
      <c r="K505" s="18">
        <v>42013</v>
      </c>
      <c r="L505" s="23" t="s">
        <v>11422</v>
      </c>
      <c r="O505" s="30" t="s">
        <v>11422</v>
      </c>
      <c r="P505" t="s">
        <v>11422</v>
      </c>
    </row>
    <row r="506" spans="1:16" x14ac:dyDescent="0.25">
      <c r="A506" t="s">
        <v>3155</v>
      </c>
      <c r="B506">
        <v>499</v>
      </c>
      <c r="C506" t="s">
        <v>11941</v>
      </c>
      <c r="D506" s="27">
        <v>3.3149999999999999</v>
      </c>
      <c r="E506" t="s">
        <v>11536</v>
      </c>
      <c r="F506" s="18">
        <v>41985</v>
      </c>
      <c r="G506" s="34">
        <v>250</v>
      </c>
      <c r="H506" s="18">
        <v>42013</v>
      </c>
      <c r="I506" s="23" t="s">
        <v>11422</v>
      </c>
      <c r="J506" s="23">
        <v>165.75</v>
      </c>
      <c r="K506" s="18">
        <v>42013</v>
      </c>
      <c r="L506" s="23" t="s">
        <v>11422</v>
      </c>
      <c r="O506" s="30" t="s">
        <v>11422</v>
      </c>
      <c r="P506" t="s">
        <v>11422</v>
      </c>
    </row>
    <row r="507" spans="1:16" x14ac:dyDescent="0.25">
      <c r="A507" t="s">
        <v>3299</v>
      </c>
      <c r="B507">
        <v>575</v>
      </c>
      <c r="C507" t="s">
        <v>12355</v>
      </c>
      <c r="D507" s="27">
        <v>3.57</v>
      </c>
      <c r="E507" t="s">
        <v>12140</v>
      </c>
      <c r="F507" s="28">
        <v>41992</v>
      </c>
      <c r="G507" s="34">
        <v>250</v>
      </c>
      <c r="H507" s="18">
        <v>42013</v>
      </c>
      <c r="I507" s="23" t="s">
        <v>11422</v>
      </c>
      <c r="J507" s="23">
        <v>178.5</v>
      </c>
      <c r="K507" s="18">
        <v>42013</v>
      </c>
      <c r="L507" s="23" t="s">
        <v>11422</v>
      </c>
      <c r="O507" s="30" t="s">
        <v>11422</v>
      </c>
      <c r="P507" t="s">
        <v>11422</v>
      </c>
    </row>
    <row r="508" spans="1:16" x14ac:dyDescent="0.25">
      <c r="A508" t="s">
        <v>11428</v>
      </c>
      <c r="B508">
        <v>860</v>
      </c>
      <c r="C508" t="s">
        <v>12510</v>
      </c>
      <c r="D508" s="27">
        <v>4</v>
      </c>
      <c r="E508" t="s">
        <v>12317</v>
      </c>
      <c r="F508" s="28">
        <v>42000</v>
      </c>
      <c r="G508" s="34">
        <v>250</v>
      </c>
      <c r="H508" s="18">
        <v>42013</v>
      </c>
      <c r="I508" s="23" t="s">
        <v>11422</v>
      </c>
      <c r="J508" s="23">
        <v>200</v>
      </c>
      <c r="K508" s="18">
        <v>42013</v>
      </c>
      <c r="L508" s="23" t="s">
        <v>11422</v>
      </c>
      <c r="O508" s="30" t="s">
        <v>11422</v>
      </c>
      <c r="P508" t="s">
        <v>11422</v>
      </c>
    </row>
    <row r="509" spans="1:16" x14ac:dyDescent="0.25">
      <c r="A509" t="s">
        <v>3645</v>
      </c>
      <c r="B509">
        <v>755</v>
      </c>
      <c r="C509" t="s">
        <v>12356</v>
      </c>
      <c r="D509" s="27">
        <v>4.08</v>
      </c>
      <c r="E509" t="s">
        <v>12133</v>
      </c>
      <c r="F509" s="28">
        <v>41992</v>
      </c>
      <c r="G509" s="34">
        <v>250</v>
      </c>
      <c r="H509" s="18">
        <v>42013</v>
      </c>
      <c r="I509" s="23" t="s">
        <v>11422</v>
      </c>
      <c r="J509" s="23">
        <v>204</v>
      </c>
      <c r="K509" s="18">
        <v>42013</v>
      </c>
      <c r="L509" s="23" t="s">
        <v>11422</v>
      </c>
      <c r="O509" s="30" t="s">
        <v>11422</v>
      </c>
      <c r="P509" t="s">
        <v>11422</v>
      </c>
    </row>
    <row r="510" spans="1:16" x14ac:dyDescent="0.25">
      <c r="A510" t="s">
        <v>3500</v>
      </c>
      <c r="B510">
        <v>679</v>
      </c>
      <c r="C510" t="s">
        <v>11819</v>
      </c>
      <c r="D510" s="27">
        <v>4.335</v>
      </c>
      <c r="E510" t="s">
        <v>11276</v>
      </c>
      <c r="F510" s="18">
        <v>41977</v>
      </c>
      <c r="G510" s="34">
        <v>250</v>
      </c>
      <c r="H510" s="18">
        <v>42013</v>
      </c>
      <c r="I510" s="23" t="s">
        <v>11422</v>
      </c>
      <c r="J510" s="23">
        <v>216.75</v>
      </c>
      <c r="K510" s="18">
        <v>42013</v>
      </c>
      <c r="L510" s="23" t="s">
        <v>11422</v>
      </c>
      <c r="O510" s="30" t="s">
        <v>11422</v>
      </c>
      <c r="P510" t="s">
        <v>11422</v>
      </c>
    </row>
    <row r="511" spans="1:16" x14ac:dyDescent="0.25">
      <c r="A511" t="s">
        <v>3557</v>
      </c>
      <c r="B511">
        <v>708</v>
      </c>
      <c r="C511" t="s">
        <v>11888</v>
      </c>
      <c r="D511" s="27">
        <v>4.335</v>
      </c>
      <c r="E511" t="s">
        <v>11689</v>
      </c>
      <c r="F511" s="18">
        <v>41988</v>
      </c>
      <c r="G511" s="34">
        <v>250</v>
      </c>
      <c r="H511" s="18">
        <v>42013</v>
      </c>
      <c r="I511" s="23" t="s">
        <v>11422</v>
      </c>
      <c r="J511" s="23">
        <v>216.75</v>
      </c>
      <c r="K511" s="18">
        <v>42013</v>
      </c>
      <c r="L511" s="23" t="s">
        <v>11422</v>
      </c>
      <c r="O511" s="30" t="s">
        <v>11422</v>
      </c>
      <c r="P511" t="s">
        <v>11422</v>
      </c>
    </row>
    <row r="512" spans="1:16" x14ac:dyDescent="0.25">
      <c r="A512" t="s">
        <v>3557</v>
      </c>
      <c r="B512">
        <v>708</v>
      </c>
      <c r="C512" t="s">
        <v>12523</v>
      </c>
      <c r="D512" s="27">
        <v>4.59</v>
      </c>
      <c r="E512" t="s">
        <v>12131</v>
      </c>
      <c r="F512" s="28">
        <v>41993</v>
      </c>
      <c r="G512" s="34">
        <v>250</v>
      </c>
      <c r="H512" s="18">
        <v>42013</v>
      </c>
      <c r="I512" s="23" t="s">
        <v>11422</v>
      </c>
      <c r="J512" s="23">
        <v>229.5</v>
      </c>
      <c r="K512" s="18">
        <v>42013</v>
      </c>
      <c r="L512" s="23" t="s">
        <v>11422</v>
      </c>
      <c r="O512" s="30" t="s">
        <v>11422</v>
      </c>
      <c r="P512" t="s">
        <v>11422</v>
      </c>
    </row>
    <row r="513" spans="1:16" x14ac:dyDescent="0.25">
      <c r="A513" t="s">
        <v>3526</v>
      </c>
      <c r="B513">
        <v>692</v>
      </c>
      <c r="C513" t="s">
        <v>11976</v>
      </c>
      <c r="D513" s="27">
        <v>5.0999999999999996</v>
      </c>
      <c r="E513" t="s">
        <v>4008</v>
      </c>
      <c r="F513" s="18">
        <v>41979</v>
      </c>
      <c r="G513" s="34">
        <v>250</v>
      </c>
      <c r="H513" s="18">
        <v>42013</v>
      </c>
      <c r="I513" s="23" t="s">
        <v>11422</v>
      </c>
      <c r="J513" s="23">
        <v>254.99999999999997</v>
      </c>
      <c r="K513" s="18">
        <v>42013</v>
      </c>
      <c r="L513" s="23" t="s">
        <v>11422</v>
      </c>
      <c r="O513" s="30" t="s">
        <v>11422</v>
      </c>
      <c r="P513" t="s">
        <v>11422</v>
      </c>
    </row>
    <row r="514" spans="1:16" x14ac:dyDescent="0.25">
      <c r="A514" t="s">
        <v>3524</v>
      </c>
      <c r="B514">
        <v>691</v>
      </c>
      <c r="C514" t="s">
        <v>11914</v>
      </c>
      <c r="D514" s="27">
        <v>5.25</v>
      </c>
      <c r="E514" t="s">
        <v>11743</v>
      </c>
      <c r="F514" s="18">
        <v>41989</v>
      </c>
      <c r="G514" s="34">
        <v>250</v>
      </c>
      <c r="H514" s="18">
        <v>42013</v>
      </c>
      <c r="I514" s="23" t="s">
        <v>11422</v>
      </c>
      <c r="J514" s="23">
        <v>262.5</v>
      </c>
      <c r="K514" s="18">
        <v>42013</v>
      </c>
      <c r="L514" s="23" t="s">
        <v>11422</v>
      </c>
      <c r="O514" s="30" t="s">
        <v>11422</v>
      </c>
      <c r="P514" t="s">
        <v>11422</v>
      </c>
    </row>
    <row r="515" spans="1:16" x14ac:dyDescent="0.25">
      <c r="A515" t="s">
        <v>2979</v>
      </c>
      <c r="B515">
        <v>410</v>
      </c>
      <c r="C515" t="s">
        <v>11852</v>
      </c>
      <c r="D515" s="27">
        <v>5.3550000000000004</v>
      </c>
      <c r="E515" t="s">
        <v>11587</v>
      </c>
      <c r="F515" s="18">
        <v>41982</v>
      </c>
      <c r="G515" s="34">
        <v>250</v>
      </c>
      <c r="H515" s="18">
        <v>42013</v>
      </c>
      <c r="I515" s="23" t="s">
        <v>11422</v>
      </c>
      <c r="J515" s="23">
        <v>267.75</v>
      </c>
      <c r="K515" s="18">
        <v>42013</v>
      </c>
      <c r="L515" s="23" t="s">
        <v>11422</v>
      </c>
      <c r="M515" s="23">
        <v>553.25</v>
      </c>
      <c r="N515" s="18">
        <v>42013</v>
      </c>
      <c r="O515" s="30" t="s">
        <v>11422</v>
      </c>
      <c r="P515" t="s">
        <v>11422</v>
      </c>
    </row>
    <row r="516" spans="1:16" x14ac:dyDescent="0.25">
      <c r="A516" t="s">
        <v>3713</v>
      </c>
      <c r="B516">
        <v>790</v>
      </c>
      <c r="C516" t="s">
        <v>11844</v>
      </c>
      <c r="D516" s="27">
        <v>5.3550000000000004</v>
      </c>
      <c r="E516" t="s">
        <v>11710</v>
      </c>
      <c r="F516" s="18">
        <v>41981</v>
      </c>
      <c r="G516" s="34">
        <v>250</v>
      </c>
      <c r="H516" s="18">
        <v>42013</v>
      </c>
      <c r="I516" s="23" t="s">
        <v>11422</v>
      </c>
      <c r="J516" s="23">
        <v>267.75</v>
      </c>
      <c r="K516" s="18">
        <v>42013</v>
      </c>
      <c r="L516" s="23" t="s">
        <v>11422</v>
      </c>
      <c r="O516" s="30" t="s">
        <v>11422</v>
      </c>
      <c r="P516" t="s">
        <v>11422</v>
      </c>
    </row>
    <row r="517" spans="1:16" x14ac:dyDescent="0.25">
      <c r="A517" t="s">
        <v>3608</v>
      </c>
      <c r="B517">
        <v>735</v>
      </c>
      <c r="C517" t="s">
        <v>12437</v>
      </c>
      <c r="D517" s="27">
        <v>4.59</v>
      </c>
      <c r="E517" t="s">
        <v>12436</v>
      </c>
      <c r="F517" s="28">
        <v>42009</v>
      </c>
      <c r="I517" s="23" t="s">
        <v>11422</v>
      </c>
      <c r="J517" s="23">
        <v>229.5</v>
      </c>
      <c r="K517" s="18">
        <v>42020</v>
      </c>
      <c r="L517" s="23" t="s">
        <v>11422</v>
      </c>
      <c r="O517" s="30" t="s">
        <v>11422</v>
      </c>
      <c r="P517" t="s">
        <v>11422</v>
      </c>
    </row>
    <row r="518" spans="1:16" x14ac:dyDescent="0.25">
      <c r="A518" t="s">
        <v>23</v>
      </c>
      <c r="B518">
        <v>255</v>
      </c>
      <c r="C518" t="s">
        <v>13078</v>
      </c>
      <c r="D518" s="27">
        <v>7</v>
      </c>
      <c r="E518" t="s">
        <v>12914</v>
      </c>
      <c r="F518" s="28">
        <v>42023</v>
      </c>
      <c r="I518" s="23" t="s">
        <v>11422</v>
      </c>
      <c r="L518" s="23" t="s">
        <v>11422</v>
      </c>
      <c r="O518" s="30" t="s">
        <v>11422</v>
      </c>
      <c r="P518" t="s">
        <v>11422</v>
      </c>
    </row>
    <row r="519" spans="1:16" x14ac:dyDescent="0.25">
      <c r="A519" t="s">
        <v>137</v>
      </c>
      <c r="B519">
        <v>648</v>
      </c>
      <c r="C519" t="s">
        <v>13079</v>
      </c>
      <c r="D519" s="27">
        <v>11.25</v>
      </c>
      <c r="E519" t="s">
        <v>12915</v>
      </c>
      <c r="F519" s="28">
        <v>42021</v>
      </c>
      <c r="I519" s="23" t="s">
        <v>11422</v>
      </c>
      <c r="L519" s="23" t="s">
        <v>11422</v>
      </c>
      <c r="O519" s="30" t="s">
        <v>11422</v>
      </c>
      <c r="P519" t="s">
        <v>11422</v>
      </c>
    </row>
    <row r="520" spans="1:16" x14ac:dyDescent="0.25">
      <c r="A520" t="s">
        <v>11438</v>
      </c>
      <c r="B520">
        <v>859</v>
      </c>
      <c r="C520" t="s">
        <v>13080</v>
      </c>
      <c r="D520" s="27">
        <v>14.5</v>
      </c>
      <c r="E520" t="s">
        <v>12916</v>
      </c>
      <c r="F520" s="28">
        <v>42021</v>
      </c>
      <c r="I520" s="23" t="s">
        <v>11422</v>
      </c>
      <c r="J520" s="23">
        <v>725</v>
      </c>
      <c r="K520" s="18">
        <v>42045</v>
      </c>
      <c r="L520" s="23" t="s">
        <v>11422</v>
      </c>
      <c r="O520" s="30" t="s">
        <v>11422</v>
      </c>
      <c r="P520" t="s">
        <v>11422</v>
      </c>
    </row>
    <row r="521" spans="1:16" x14ac:dyDescent="0.25">
      <c r="A521" t="s">
        <v>12501</v>
      </c>
      <c r="B521">
        <v>967</v>
      </c>
      <c r="C521" t="s">
        <v>13081</v>
      </c>
      <c r="D521" s="27">
        <v>9.4350000000000005</v>
      </c>
      <c r="E521" t="s">
        <v>12917</v>
      </c>
      <c r="F521" s="28">
        <v>42020</v>
      </c>
      <c r="G521" s="34">
        <v>250</v>
      </c>
      <c r="H521" s="18">
        <v>42041</v>
      </c>
      <c r="I521" s="23" t="s">
        <v>11422</v>
      </c>
      <c r="L521" s="23" t="s">
        <v>11422</v>
      </c>
      <c r="O521" s="30" t="s">
        <v>11422</v>
      </c>
      <c r="P521" t="s">
        <v>11422</v>
      </c>
    </row>
    <row r="522" spans="1:16" x14ac:dyDescent="0.25">
      <c r="A522" t="s">
        <v>3155</v>
      </c>
      <c r="B522">
        <v>499</v>
      </c>
      <c r="C522" t="s">
        <v>13082</v>
      </c>
      <c r="D522" s="27">
        <v>5.0999999999999996</v>
      </c>
      <c r="E522" t="s">
        <v>12918</v>
      </c>
      <c r="F522" s="28">
        <v>42020</v>
      </c>
      <c r="I522" s="23" t="s">
        <v>11422</v>
      </c>
      <c r="L522" s="23" t="s">
        <v>11422</v>
      </c>
      <c r="O522" s="30" t="s">
        <v>11422</v>
      </c>
      <c r="P522" t="s">
        <v>11422</v>
      </c>
    </row>
    <row r="523" spans="1:16" x14ac:dyDescent="0.25">
      <c r="A523" t="s">
        <v>11428</v>
      </c>
      <c r="B523">
        <v>860</v>
      </c>
      <c r="C523" t="s">
        <v>13083</v>
      </c>
      <c r="D523" s="27">
        <v>4.5</v>
      </c>
      <c r="E523" t="s">
        <v>12919</v>
      </c>
      <c r="F523" s="28">
        <v>42019</v>
      </c>
      <c r="I523" s="23" t="s">
        <v>11422</v>
      </c>
      <c r="L523" s="23" t="s">
        <v>11422</v>
      </c>
      <c r="O523" s="30" t="s">
        <v>11422</v>
      </c>
      <c r="P523" t="s">
        <v>11422</v>
      </c>
    </row>
    <row r="524" spans="1:16" x14ac:dyDescent="0.25">
      <c r="A524" t="s">
        <v>12228</v>
      </c>
      <c r="B524">
        <v>927</v>
      </c>
      <c r="C524" t="s">
        <v>13084</v>
      </c>
      <c r="D524" s="27">
        <v>4.59</v>
      </c>
      <c r="E524" t="s">
        <v>12920</v>
      </c>
      <c r="F524" s="28">
        <v>42019</v>
      </c>
      <c r="I524" s="23" t="s">
        <v>11422</v>
      </c>
      <c r="L524" s="23" t="s">
        <v>11422</v>
      </c>
      <c r="O524" s="30" t="s">
        <v>11422</v>
      </c>
      <c r="P524" t="s">
        <v>11422</v>
      </c>
    </row>
    <row r="525" spans="1:16" x14ac:dyDescent="0.25">
      <c r="A525" t="s">
        <v>3454</v>
      </c>
      <c r="B525">
        <v>656</v>
      </c>
      <c r="C525" t="s">
        <v>13085</v>
      </c>
      <c r="D525" s="27">
        <v>9.36</v>
      </c>
      <c r="E525" t="s">
        <v>12921</v>
      </c>
      <c r="F525" s="28">
        <v>42019</v>
      </c>
      <c r="I525" s="23" t="s">
        <v>11422</v>
      </c>
      <c r="L525" s="23" t="s">
        <v>11422</v>
      </c>
      <c r="O525" s="30" t="s">
        <v>11422</v>
      </c>
      <c r="P525" t="s">
        <v>11422</v>
      </c>
    </row>
    <row r="526" spans="1:16" x14ac:dyDescent="0.25">
      <c r="A526" t="s">
        <v>11502</v>
      </c>
      <c r="B526">
        <v>893</v>
      </c>
      <c r="C526" t="s">
        <v>13086</v>
      </c>
      <c r="D526" s="27">
        <v>7.65</v>
      </c>
      <c r="E526" t="s">
        <v>12922</v>
      </c>
      <c r="F526" s="28">
        <v>42019</v>
      </c>
      <c r="I526" s="23" t="s">
        <v>11422</v>
      </c>
      <c r="L526" s="23" t="s">
        <v>11422</v>
      </c>
      <c r="O526" s="30" t="s">
        <v>11422</v>
      </c>
      <c r="P526" t="s">
        <v>11422</v>
      </c>
    </row>
    <row r="527" spans="1:16" x14ac:dyDescent="0.25">
      <c r="A527" t="s">
        <v>3567</v>
      </c>
      <c r="B527">
        <v>714</v>
      </c>
      <c r="C527" t="s">
        <v>13087</v>
      </c>
      <c r="D527" s="27">
        <v>4.08</v>
      </c>
      <c r="E527" t="s">
        <v>12923</v>
      </c>
      <c r="F527" s="28">
        <v>42019</v>
      </c>
      <c r="I527" s="23" t="s">
        <v>11422</v>
      </c>
      <c r="L527" s="23" t="s">
        <v>11422</v>
      </c>
      <c r="O527" s="30" t="s">
        <v>11422</v>
      </c>
      <c r="P527" t="s">
        <v>11422</v>
      </c>
    </row>
    <row r="528" spans="1:16" x14ac:dyDescent="0.25">
      <c r="A528" t="s">
        <v>3590</v>
      </c>
      <c r="B528">
        <v>726</v>
      </c>
      <c r="C528" t="s">
        <v>13060</v>
      </c>
      <c r="D528" s="27">
        <v>5.8650000000000002</v>
      </c>
      <c r="E528" t="s">
        <v>12926</v>
      </c>
      <c r="F528" s="28">
        <v>42019</v>
      </c>
      <c r="I528" s="23" t="s">
        <v>11422</v>
      </c>
      <c r="L528" s="23" t="s">
        <v>11422</v>
      </c>
      <c r="O528" s="30" t="s">
        <v>11422</v>
      </c>
      <c r="P528" t="s">
        <v>11422</v>
      </c>
    </row>
    <row r="529" spans="1:16" x14ac:dyDescent="0.25">
      <c r="A529" t="s">
        <v>3567</v>
      </c>
      <c r="B529">
        <v>714</v>
      </c>
      <c r="C529" t="s">
        <v>13090</v>
      </c>
      <c r="D529" s="27">
        <v>4.335</v>
      </c>
      <c r="E529" t="s">
        <v>12927</v>
      </c>
      <c r="F529" s="28">
        <v>42019</v>
      </c>
      <c r="I529" s="23" t="s">
        <v>11422</v>
      </c>
      <c r="L529" s="23" t="s">
        <v>11422</v>
      </c>
      <c r="O529" s="30" t="s">
        <v>11422</v>
      </c>
      <c r="P529" t="s">
        <v>11422</v>
      </c>
    </row>
    <row r="530" spans="1:16" x14ac:dyDescent="0.25">
      <c r="A530" t="s">
        <v>3590</v>
      </c>
      <c r="B530">
        <v>726</v>
      </c>
      <c r="C530" t="s">
        <v>13091</v>
      </c>
      <c r="D530" s="27">
        <v>5.0999999999999996</v>
      </c>
      <c r="E530" t="s">
        <v>12928</v>
      </c>
      <c r="F530" s="28">
        <v>42019</v>
      </c>
      <c r="I530" s="23" t="s">
        <v>11422</v>
      </c>
      <c r="L530" s="23" t="s">
        <v>11422</v>
      </c>
      <c r="O530" s="30" t="s">
        <v>11422</v>
      </c>
      <c r="P530" t="s">
        <v>11422</v>
      </c>
    </row>
    <row r="531" spans="1:16" x14ac:dyDescent="0.25">
      <c r="A531" t="s">
        <v>2264</v>
      </c>
      <c r="B531">
        <v>34</v>
      </c>
      <c r="C531" t="s">
        <v>13092</v>
      </c>
      <c r="D531" s="27">
        <v>6.8849999999999998</v>
      </c>
      <c r="E531" t="s">
        <v>12929</v>
      </c>
      <c r="F531" s="28">
        <v>42019</v>
      </c>
      <c r="I531" s="23" t="s">
        <v>11422</v>
      </c>
      <c r="L531" s="23" t="s">
        <v>11422</v>
      </c>
      <c r="O531" s="30" t="s">
        <v>11422</v>
      </c>
      <c r="P531" t="s">
        <v>11422</v>
      </c>
    </row>
    <row r="532" spans="1:16" x14ac:dyDescent="0.25">
      <c r="A532" t="s">
        <v>12481</v>
      </c>
      <c r="B532">
        <v>957</v>
      </c>
      <c r="C532" t="s">
        <v>13093</v>
      </c>
      <c r="D532" s="27">
        <v>2.5499999999999998</v>
      </c>
      <c r="E532" t="s">
        <v>12930</v>
      </c>
      <c r="F532" s="28">
        <v>42019</v>
      </c>
      <c r="G532" s="34">
        <v>250</v>
      </c>
      <c r="H532" s="18">
        <v>42041</v>
      </c>
      <c r="I532" s="23" t="s">
        <v>11422</v>
      </c>
      <c r="L532" s="23" t="s">
        <v>11422</v>
      </c>
      <c r="O532" s="30" t="s">
        <v>11422</v>
      </c>
      <c r="P532" t="s">
        <v>11422</v>
      </c>
    </row>
    <row r="533" spans="1:16" x14ac:dyDescent="0.25">
      <c r="A533" t="s">
        <v>2342</v>
      </c>
      <c r="B533">
        <v>77</v>
      </c>
      <c r="C533" t="s">
        <v>13094</v>
      </c>
      <c r="D533" s="27">
        <v>8.75</v>
      </c>
      <c r="E533" t="s">
        <v>12931</v>
      </c>
      <c r="F533" s="28">
        <v>42019</v>
      </c>
      <c r="I533" s="23" t="s">
        <v>11422</v>
      </c>
      <c r="L533" s="23" t="s">
        <v>11422</v>
      </c>
      <c r="O533" s="30" t="s">
        <v>11422</v>
      </c>
      <c r="P533" t="s">
        <v>11422</v>
      </c>
    </row>
    <row r="534" spans="1:16" x14ac:dyDescent="0.25">
      <c r="A534" t="s">
        <v>12495</v>
      </c>
      <c r="B534">
        <v>964</v>
      </c>
      <c r="C534" t="s">
        <v>13096</v>
      </c>
      <c r="D534" s="27">
        <v>4.59</v>
      </c>
      <c r="E534" t="s">
        <v>12933</v>
      </c>
      <c r="F534" s="28">
        <v>42019</v>
      </c>
      <c r="I534" s="23" t="s">
        <v>11422</v>
      </c>
      <c r="L534" s="23" t="s">
        <v>11422</v>
      </c>
      <c r="O534" s="30" t="s">
        <v>11422</v>
      </c>
      <c r="P534" t="s">
        <v>11422</v>
      </c>
    </row>
    <row r="535" spans="1:16" x14ac:dyDescent="0.25">
      <c r="A535" t="s">
        <v>12820</v>
      </c>
      <c r="B535">
        <v>991</v>
      </c>
      <c r="C535" t="s">
        <v>13097</v>
      </c>
      <c r="D535" s="27">
        <v>4.8449999999999998</v>
      </c>
      <c r="E535" t="s">
        <v>12934</v>
      </c>
      <c r="F535" s="28">
        <v>42019</v>
      </c>
      <c r="I535" s="23" t="s">
        <v>11422</v>
      </c>
      <c r="L535" s="23" t="s">
        <v>11422</v>
      </c>
      <c r="O535" s="30" t="s">
        <v>11422</v>
      </c>
      <c r="P535" t="s">
        <v>11422</v>
      </c>
    </row>
    <row r="536" spans="1:16" x14ac:dyDescent="0.25">
      <c r="A536" t="s">
        <v>2993</v>
      </c>
      <c r="B536">
        <v>417</v>
      </c>
      <c r="C536" t="s">
        <v>13098</v>
      </c>
      <c r="D536" s="27">
        <v>5.3550000000000004</v>
      </c>
      <c r="E536" t="s">
        <v>12935</v>
      </c>
      <c r="F536" s="28">
        <v>42019</v>
      </c>
      <c r="I536" s="23" t="s">
        <v>11422</v>
      </c>
      <c r="L536" s="23" t="s">
        <v>11422</v>
      </c>
      <c r="O536" s="30" t="s">
        <v>11422</v>
      </c>
      <c r="P536" t="s">
        <v>11422</v>
      </c>
    </row>
    <row r="537" spans="1:16" x14ac:dyDescent="0.25">
      <c r="A537" t="s">
        <v>2825</v>
      </c>
      <c r="B537">
        <v>332</v>
      </c>
      <c r="C537" t="s">
        <v>13099</v>
      </c>
      <c r="D537" s="27">
        <v>9.75</v>
      </c>
      <c r="E537" t="s">
        <v>12936</v>
      </c>
      <c r="F537" s="28">
        <v>42019</v>
      </c>
      <c r="I537" s="23" t="s">
        <v>11422</v>
      </c>
      <c r="L537" s="23" t="s">
        <v>11422</v>
      </c>
      <c r="O537" s="30" t="s">
        <v>11422</v>
      </c>
      <c r="P537" t="s">
        <v>11422</v>
      </c>
    </row>
    <row r="538" spans="1:16" x14ac:dyDescent="0.25">
      <c r="A538" t="s">
        <v>3830</v>
      </c>
      <c r="B538">
        <v>261</v>
      </c>
      <c r="C538" t="s">
        <v>13100</v>
      </c>
      <c r="D538" s="27">
        <v>6.24</v>
      </c>
      <c r="E538" t="s">
        <v>12937</v>
      </c>
      <c r="F538" s="28">
        <v>42019</v>
      </c>
      <c r="I538" s="23" t="s">
        <v>11422</v>
      </c>
      <c r="L538" s="23" t="s">
        <v>11422</v>
      </c>
      <c r="O538" s="30" t="s">
        <v>11422</v>
      </c>
      <c r="P538" t="s">
        <v>11422</v>
      </c>
    </row>
    <row r="539" spans="1:16" x14ac:dyDescent="0.25">
      <c r="A539" t="s">
        <v>3861</v>
      </c>
      <c r="B539">
        <v>690</v>
      </c>
      <c r="C539" t="s">
        <v>13101</v>
      </c>
      <c r="D539" s="27">
        <v>8</v>
      </c>
      <c r="E539" t="s">
        <v>12938</v>
      </c>
      <c r="F539" s="28">
        <v>42019</v>
      </c>
      <c r="I539" s="23" t="s">
        <v>11422</v>
      </c>
      <c r="L539" s="23" t="s">
        <v>11422</v>
      </c>
      <c r="O539" s="30" t="s">
        <v>11422</v>
      </c>
      <c r="P539" t="s">
        <v>11422</v>
      </c>
    </row>
    <row r="540" spans="1:16" x14ac:dyDescent="0.25">
      <c r="A540" t="s">
        <v>12505</v>
      </c>
      <c r="B540">
        <v>969</v>
      </c>
      <c r="C540" t="s">
        <v>13103</v>
      </c>
      <c r="D540" s="27">
        <v>2.8050000000000002</v>
      </c>
      <c r="E540" t="s">
        <v>12940</v>
      </c>
      <c r="F540" s="28">
        <v>42019</v>
      </c>
      <c r="G540" s="34">
        <v>250</v>
      </c>
      <c r="H540" s="18">
        <v>42034</v>
      </c>
      <c r="I540" s="23" t="s">
        <v>11422</v>
      </c>
      <c r="L540" s="23" t="s">
        <v>11422</v>
      </c>
      <c r="O540" s="30" t="s">
        <v>11422</v>
      </c>
      <c r="P540" t="s">
        <v>11422</v>
      </c>
    </row>
    <row r="541" spans="1:16" x14ac:dyDescent="0.25">
      <c r="A541" t="s">
        <v>2944</v>
      </c>
      <c r="B541">
        <v>392</v>
      </c>
      <c r="C541" t="s">
        <v>13057</v>
      </c>
      <c r="D541" s="27">
        <v>6</v>
      </c>
      <c r="E541" t="s">
        <v>12944</v>
      </c>
      <c r="F541" s="28">
        <v>42018</v>
      </c>
      <c r="I541" s="23" t="s">
        <v>11422</v>
      </c>
      <c r="L541" s="23" t="s">
        <v>11422</v>
      </c>
      <c r="O541" s="30" t="s">
        <v>11422</v>
      </c>
      <c r="P541" t="s">
        <v>11422</v>
      </c>
    </row>
    <row r="542" spans="1:16" x14ac:dyDescent="0.25">
      <c r="A542" t="s">
        <v>12204</v>
      </c>
      <c r="B542">
        <v>938</v>
      </c>
      <c r="C542" t="s">
        <v>13106</v>
      </c>
      <c r="D542" s="27">
        <v>4.59</v>
      </c>
      <c r="E542" t="s">
        <v>12945</v>
      </c>
      <c r="F542" s="28">
        <v>42018</v>
      </c>
      <c r="I542" s="23" t="s">
        <v>11422</v>
      </c>
      <c r="L542" s="23" t="s">
        <v>11422</v>
      </c>
      <c r="O542" s="30" t="s">
        <v>11422</v>
      </c>
      <c r="P542" t="s">
        <v>11422</v>
      </c>
    </row>
    <row r="543" spans="1:16" x14ac:dyDescent="0.25">
      <c r="A543" t="s">
        <v>11496</v>
      </c>
      <c r="B543">
        <v>890</v>
      </c>
      <c r="C543" t="s">
        <v>13107</v>
      </c>
      <c r="D543" s="27">
        <v>3.3149999999999999</v>
      </c>
      <c r="E543" t="s">
        <v>12947</v>
      </c>
      <c r="F543" s="28">
        <v>42018</v>
      </c>
      <c r="I543" s="23" t="s">
        <v>11422</v>
      </c>
      <c r="L543" s="23" t="s">
        <v>11422</v>
      </c>
      <c r="O543" s="30" t="s">
        <v>11422</v>
      </c>
      <c r="P543" t="s">
        <v>11422</v>
      </c>
    </row>
    <row r="544" spans="1:16" x14ac:dyDescent="0.25">
      <c r="A544" t="s">
        <v>12204</v>
      </c>
      <c r="B544">
        <v>938</v>
      </c>
      <c r="C544" t="s">
        <v>13108</v>
      </c>
      <c r="D544" s="27">
        <v>7.14</v>
      </c>
      <c r="E544" t="s">
        <v>12948</v>
      </c>
      <c r="F544" s="28">
        <v>42018</v>
      </c>
      <c r="I544" s="23" t="s">
        <v>11422</v>
      </c>
      <c r="L544" s="23" t="s">
        <v>11422</v>
      </c>
      <c r="O544" s="30" t="s">
        <v>11422</v>
      </c>
      <c r="P544" t="s">
        <v>11422</v>
      </c>
    </row>
    <row r="545" spans="1:16" x14ac:dyDescent="0.25">
      <c r="A545" t="s">
        <v>12575</v>
      </c>
      <c r="B545">
        <v>975</v>
      </c>
      <c r="C545" t="s">
        <v>13110</v>
      </c>
      <c r="D545" s="27">
        <v>6.375</v>
      </c>
      <c r="E545" t="s">
        <v>12952</v>
      </c>
      <c r="F545" s="28">
        <v>42017</v>
      </c>
      <c r="G545" s="34">
        <v>250</v>
      </c>
      <c r="H545" s="18">
        <v>42041</v>
      </c>
      <c r="I545" s="23" t="s">
        <v>11422</v>
      </c>
      <c r="L545" s="23" t="s">
        <v>11422</v>
      </c>
      <c r="O545" s="30" t="s">
        <v>11422</v>
      </c>
      <c r="P545" t="s">
        <v>11422</v>
      </c>
    </row>
    <row r="546" spans="1:16" x14ac:dyDescent="0.25">
      <c r="A546" t="s">
        <v>3407</v>
      </c>
      <c r="B546">
        <v>632</v>
      </c>
      <c r="C546" t="s">
        <v>13053</v>
      </c>
      <c r="D546" s="27">
        <v>7.65</v>
      </c>
      <c r="E546" t="s">
        <v>12953</v>
      </c>
      <c r="F546" s="28">
        <v>42017</v>
      </c>
      <c r="I546" s="23" t="s">
        <v>11422</v>
      </c>
      <c r="L546" s="23" t="s">
        <v>11422</v>
      </c>
      <c r="O546" s="30" t="s">
        <v>11422</v>
      </c>
      <c r="P546" t="s">
        <v>11422</v>
      </c>
    </row>
    <row r="547" spans="1:16" x14ac:dyDescent="0.25">
      <c r="A547" t="s">
        <v>3460</v>
      </c>
      <c r="B547">
        <v>659</v>
      </c>
      <c r="C547" t="s">
        <v>13050</v>
      </c>
      <c r="D547" s="27">
        <v>5.0999999999999996</v>
      </c>
      <c r="E547" t="s">
        <v>12955</v>
      </c>
      <c r="F547" s="28">
        <v>42017</v>
      </c>
      <c r="I547" s="23" t="s">
        <v>11422</v>
      </c>
      <c r="L547" s="23" t="s">
        <v>11422</v>
      </c>
      <c r="O547" s="30" t="s">
        <v>11422</v>
      </c>
      <c r="P547" t="s">
        <v>11422</v>
      </c>
    </row>
    <row r="548" spans="1:16" x14ac:dyDescent="0.25">
      <c r="A548" t="s">
        <v>12264</v>
      </c>
      <c r="B548">
        <v>940</v>
      </c>
      <c r="C548" t="s">
        <v>13112</v>
      </c>
      <c r="D548" s="27">
        <v>7.8</v>
      </c>
      <c r="E548" t="s">
        <v>12956</v>
      </c>
      <c r="F548" s="28">
        <v>42017</v>
      </c>
      <c r="I548" s="23" t="s">
        <v>11422</v>
      </c>
      <c r="L548" s="23" t="s">
        <v>11422</v>
      </c>
      <c r="O548" s="30" t="s">
        <v>11422</v>
      </c>
      <c r="P548" t="s">
        <v>11422</v>
      </c>
    </row>
    <row r="549" spans="1:16" x14ac:dyDescent="0.25">
      <c r="A549" t="s">
        <v>12499</v>
      </c>
      <c r="B549">
        <v>966</v>
      </c>
      <c r="C549" t="s">
        <v>13052</v>
      </c>
      <c r="D549" s="27">
        <v>11.475</v>
      </c>
      <c r="E549" t="s">
        <v>12957</v>
      </c>
      <c r="F549" s="28">
        <v>42017</v>
      </c>
      <c r="I549" s="23" t="s">
        <v>11422</v>
      </c>
      <c r="L549" s="23" t="s">
        <v>11422</v>
      </c>
      <c r="O549" s="30" t="s">
        <v>11422</v>
      </c>
      <c r="P549" t="s">
        <v>11422</v>
      </c>
    </row>
    <row r="550" spans="1:16" x14ac:dyDescent="0.25">
      <c r="A550" t="s">
        <v>2592</v>
      </c>
      <c r="B550">
        <v>205</v>
      </c>
      <c r="C550" t="s">
        <v>13113</v>
      </c>
      <c r="D550" s="27">
        <v>4.8449999999999998</v>
      </c>
      <c r="E550" t="s">
        <v>12958</v>
      </c>
      <c r="F550" s="28">
        <v>42017</v>
      </c>
      <c r="I550" s="23" t="s">
        <v>11422</v>
      </c>
      <c r="L550" s="23" t="s">
        <v>11422</v>
      </c>
      <c r="O550" s="30" t="s">
        <v>11422</v>
      </c>
      <c r="P550" t="s">
        <v>11422</v>
      </c>
    </row>
    <row r="551" spans="1:16" x14ac:dyDescent="0.25">
      <c r="A551" t="s">
        <v>3371</v>
      </c>
      <c r="B551">
        <v>612</v>
      </c>
      <c r="C551" t="s">
        <v>13114</v>
      </c>
      <c r="D551" s="27">
        <v>5.3550000000000004</v>
      </c>
      <c r="E551" t="s">
        <v>12959</v>
      </c>
      <c r="F551" s="28">
        <v>42017</v>
      </c>
      <c r="I551" s="23" t="s">
        <v>11422</v>
      </c>
      <c r="L551" s="23" t="s">
        <v>11422</v>
      </c>
      <c r="O551" s="30" t="s">
        <v>11422</v>
      </c>
      <c r="P551" t="s">
        <v>11422</v>
      </c>
    </row>
    <row r="552" spans="1:16" x14ac:dyDescent="0.25">
      <c r="A552" t="s">
        <v>12505</v>
      </c>
      <c r="B552">
        <v>969</v>
      </c>
      <c r="C552" t="s">
        <v>13054</v>
      </c>
      <c r="D552" s="27">
        <v>3.8250000000000002</v>
      </c>
      <c r="E552" t="s">
        <v>12962</v>
      </c>
      <c r="F552" s="28">
        <v>42017</v>
      </c>
      <c r="G552" s="34">
        <v>250</v>
      </c>
      <c r="H552" s="18">
        <v>42041</v>
      </c>
      <c r="I552" s="23" t="s">
        <v>11422</v>
      </c>
      <c r="L552" s="23" t="s">
        <v>11422</v>
      </c>
      <c r="O552" s="30" t="s">
        <v>11422</v>
      </c>
      <c r="P552" t="s">
        <v>11422</v>
      </c>
    </row>
    <row r="553" spans="1:16" x14ac:dyDescent="0.25">
      <c r="A553" t="s">
        <v>3486</v>
      </c>
      <c r="B553">
        <v>672</v>
      </c>
      <c r="C553" t="s">
        <v>13047</v>
      </c>
      <c r="D553" s="27">
        <v>8.16</v>
      </c>
      <c r="E553" t="s">
        <v>12965</v>
      </c>
      <c r="F553" s="28">
        <v>42016</v>
      </c>
      <c r="I553" s="23" t="s">
        <v>11422</v>
      </c>
      <c r="L553" s="23" t="s">
        <v>11422</v>
      </c>
      <c r="O553" s="30" t="s">
        <v>11422</v>
      </c>
      <c r="P553" t="s">
        <v>11422</v>
      </c>
    </row>
    <row r="554" spans="1:16" x14ac:dyDescent="0.25">
      <c r="A554" t="s">
        <v>3651</v>
      </c>
      <c r="B554">
        <v>758</v>
      </c>
      <c r="C554" t="s">
        <v>13118</v>
      </c>
      <c r="D554" s="27">
        <v>5.8650000000000002</v>
      </c>
      <c r="E554" t="s">
        <v>12966</v>
      </c>
      <c r="F554" s="28">
        <v>42016</v>
      </c>
      <c r="I554" s="23" t="s">
        <v>11422</v>
      </c>
      <c r="L554" s="23" t="s">
        <v>11422</v>
      </c>
      <c r="O554" s="30" t="s">
        <v>11422</v>
      </c>
      <c r="P554" t="s">
        <v>11422</v>
      </c>
    </row>
    <row r="555" spans="1:16" x14ac:dyDescent="0.25">
      <c r="A555" t="s">
        <v>3651</v>
      </c>
      <c r="B555">
        <v>758</v>
      </c>
      <c r="C555" t="s">
        <v>13121</v>
      </c>
      <c r="D555" s="27">
        <v>8.16</v>
      </c>
      <c r="E555" t="s">
        <v>12969</v>
      </c>
      <c r="F555" s="28">
        <v>42016</v>
      </c>
      <c r="I555" s="23" t="s">
        <v>11422</v>
      </c>
      <c r="L555" s="23" t="s">
        <v>11422</v>
      </c>
      <c r="O555" s="30" t="s">
        <v>11422</v>
      </c>
      <c r="P555" t="s">
        <v>11422</v>
      </c>
    </row>
    <row r="556" spans="1:16" x14ac:dyDescent="0.25">
      <c r="A556" t="s">
        <v>3590</v>
      </c>
      <c r="B556">
        <v>726</v>
      </c>
      <c r="C556" t="s">
        <v>13049</v>
      </c>
      <c r="D556" s="27">
        <v>6.12</v>
      </c>
      <c r="E556" t="s">
        <v>12970</v>
      </c>
      <c r="F556" s="28">
        <v>42016</v>
      </c>
      <c r="I556" s="23" t="s">
        <v>11422</v>
      </c>
      <c r="L556" s="23" t="s">
        <v>11422</v>
      </c>
      <c r="O556" s="30" t="s">
        <v>11422</v>
      </c>
      <c r="P556" t="s">
        <v>11422</v>
      </c>
    </row>
    <row r="557" spans="1:16" x14ac:dyDescent="0.25">
      <c r="A557" t="s">
        <v>12241</v>
      </c>
      <c r="B557">
        <v>930</v>
      </c>
      <c r="C557" t="s">
        <v>13123</v>
      </c>
      <c r="D557" s="27">
        <v>6.12</v>
      </c>
      <c r="E557" t="s">
        <v>12972</v>
      </c>
      <c r="F557" s="28">
        <v>42016</v>
      </c>
      <c r="I557" s="23" t="s">
        <v>11422</v>
      </c>
      <c r="L557" s="23" t="s">
        <v>11422</v>
      </c>
      <c r="O557" s="30" t="s">
        <v>11422</v>
      </c>
      <c r="P557" t="s">
        <v>11422</v>
      </c>
    </row>
    <row r="558" spans="1:16" x14ac:dyDescent="0.25">
      <c r="A558" t="s">
        <v>2592</v>
      </c>
      <c r="B558">
        <v>205</v>
      </c>
      <c r="C558" t="s">
        <v>13124</v>
      </c>
      <c r="D558" s="27">
        <v>8.16</v>
      </c>
      <c r="E558" t="s">
        <v>12973</v>
      </c>
      <c r="F558" s="28">
        <v>42016</v>
      </c>
      <c r="I558" s="23" t="s">
        <v>11422</v>
      </c>
      <c r="L558" s="23" t="s">
        <v>11422</v>
      </c>
      <c r="O558" s="30" t="s">
        <v>11422</v>
      </c>
      <c r="P558" t="s">
        <v>11422</v>
      </c>
    </row>
    <row r="559" spans="1:16" x14ac:dyDescent="0.25">
      <c r="A559" t="s">
        <v>2250</v>
      </c>
      <c r="B559">
        <v>27</v>
      </c>
      <c r="C559" t="s">
        <v>12348</v>
      </c>
      <c r="D559" s="27">
        <v>8.9250000000000007</v>
      </c>
      <c r="E559" t="s">
        <v>12324</v>
      </c>
      <c r="F559" s="28">
        <v>41995</v>
      </c>
      <c r="G559" s="34">
        <v>250</v>
      </c>
      <c r="H559" s="18">
        <v>42020</v>
      </c>
      <c r="I559" s="23" t="s">
        <v>11422</v>
      </c>
      <c r="J559" s="23">
        <v>446.25000000000006</v>
      </c>
      <c r="K559" s="18">
        <v>42027</v>
      </c>
      <c r="L559" s="23" t="s">
        <v>11422</v>
      </c>
      <c r="O559" s="30" t="s">
        <v>11422</v>
      </c>
      <c r="P559" t="s">
        <v>11422</v>
      </c>
    </row>
    <row r="560" spans="1:16" x14ac:dyDescent="0.25">
      <c r="A560" t="s">
        <v>2619</v>
      </c>
      <c r="B560">
        <v>222</v>
      </c>
      <c r="C560" t="s">
        <v>11926</v>
      </c>
      <c r="D560" s="27">
        <v>7.5</v>
      </c>
      <c r="E560" t="s">
        <v>11771</v>
      </c>
      <c r="F560" s="18">
        <v>41988</v>
      </c>
      <c r="G560" s="34">
        <v>250</v>
      </c>
      <c r="H560" s="18">
        <v>42020</v>
      </c>
      <c r="I560" s="23" t="s">
        <v>11422</v>
      </c>
      <c r="L560" s="23" t="s">
        <v>11422</v>
      </c>
      <c r="O560" s="30" t="s">
        <v>11422</v>
      </c>
      <c r="P560" t="s">
        <v>11422</v>
      </c>
    </row>
    <row r="561" spans="1:16" x14ac:dyDescent="0.25">
      <c r="A561" t="s">
        <v>11428</v>
      </c>
      <c r="B561">
        <v>860</v>
      </c>
      <c r="C561" t="s">
        <v>12463</v>
      </c>
      <c r="D561" s="27">
        <v>5.8650000000000002</v>
      </c>
      <c r="E561" t="s">
        <v>12359</v>
      </c>
      <c r="F561" s="28">
        <v>42002</v>
      </c>
      <c r="G561" s="34">
        <v>250</v>
      </c>
      <c r="H561" s="18">
        <v>42020</v>
      </c>
      <c r="I561" s="23" t="s">
        <v>11422</v>
      </c>
      <c r="L561" s="23" t="s">
        <v>11422</v>
      </c>
      <c r="O561" s="30" t="s">
        <v>11422</v>
      </c>
      <c r="P561" t="s">
        <v>11422</v>
      </c>
    </row>
    <row r="562" spans="1:16" x14ac:dyDescent="0.25">
      <c r="A562" t="s">
        <v>137</v>
      </c>
      <c r="B562">
        <v>648</v>
      </c>
      <c r="C562" t="s">
        <v>12462</v>
      </c>
      <c r="D562" s="27">
        <v>3.25</v>
      </c>
      <c r="E562" t="s">
        <v>12397</v>
      </c>
      <c r="F562" s="28">
        <v>42002</v>
      </c>
      <c r="G562" s="34">
        <v>250</v>
      </c>
      <c r="H562" s="18">
        <v>42020</v>
      </c>
      <c r="I562" s="23" t="s">
        <v>11422</v>
      </c>
      <c r="L562" s="23" t="s">
        <v>11422</v>
      </c>
      <c r="O562" s="30" t="s">
        <v>11422</v>
      </c>
      <c r="P562" t="s">
        <v>11422</v>
      </c>
    </row>
    <row r="563" spans="1:16" x14ac:dyDescent="0.25">
      <c r="A563" t="s">
        <v>2993</v>
      </c>
      <c r="B563">
        <v>417</v>
      </c>
      <c r="C563" t="s">
        <v>12016</v>
      </c>
      <c r="D563" s="27">
        <v>6.5</v>
      </c>
      <c r="E563" t="s">
        <v>10571</v>
      </c>
      <c r="F563" s="18">
        <v>41978</v>
      </c>
      <c r="G563" s="34">
        <v>250</v>
      </c>
      <c r="H563" s="18">
        <v>42020</v>
      </c>
      <c r="I563" s="23" t="s">
        <v>11422</v>
      </c>
      <c r="J563" s="23">
        <v>325</v>
      </c>
      <c r="K563" s="18">
        <v>42020</v>
      </c>
      <c r="L563" s="23" t="s">
        <v>11422</v>
      </c>
      <c r="O563" s="30" t="s">
        <v>11422</v>
      </c>
      <c r="P563" t="s">
        <v>11422</v>
      </c>
    </row>
    <row r="564" spans="1:16" x14ac:dyDescent="0.25">
      <c r="A564" t="s">
        <v>2270</v>
      </c>
      <c r="B564">
        <v>37</v>
      </c>
      <c r="C564" t="s">
        <v>12531</v>
      </c>
      <c r="D564" s="27">
        <v>8.5</v>
      </c>
      <c r="E564" t="s">
        <v>12182</v>
      </c>
      <c r="F564" s="28">
        <v>41993</v>
      </c>
      <c r="G564" s="34">
        <v>250</v>
      </c>
      <c r="H564" s="18">
        <v>42020</v>
      </c>
      <c r="I564" s="23" t="s">
        <v>11422</v>
      </c>
      <c r="J564" s="23">
        <v>425</v>
      </c>
      <c r="K564" s="18">
        <v>42020</v>
      </c>
      <c r="L564" s="23" t="s">
        <v>11422</v>
      </c>
      <c r="O564" s="30" t="s">
        <v>11422</v>
      </c>
      <c r="P564" t="s">
        <v>11422</v>
      </c>
    </row>
    <row r="565" spans="1:16" x14ac:dyDescent="0.25">
      <c r="A565" t="s">
        <v>3590</v>
      </c>
      <c r="B565">
        <v>726</v>
      </c>
      <c r="C565" t="s">
        <v>13376</v>
      </c>
      <c r="D565" s="27">
        <v>8.9250000000000007</v>
      </c>
      <c r="E565" t="s">
        <v>13309</v>
      </c>
      <c r="F565" s="28">
        <v>42029</v>
      </c>
      <c r="I565" s="23" t="s">
        <v>11422</v>
      </c>
      <c r="L565" s="23" t="s">
        <v>11422</v>
      </c>
      <c r="N565" s="17"/>
      <c r="O565" s="30" t="s">
        <v>11422</v>
      </c>
      <c r="P565" t="s">
        <v>11422</v>
      </c>
    </row>
    <row r="566" spans="1:16" x14ac:dyDescent="0.25">
      <c r="A566" t="s">
        <v>11496</v>
      </c>
      <c r="B566">
        <v>890</v>
      </c>
      <c r="C566" t="s">
        <v>13518</v>
      </c>
      <c r="D566" s="27">
        <v>4.08</v>
      </c>
      <c r="E566" t="s">
        <v>13365</v>
      </c>
      <c r="F566" s="28">
        <v>42029</v>
      </c>
      <c r="I566" s="23" t="s">
        <v>11422</v>
      </c>
      <c r="L566" s="23" t="s">
        <v>11422</v>
      </c>
      <c r="N566" s="17"/>
      <c r="O566" s="30" t="s">
        <v>11422</v>
      </c>
      <c r="P566" t="s">
        <v>11422</v>
      </c>
    </row>
    <row r="567" spans="1:16" x14ac:dyDescent="0.25">
      <c r="A567" t="s">
        <v>3651</v>
      </c>
      <c r="B567">
        <v>758</v>
      </c>
      <c r="C567" t="s">
        <v>13519</v>
      </c>
      <c r="D567" s="27">
        <v>2.75</v>
      </c>
      <c r="E567" t="s">
        <v>13131</v>
      </c>
      <c r="F567" s="28">
        <v>42028</v>
      </c>
      <c r="I567" s="23" t="s">
        <v>11422</v>
      </c>
      <c r="L567" s="23" t="s">
        <v>11422</v>
      </c>
      <c r="N567" s="17"/>
      <c r="O567" s="30" t="s">
        <v>11422</v>
      </c>
      <c r="P567" t="s">
        <v>11422</v>
      </c>
    </row>
    <row r="568" spans="1:16" x14ac:dyDescent="0.25">
      <c r="A568" t="s">
        <v>11502</v>
      </c>
      <c r="B568">
        <v>893</v>
      </c>
      <c r="C568" t="s">
        <v>13520</v>
      </c>
      <c r="D568" s="27">
        <v>8.16</v>
      </c>
      <c r="E568" t="s">
        <v>13139</v>
      </c>
      <c r="F568" s="28">
        <v>42028</v>
      </c>
      <c r="I568" s="23" t="s">
        <v>11422</v>
      </c>
      <c r="L568" s="23" t="s">
        <v>11422</v>
      </c>
      <c r="N568" s="17"/>
      <c r="O568" s="30" t="s">
        <v>11422</v>
      </c>
      <c r="P568" t="s">
        <v>11422</v>
      </c>
    </row>
    <row r="569" spans="1:16" x14ac:dyDescent="0.25">
      <c r="A569" t="s">
        <v>12497</v>
      </c>
      <c r="B569">
        <v>965</v>
      </c>
      <c r="C569" t="s">
        <v>13521</v>
      </c>
      <c r="D569" s="27">
        <v>4.9400000000000004</v>
      </c>
      <c r="E569" t="s">
        <v>13145</v>
      </c>
      <c r="F569" s="28">
        <v>42028</v>
      </c>
      <c r="I569" s="23" t="s">
        <v>11422</v>
      </c>
      <c r="L569" s="23" t="s">
        <v>11422</v>
      </c>
      <c r="N569" s="17"/>
      <c r="O569" s="30" t="s">
        <v>11422</v>
      </c>
      <c r="P569" t="s">
        <v>11422</v>
      </c>
    </row>
    <row r="570" spans="1:16" x14ac:dyDescent="0.25">
      <c r="A570" t="s">
        <v>12827</v>
      </c>
      <c r="B570">
        <v>995</v>
      </c>
      <c r="C570" t="s">
        <v>13522</v>
      </c>
      <c r="D570" s="27">
        <v>5.0999999999999996</v>
      </c>
      <c r="E570" t="s">
        <v>13150</v>
      </c>
      <c r="F570" s="28">
        <v>42028</v>
      </c>
      <c r="I570" s="23" t="s">
        <v>11422</v>
      </c>
      <c r="L570" s="23" t="s">
        <v>11422</v>
      </c>
      <c r="N570" s="17"/>
      <c r="O570" s="30" t="s">
        <v>11422</v>
      </c>
      <c r="P570" t="s">
        <v>11422</v>
      </c>
    </row>
    <row r="571" spans="1:16" x14ac:dyDescent="0.25">
      <c r="A571" t="s">
        <v>12491</v>
      </c>
      <c r="B571">
        <v>962</v>
      </c>
      <c r="C571" t="s">
        <v>13381</v>
      </c>
      <c r="D571" s="27">
        <v>4.335</v>
      </c>
      <c r="E571" t="s">
        <v>13159</v>
      </c>
      <c r="F571" s="28">
        <v>42028</v>
      </c>
      <c r="G571" s="34">
        <v>250</v>
      </c>
      <c r="H571" s="18">
        <v>42041</v>
      </c>
      <c r="I571" s="23" t="s">
        <v>11422</v>
      </c>
      <c r="L571" s="23" t="s">
        <v>11422</v>
      </c>
      <c r="N571" s="17"/>
      <c r="O571" s="30" t="s">
        <v>11422</v>
      </c>
      <c r="P571" t="s">
        <v>11422</v>
      </c>
    </row>
    <row r="572" spans="1:16" x14ac:dyDescent="0.25">
      <c r="A572" t="s">
        <v>2592</v>
      </c>
      <c r="B572">
        <v>205</v>
      </c>
      <c r="C572" t="s">
        <v>13378</v>
      </c>
      <c r="D572" s="27">
        <v>6.75</v>
      </c>
      <c r="E572" t="s">
        <v>13164</v>
      </c>
      <c r="F572" s="28">
        <v>42028</v>
      </c>
      <c r="I572" s="23" t="s">
        <v>11422</v>
      </c>
      <c r="L572" s="23" t="s">
        <v>11422</v>
      </c>
      <c r="N572" s="17"/>
      <c r="O572" s="30" t="s">
        <v>11422</v>
      </c>
      <c r="P572" t="s">
        <v>11422</v>
      </c>
    </row>
    <row r="573" spans="1:16" x14ac:dyDescent="0.25">
      <c r="A573" t="s">
        <v>12274</v>
      </c>
      <c r="B573">
        <v>945</v>
      </c>
      <c r="C573" t="s">
        <v>13523</v>
      </c>
      <c r="D573" s="27">
        <v>5.25</v>
      </c>
      <c r="E573" t="s">
        <v>13168</v>
      </c>
      <c r="F573" s="28">
        <v>42028</v>
      </c>
      <c r="I573" s="23" t="s">
        <v>11422</v>
      </c>
      <c r="L573" s="23" t="s">
        <v>11422</v>
      </c>
      <c r="N573" s="17"/>
      <c r="O573" s="30" t="s">
        <v>11422</v>
      </c>
      <c r="P573" t="s">
        <v>11422</v>
      </c>
    </row>
    <row r="574" spans="1:16" x14ac:dyDescent="0.25">
      <c r="A574" t="s">
        <v>2728</v>
      </c>
      <c r="B574">
        <v>282</v>
      </c>
      <c r="C574" t="s">
        <v>13524</v>
      </c>
      <c r="D574" s="27">
        <v>9</v>
      </c>
      <c r="E574" t="s">
        <v>13176</v>
      </c>
      <c r="F574" s="28">
        <v>42028</v>
      </c>
      <c r="I574" s="23" t="s">
        <v>11422</v>
      </c>
      <c r="L574" s="23" t="s">
        <v>11422</v>
      </c>
      <c r="N574" s="17"/>
      <c r="O574" s="30" t="s">
        <v>11422</v>
      </c>
      <c r="P574" t="s">
        <v>11422</v>
      </c>
    </row>
    <row r="575" spans="1:16" x14ac:dyDescent="0.25">
      <c r="A575" t="s">
        <v>2704</v>
      </c>
      <c r="B575">
        <v>268</v>
      </c>
      <c r="C575" t="s">
        <v>13525</v>
      </c>
      <c r="D575" s="27">
        <v>4.9400000000000004</v>
      </c>
      <c r="E575" t="s">
        <v>13181</v>
      </c>
      <c r="F575" s="28">
        <v>42028</v>
      </c>
      <c r="I575" s="23" t="s">
        <v>11422</v>
      </c>
      <c r="L575" s="23" t="s">
        <v>11422</v>
      </c>
      <c r="N575" s="17"/>
      <c r="O575" s="30" t="s">
        <v>11422</v>
      </c>
      <c r="P575" t="s">
        <v>11422</v>
      </c>
    </row>
    <row r="576" spans="1:16" x14ac:dyDescent="0.25">
      <c r="A576" t="s">
        <v>3567</v>
      </c>
      <c r="B576">
        <v>714</v>
      </c>
      <c r="C576" t="s">
        <v>13526</v>
      </c>
      <c r="D576" s="27">
        <v>8.32</v>
      </c>
      <c r="E576" t="s">
        <v>13183</v>
      </c>
      <c r="F576" s="28">
        <v>42028</v>
      </c>
      <c r="I576" s="23" t="s">
        <v>11422</v>
      </c>
      <c r="L576" s="23" t="s">
        <v>11422</v>
      </c>
      <c r="N576" s="17"/>
      <c r="O576" s="30" t="s">
        <v>11422</v>
      </c>
      <c r="P576" t="s">
        <v>11422</v>
      </c>
    </row>
    <row r="577" spans="1:16" x14ac:dyDescent="0.25">
      <c r="A577" t="s">
        <v>2592</v>
      </c>
      <c r="B577">
        <v>205</v>
      </c>
      <c r="C577" t="s">
        <v>13527</v>
      </c>
      <c r="D577" s="27">
        <v>10.5</v>
      </c>
      <c r="E577" t="s">
        <v>13187</v>
      </c>
      <c r="F577" s="28">
        <v>42028</v>
      </c>
      <c r="I577" s="23" t="s">
        <v>11422</v>
      </c>
      <c r="L577" s="23" t="s">
        <v>11422</v>
      </c>
      <c r="N577" s="17"/>
      <c r="O577" s="30" t="s">
        <v>11422</v>
      </c>
      <c r="P577" t="s">
        <v>11422</v>
      </c>
    </row>
    <row r="578" spans="1:16" x14ac:dyDescent="0.25">
      <c r="A578" t="s">
        <v>12793</v>
      </c>
      <c r="B578">
        <v>0</v>
      </c>
      <c r="C578" t="s">
        <v>13380</v>
      </c>
      <c r="D578" s="27">
        <v>7.65</v>
      </c>
      <c r="E578" t="s">
        <v>13193</v>
      </c>
      <c r="F578" s="28">
        <v>42028</v>
      </c>
      <c r="I578" s="23" t="s">
        <v>11422</v>
      </c>
      <c r="L578" s="23" t="s">
        <v>11422</v>
      </c>
      <c r="N578" s="17"/>
      <c r="O578" s="30" t="s">
        <v>11422</v>
      </c>
      <c r="P578" t="s">
        <v>11422</v>
      </c>
    </row>
    <row r="579" spans="1:16" x14ac:dyDescent="0.25">
      <c r="A579" t="s">
        <v>2938</v>
      </c>
      <c r="B579">
        <v>389</v>
      </c>
      <c r="C579" t="s">
        <v>13377</v>
      </c>
      <c r="D579" s="27">
        <v>6.25</v>
      </c>
      <c r="E579" t="s">
        <v>13197</v>
      </c>
      <c r="F579" s="28">
        <v>42028</v>
      </c>
      <c r="I579" s="23" t="s">
        <v>11422</v>
      </c>
      <c r="L579" s="23" t="s">
        <v>11422</v>
      </c>
      <c r="N579" s="17"/>
      <c r="O579" s="30" t="s">
        <v>11422</v>
      </c>
      <c r="P579" t="s">
        <v>11422</v>
      </c>
    </row>
    <row r="580" spans="1:16" x14ac:dyDescent="0.25">
      <c r="A580" t="s">
        <v>8673</v>
      </c>
      <c r="B580">
        <v>856</v>
      </c>
      <c r="C580" t="s">
        <v>13528</v>
      </c>
      <c r="D580" s="27">
        <v>11.25</v>
      </c>
      <c r="E580" t="s">
        <v>13211</v>
      </c>
      <c r="F580" s="28">
        <v>42028</v>
      </c>
      <c r="I580" s="23" t="s">
        <v>11422</v>
      </c>
      <c r="L580" s="23" t="s">
        <v>11422</v>
      </c>
      <c r="N580" s="17"/>
      <c r="O580" s="30" t="s">
        <v>11422</v>
      </c>
      <c r="P580" t="s">
        <v>11422</v>
      </c>
    </row>
    <row r="581" spans="1:16" x14ac:dyDescent="0.25">
      <c r="A581" t="s">
        <v>11502</v>
      </c>
      <c r="B581">
        <v>893</v>
      </c>
      <c r="C581" t="s">
        <v>13529</v>
      </c>
      <c r="D581" s="27">
        <v>3.57</v>
      </c>
      <c r="E581" t="s">
        <v>13213</v>
      </c>
      <c r="F581" s="28">
        <v>42028</v>
      </c>
      <c r="I581" s="23" t="s">
        <v>11422</v>
      </c>
      <c r="L581" s="23" t="s">
        <v>11422</v>
      </c>
      <c r="N581" s="17"/>
      <c r="O581" s="30" t="s">
        <v>11422</v>
      </c>
      <c r="P581" t="s">
        <v>11422</v>
      </c>
    </row>
    <row r="582" spans="1:16" x14ac:dyDescent="0.25">
      <c r="A582" t="s">
        <v>3675</v>
      </c>
      <c r="B582">
        <v>771</v>
      </c>
      <c r="C582" t="s">
        <v>13530</v>
      </c>
      <c r="D582" s="27">
        <v>7</v>
      </c>
      <c r="E582" t="s">
        <v>13223</v>
      </c>
      <c r="F582" s="28">
        <v>42028</v>
      </c>
      <c r="I582" s="23" t="s">
        <v>11422</v>
      </c>
      <c r="L582" s="23" t="s">
        <v>11422</v>
      </c>
      <c r="N582" s="17"/>
      <c r="O582" s="30" t="s">
        <v>11422</v>
      </c>
      <c r="P582" t="s">
        <v>11422</v>
      </c>
    </row>
    <row r="583" spans="1:16" x14ac:dyDescent="0.25">
      <c r="A583" t="s">
        <v>12204</v>
      </c>
      <c r="B583">
        <v>938</v>
      </c>
      <c r="C583" t="s">
        <v>13531</v>
      </c>
      <c r="D583" s="27">
        <v>8.9250000000000007</v>
      </c>
      <c r="E583" t="s">
        <v>13227</v>
      </c>
      <c r="F583" s="28">
        <v>42028</v>
      </c>
      <c r="I583" s="23" t="s">
        <v>11422</v>
      </c>
      <c r="L583" s="23" t="s">
        <v>11422</v>
      </c>
      <c r="N583" s="17"/>
      <c r="O583" s="30" t="s">
        <v>11422</v>
      </c>
      <c r="P583" t="s">
        <v>11422</v>
      </c>
    </row>
    <row r="584" spans="1:16" x14ac:dyDescent="0.25">
      <c r="A584" t="s">
        <v>12495</v>
      </c>
      <c r="B584">
        <v>964</v>
      </c>
      <c r="C584" t="s">
        <v>13532</v>
      </c>
      <c r="D584" s="27">
        <v>4.9400000000000004</v>
      </c>
      <c r="E584" t="s">
        <v>13234</v>
      </c>
      <c r="F584" s="28">
        <v>42028</v>
      </c>
      <c r="I584" s="23" t="s">
        <v>11422</v>
      </c>
      <c r="L584" s="23" t="s">
        <v>11422</v>
      </c>
      <c r="N584" s="17"/>
      <c r="O584" s="30" t="s">
        <v>11422</v>
      </c>
      <c r="P584" t="s">
        <v>11422</v>
      </c>
    </row>
    <row r="585" spans="1:16" x14ac:dyDescent="0.25">
      <c r="A585" t="s">
        <v>11510</v>
      </c>
      <c r="B585">
        <v>897</v>
      </c>
      <c r="C585" t="s">
        <v>13533</v>
      </c>
      <c r="D585" s="27">
        <v>4.5</v>
      </c>
      <c r="E585" t="s">
        <v>13236</v>
      </c>
      <c r="F585" s="28">
        <v>42028</v>
      </c>
      <c r="I585" s="23" t="s">
        <v>11422</v>
      </c>
      <c r="L585" s="23" t="s">
        <v>11422</v>
      </c>
      <c r="N585" s="17"/>
      <c r="O585" s="30" t="s">
        <v>11422</v>
      </c>
      <c r="P585" t="s">
        <v>11422</v>
      </c>
    </row>
    <row r="586" spans="1:16" x14ac:dyDescent="0.25">
      <c r="A586" t="s">
        <v>2592</v>
      </c>
      <c r="B586">
        <v>205</v>
      </c>
      <c r="C586" t="s">
        <v>13534</v>
      </c>
      <c r="D586" s="27">
        <v>6.5</v>
      </c>
      <c r="E586" t="s">
        <v>13257</v>
      </c>
      <c r="F586" s="28">
        <v>42028</v>
      </c>
      <c r="I586" s="23" t="s">
        <v>11422</v>
      </c>
      <c r="L586" s="23" t="s">
        <v>11422</v>
      </c>
      <c r="N586" s="17"/>
      <c r="O586" s="30" t="s">
        <v>11422</v>
      </c>
      <c r="P586" t="s">
        <v>11422</v>
      </c>
    </row>
    <row r="587" spans="1:16" x14ac:dyDescent="0.25">
      <c r="A587" t="s">
        <v>3526</v>
      </c>
      <c r="B587">
        <v>692</v>
      </c>
      <c r="C587" t="s">
        <v>13536</v>
      </c>
      <c r="D587" s="27">
        <v>9.4350000000000005</v>
      </c>
      <c r="E587" t="s">
        <v>13278</v>
      </c>
      <c r="F587" s="28">
        <v>42028</v>
      </c>
      <c r="I587" s="23" t="s">
        <v>11422</v>
      </c>
      <c r="L587" s="23" t="s">
        <v>11422</v>
      </c>
      <c r="N587" s="17"/>
      <c r="O587" s="30" t="s">
        <v>11422</v>
      </c>
      <c r="P587" t="s">
        <v>11422</v>
      </c>
    </row>
    <row r="588" spans="1:16" x14ac:dyDescent="0.25">
      <c r="A588" t="s">
        <v>11510</v>
      </c>
      <c r="B588">
        <v>897</v>
      </c>
      <c r="C588" t="s">
        <v>13537</v>
      </c>
      <c r="D588" s="27">
        <v>8.58</v>
      </c>
      <c r="E588" t="s">
        <v>13283</v>
      </c>
      <c r="F588" s="28">
        <v>42028</v>
      </c>
      <c r="I588" s="23" t="s">
        <v>11422</v>
      </c>
      <c r="L588" s="23" t="s">
        <v>11422</v>
      </c>
      <c r="N588" s="17"/>
      <c r="O588" s="30" t="s">
        <v>11422</v>
      </c>
      <c r="P588" t="s">
        <v>11422</v>
      </c>
    </row>
    <row r="589" spans="1:16" x14ac:dyDescent="0.25">
      <c r="A589" t="s">
        <v>13478</v>
      </c>
      <c r="B589">
        <v>1028</v>
      </c>
      <c r="C589" t="s">
        <v>13538</v>
      </c>
      <c r="D589" s="27">
        <v>8.58</v>
      </c>
      <c r="E589" t="s">
        <v>13299</v>
      </c>
      <c r="F589" s="28">
        <v>42028</v>
      </c>
      <c r="I589" s="23" t="s">
        <v>11422</v>
      </c>
      <c r="L589" s="23" t="s">
        <v>11422</v>
      </c>
      <c r="N589" s="17"/>
      <c r="O589" s="30" t="s">
        <v>11422</v>
      </c>
      <c r="P589" t="s">
        <v>11422</v>
      </c>
    </row>
    <row r="590" spans="1:16" x14ac:dyDescent="0.25">
      <c r="A590" t="s">
        <v>2318</v>
      </c>
      <c r="B590">
        <v>63</v>
      </c>
      <c r="C590" t="s">
        <v>13539</v>
      </c>
      <c r="D590" s="27">
        <v>2.8050000000000002</v>
      </c>
      <c r="E590" t="s">
        <v>13302</v>
      </c>
      <c r="F590" s="28">
        <v>42028</v>
      </c>
      <c r="I590" s="23" t="s">
        <v>11422</v>
      </c>
      <c r="L590" s="23" t="s">
        <v>11422</v>
      </c>
      <c r="N590" s="17"/>
      <c r="O590" s="30" t="s">
        <v>11422</v>
      </c>
      <c r="P590" t="s">
        <v>11422</v>
      </c>
    </row>
    <row r="591" spans="1:16" x14ac:dyDescent="0.25">
      <c r="A591" t="s">
        <v>3675</v>
      </c>
      <c r="B591">
        <v>771</v>
      </c>
      <c r="C591" t="s">
        <v>13540</v>
      </c>
      <c r="D591" s="27">
        <v>7</v>
      </c>
      <c r="E591" t="s">
        <v>13314</v>
      </c>
      <c r="F591" s="28">
        <v>42028</v>
      </c>
      <c r="I591" s="23" t="s">
        <v>11422</v>
      </c>
      <c r="L591" s="23" t="s">
        <v>11422</v>
      </c>
      <c r="N591" s="17"/>
      <c r="O591" s="30" t="s">
        <v>11422</v>
      </c>
      <c r="P591" t="s">
        <v>11422</v>
      </c>
    </row>
    <row r="592" spans="1:16" x14ac:dyDescent="0.25">
      <c r="A592" t="s">
        <v>12495</v>
      </c>
      <c r="B592">
        <v>964</v>
      </c>
      <c r="C592" t="s">
        <v>13541</v>
      </c>
      <c r="D592" s="27">
        <v>11.96</v>
      </c>
      <c r="E592" t="s">
        <v>13346</v>
      </c>
      <c r="F592" s="28">
        <v>42028</v>
      </c>
      <c r="I592" s="23" t="s">
        <v>11422</v>
      </c>
      <c r="L592" s="23" t="s">
        <v>11422</v>
      </c>
      <c r="N592" s="17"/>
      <c r="O592" s="30" t="s">
        <v>11422</v>
      </c>
      <c r="P592" t="s">
        <v>11422</v>
      </c>
    </row>
    <row r="593" spans="1:16" x14ac:dyDescent="0.25">
      <c r="A593" t="s">
        <v>2318</v>
      </c>
      <c r="B593">
        <v>63</v>
      </c>
      <c r="C593" t="s">
        <v>13542</v>
      </c>
      <c r="D593" s="27">
        <v>6.12</v>
      </c>
      <c r="E593" t="s">
        <v>13166</v>
      </c>
      <c r="F593" s="28">
        <v>42027</v>
      </c>
      <c r="I593" s="23" t="s">
        <v>11422</v>
      </c>
      <c r="L593" s="23" t="s">
        <v>11422</v>
      </c>
      <c r="N593" s="17"/>
      <c r="O593" s="30" t="s">
        <v>11422</v>
      </c>
      <c r="P593" t="s">
        <v>11422</v>
      </c>
    </row>
    <row r="594" spans="1:16" x14ac:dyDescent="0.25">
      <c r="A594" t="s">
        <v>12282</v>
      </c>
      <c r="B594">
        <v>949</v>
      </c>
      <c r="C594" t="s">
        <v>13543</v>
      </c>
      <c r="D594" s="27">
        <v>6.25</v>
      </c>
      <c r="E594" t="s">
        <v>13230</v>
      </c>
      <c r="F594" s="28">
        <v>42027</v>
      </c>
      <c r="G594" s="34">
        <v>250</v>
      </c>
      <c r="H594" s="18">
        <v>42034</v>
      </c>
      <c r="I594" s="23" t="s">
        <v>11422</v>
      </c>
      <c r="L594" s="23" t="s">
        <v>11422</v>
      </c>
      <c r="N594" s="17"/>
      <c r="O594" s="30" t="s">
        <v>11422</v>
      </c>
      <c r="P594" t="s">
        <v>11422</v>
      </c>
    </row>
    <row r="595" spans="1:16" x14ac:dyDescent="0.25">
      <c r="A595" t="s">
        <v>3407</v>
      </c>
      <c r="B595">
        <v>632</v>
      </c>
      <c r="C595" t="s">
        <v>13544</v>
      </c>
      <c r="D595" s="27">
        <v>3</v>
      </c>
      <c r="E595" t="s">
        <v>13248</v>
      </c>
      <c r="F595" s="28">
        <v>42027</v>
      </c>
      <c r="I595" s="23" t="s">
        <v>11422</v>
      </c>
      <c r="L595" s="23" t="s">
        <v>11422</v>
      </c>
      <c r="N595" s="17"/>
      <c r="O595" s="30" t="s">
        <v>11422</v>
      </c>
      <c r="P595" t="s">
        <v>11422</v>
      </c>
    </row>
    <row r="596" spans="1:16" x14ac:dyDescent="0.25">
      <c r="A596" t="s">
        <v>3490</v>
      </c>
      <c r="B596">
        <v>674</v>
      </c>
      <c r="C596" t="s">
        <v>13387</v>
      </c>
      <c r="D596" s="27">
        <v>3</v>
      </c>
      <c r="E596" t="s">
        <v>13271</v>
      </c>
      <c r="F596" s="28">
        <v>42027</v>
      </c>
      <c r="I596" s="23" t="s">
        <v>11422</v>
      </c>
      <c r="L596" s="23" t="s">
        <v>11422</v>
      </c>
      <c r="N596" s="17"/>
      <c r="O596" s="30" t="s">
        <v>11422</v>
      </c>
      <c r="P596" t="s">
        <v>11422</v>
      </c>
    </row>
    <row r="597" spans="1:16" x14ac:dyDescent="0.25">
      <c r="A597" t="s">
        <v>3590</v>
      </c>
      <c r="B597">
        <v>726</v>
      </c>
      <c r="C597" t="s">
        <v>13386</v>
      </c>
      <c r="D597" s="27">
        <v>3.3149999999999999</v>
      </c>
      <c r="E597" t="s">
        <v>13280</v>
      </c>
      <c r="F597" s="28">
        <v>42027</v>
      </c>
      <c r="I597" s="23" t="s">
        <v>11422</v>
      </c>
      <c r="L597" s="23" t="s">
        <v>11422</v>
      </c>
      <c r="N597" s="17"/>
      <c r="O597" s="30" t="s">
        <v>11422</v>
      </c>
      <c r="P597" t="s">
        <v>11422</v>
      </c>
    </row>
    <row r="598" spans="1:16" x14ac:dyDescent="0.25">
      <c r="A598" t="s">
        <v>11496</v>
      </c>
      <c r="B598">
        <v>890</v>
      </c>
      <c r="C598" t="s">
        <v>13545</v>
      </c>
      <c r="D598" s="27">
        <v>10.455</v>
      </c>
      <c r="E598" t="s">
        <v>13352</v>
      </c>
      <c r="F598" s="28">
        <v>42027</v>
      </c>
      <c r="I598" s="23" t="s">
        <v>11422</v>
      </c>
      <c r="L598" s="23" t="s">
        <v>11422</v>
      </c>
      <c r="N598" s="17"/>
      <c r="O598" s="30" t="s">
        <v>11422</v>
      </c>
      <c r="P598" t="s">
        <v>11422</v>
      </c>
    </row>
    <row r="599" spans="1:16" x14ac:dyDescent="0.25">
      <c r="A599" t="s">
        <v>11428</v>
      </c>
      <c r="B599">
        <v>860</v>
      </c>
      <c r="C599" t="s">
        <v>13379</v>
      </c>
      <c r="D599" s="27">
        <v>6.25</v>
      </c>
      <c r="E599" t="s">
        <v>13356</v>
      </c>
      <c r="F599" s="28">
        <v>42027</v>
      </c>
      <c r="I599" s="23" t="s">
        <v>11422</v>
      </c>
      <c r="L599" s="23" t="s">
        <v>11422</v>
      </c>
      <c r="N599" s="17"/>
      <c r="O599" s="30" t="s">
        <v>11422</v>
      </c>
      <c r="P599" t="s">
        <v>11422</v>
      </c>
    </row>
    <row r="600" spans="1:16" x14ac:dyDescent="0.25">
      <c r="A600" t="s">
        <v>1007</v>
      </c>
      <c r="B600">
        <v>703</v>
      </c>
      <c r="C600" t="s">
        <v>13391</v>
      </c>
      <c r="D600" s="27">
        <v>11.22</v>
      </c>
      <c r="E600" t="s">
        <v>13129</v>
      </c>
      <c r="F600" s="28">
        <v>42026</v>
      </c>
      <c r="I600" s="23" t="s">
        <v>11422</v>
      </c>
      <c r="L600" s="23" t="s">
        <v>11422</v>
      </c>
      <c r="N600" s="17"/>
      <c r="O600" s="30" t="s">
        <v>11422</v>
      </c>
      <c r="P600" t="s">
        <v>11422</v>
      </c>
    </row>
    <row r="601" spans="1:16" x14ac:dyDescent="0.25">
      <c r="A601" t="s">
        <v>12209</v>
      </c>
      <c r="B601">
        <v>912</v>
      </c>
      <c r="C601" t="s">
        <v>13396</v>
      </c>
      <c r="D601" s="27">
        <v>6.12</v>
      </c>
      <c r="E601" t="s">
        <v>13152</v>
      </c>
      <c r="F601" s="28">
        <v>42026</v>
      </c>
      <c r="G601" s="34">
        <v>250</v>
      </c>
      <c r="H601" s="18">
        <v>42041</v>
      </c>
      <c r="I601" s="23" t="s">
        <v>11422</v>
      </c>
      <c r="L601" s="23" t="s">
        <v>11422</v>
      </c>
      <c r="N601" s="17"/>
      <c r="O601" s="30" t="s">
        <v>11422</v>
      </c>
      <c r="P601" t="s">
        <v>11422</v>
      </c>
    </row>
    <row r="602" spans="1:16" x14ac:dyDescent="0.25">
      <c r="A602" t="s">
        <v>11500</v>
      </c>
      <c r="B602">
        <v>892</v>
      </c>
      <c r="C602" t="s">
        <v>13546</v>
      </c>
      <c r="D602" s="27">
        <v>8.5</v>
      </c>
      <c r="E602" t="s">
        <v>13170</v>
      </c>
      <c r="F602" s="28">
        <v>42026</v>
      </c>
      <c r="I602" s="23" t="s">
        <v>11422</v>
      </c>
      <c r="L602" s="23" t="s">
        <v>11422</v>
      </c>
      <c r="N602" s="17"/>
      <c r="O602" s="30" t="s">
        <v>11422</v>
      </c>
      <c r="P602" t="s">
        <v>11422</v>
      </c>
    </row>
    <row r="603" spans="1:16" x14ac:dyDescent="0.25">
      <c r="A603" t="s">
        <v>3590</v>
      </c>
      <c r="B603">
        <v>726</v>
      </c>
      <c r="C603" t="s">
        <v>13392</v>
      </c>
      <c r="D603" s="27">
        <v>3.3149999999999999</v>
      </c>
      <c r="E603" t="s">
        <v>13189</v>
      </c>
      <c r="F603" s="28">
        <v>42026</v>
      </c>
      <c r="I603" s="23" t="s">
        <v>11422</v>
      </c>
      <c r="L603" s="23" t="s">
        <v>11422</v>
      </c>
      <c r="N603" s="17"/>
      <c r="O603" s="30" t="s">
        <v>11422</v>
      </c>
      <c r="P603" t="s">
        <v>11422</v>
      </c>
    </row>
    <row r="604" spans="1:16" x14ac:dyDescent="0.25">
      <c r="A604" t="s">
        <v>3767</v>
      </c>
      <c r="B604">
        <v>817</v>
      </c>
      <c r="C604" t="s">
        <v>13547</v>
      </c>
      <c r="D604" s="27">
        <v>8.4149999999999991</v>
      </c>
      <c r="E604" t="s">
        <v>13251</v>
      </c>
      <c r="F604" s="28">
        <v>42026</v>
      </c>
      <c r="I604" s="23" t="s">
        <v>11422</v>
      </c>
      <c r="L604" s="23" t="s">
        <v>11422</v>
      </c>
      <c r="N604" s="17"/>
      <c r="O604" s="30" t="s">
        <v>11422</v>
      </c>
      <c r="P604" t="s">
        <v>11422</v>
      </c>
    </row>
    <row r="605" spans="1:16" x14ac:dyDescent="0.25">
      <c r="A605" t="s">
        <v>12214</v>
      </c>
      <c r="B605">
        <v>915</v>
      </c>
      <c r="C605" t="s">
        <v>13395</v>
      </c>
      <c r="D605" s="27">
        <v>3.57</v>
      </c>
      <c r="E605" t="s">
        <v>13253</v>
      </c>
      <c r="F605" s="28">
        <v>42026</v>
      </c>
      <c r="I605" s="23" t="s">
        <v>11422</v>
      </c>
      <c r="L605" s="23" t="s">
        <v>11422</v>
      </c>
      <c r="N605" s="17"/>
      <c r="O605" s="30" t="s">
        <v>11422</v>
      </c>
      <c r="P605" t="s">
        <v>11422</v>
      </c>
    </row>
    <row r="606" spans="1:16" x14ac:dyDescent="0.25">
      <c r="A606" t="s">
        <v>12282</v>
      </c>
      <c r="B606">
        <v>949</v>
      </c>
      <c r="C606" t="s">
        <v>13548</v>
      </c>
      <c r="D606" s="27">
        <v>10.965</v>
      </c>
      <c r="E606" t="s">
        <v>13259</v>
      </c>
      <c r="F606" s="28">
        <v>42026</v>
      </c>
      <c r="I606" s="23" t="s">
        <v>11422</v>
      </c>
      <c r="L606" s="23" t="s">
        <v>11422</v>
      </c>
      <c r="N606" s="17"/>
      <c r="O606" s="30" t="s">
        <v>11422</v>
      </c>
      <c r="P606" t="s">
        <v>11422</v>
      </c>
    </row>
    <row r="607" spans="1:16" x14ac:dyDescent="0.25">
      <c r="A607" t="s">
        <v>3407</v>
      </c>
      <c r="B607">
        <v>632</v>
      </c>
      <c r="C607" t="s">
        <v>13394</v>
      </c>
      <c r="D607" s="27">
        <v>7.9050000000000002</v>
      </c>
      <c r="E607" t="s">
        <v>13261</v>
      </c>
      <c r="F607" s="28">
        <v>42026</v>
      </c>
      <c r="I607" s="23" t="s">
        <v>11422</v>
      </c>
      <c r="L607" s="23" t="s">
        <v>11422</v>
      </c>
      <c r="N607" s="17"/>
      <c r="O607" s="30" t="s">
        <v>11422</v>
      </c>
      <c r="P607" t="s">
        <v>11422</v>
      </c>
    </row>
    <row r="608" spans="1:16" x14ac:dyDescent="0.25">
      <c r="A608" t="s">
        <v>11496</v>
      </c>
      <c r="B608">
        <v>890</v>
      </c>
      <c r="C608" t="s">
        <v>13393</v>
      </c>
      <c r="D608" s="27">
        <v>7.3949999999999996</v>
      </c>
      <c r="E608" t="s">
        <v>13267</v>
      </c>
      <c r="F608" s="28">
        <v>42026</v>
      </c>
      <c r="I608" s="23" t="s">
        <v>11422</v>
      </c>
      <c r="L608" s="23" t="s">
        <v>11422</v>
      </c>
      <c r="N608" s="17"/>
      <c r="O608" s="30" t="s">
        <v>11422</v>
      </c>
      <c r="P608" t="s">
        <v>11422</v>
      </c>
    </row>
    <row r="609" spans="1:16" x14ac:dyDescent="0.25">
      <c r="A609" t="s">
        <v>2814</v>
      </c>
      <c r="B609">
        <v>326</v>
      </c>
      <c r="C609" t="s">
        <v>13549</v>
      </c>
      <c r="D609" s="27">
        <v>14.25</v>
      </c>
      <c r="E609" t="s">
        <v>13295</v>
      </c>
      <c r="F609" s="28">
        <v>42026</v>
      </c>
      <c r="I609" s="23" t="s">
        <v>11422</v>
      </c>
      <c r="L609" s="23" t="s">
        <v>11422</v>
      </c>
      <c r="N609" s="17"/>
      <c r="O609" s="30" t="s">
        <v>11422</v>
      </c>
      <c r="P609" t="s">
        <v>11422</v>
      </c>
    </row>
    <row r="610" spans="1:16" x14ac:dyDescent="0.25">
      <c r="A610" t="s">
        <v>11510</v>
      </c>
      <c r="B610">
        <v>897</v>
      </c>
      <c r="C610" t="s">
        <v>13550</v>
      </c>
      <c r="D610" s="27">
        <v>2.6</v>
      </c>
      <c r="E610" t="s">
        <v>13297</v>
      </c>
      <c r="F610" s="28">
        <v>42026</v>
      </c>
      <c r="I610" s="23" t="s">
        <v>11422</v>
      </c>
      <c r="L610" s="23" t="s">
        <v>11422</v>
      </c>
      <c r="N610" s="17"/>
      <c r="O610" s="30" t="s">
        <v>11422</v>
      </c>
      <c r="P610" t="s">
        <v>11422</v>
      </c>
    </row>
    <row r="611" spans="1:16" x14ac:dyDescent="0.25">
      <c r="A611" t="s">
        <v>137</v>
      </c>
      <c r="B611">
        <v>648</v>
      </c>
      <c r="C611" t="s">
        <v>13551</v>
      </c>
      <c r="D611" s="27">
        <v>3.3149999999999999</v>
      </c>
      <c r="E611" t="s">
        <v>13304</v>
      </c>
      <c r="F611" s="28">
        <v>42026</v>
      </c>
      <c r="I611" s="23" t="s">
        <v>11422</v>
      </c>
      <c r="L611" s="23" t="s">
        <v>11422</v>
      </c>
      <c r="N611" s="17"/>
      <c r="O611" s="30" t="s">
        <v>11422</v>
      </c>
      <c r="P611" t="s">
        <v>11422</v>
      </c>
    </row>
    <row r="612" spans="1:16" x14ac:dyDescent="0.25">
      <c r="A612" t="s">
        <v>137</v>
      </c>
      <c r="B612">
        <v>648</v>
      </c>
      <c r="C612" t="s">
        <v>13551</v>
      </c>
      <c r="D612" s="27">
        <v>3.8250000000000002</v>
      </c>
      <c r="E612" t="s">
        <v>13305</v>
      </c>
      <c r="F612" s="28">
        <v>42026</v>
      </c>
      <c r="I612" s="23" t="s">
        <v>11422</v>
      </c>
      <c r="L612" s="23" t="s">
        <v>11422</v>
      </c>
      <c r="N612" s="17"/>
      <c r="O612" s="30" t="s">
        <v>11422</v>
      </c>
      <c r="P612" t="s">
        <v>11422</v>
      </c>
    </row>
    <row r="613" spans="1:16" x14ac:dyDescent="0.25">
      <c r="A613" t="s">
        <v>3635</v>
      </c>
      <c r="B613">
        <v>750</v>
      </c>
      <c r="C613" t="s">
        <v>13552</v>
      </c>
      <c r="D613" s="27">
        <v>7.28</v>
      </c>
      <c r="E613" t="s">
        <v>13331</v>
      </c>
      <c r="F613" s="28">
        <v>42026</v>
      </c>
      <c r="I613" s="23" t="s">
        <v>11422</v>
      </c>
      <c r="L613" s="23" t="s">
        <v>11422</v>
      </c>
      <c r="N613" s="17"/>
      <c r="O613" s="30" t="s">
        <v>11422</v>
      </c>
      <c r="P613" t="s">
        <v>11422</v>
      </c>
    </row>
    <row r="614" spans="1:16" x14ac:dyDescent="0.25">
      <c r="A614" t="s">
        <v>12820</v>
      </c>
      <c r="B614">
        <v>991</v>
      </c>
      <c r="C614" t="s">
        <v>13553</v>
      </c>
      <c r="D614" s="27">
        <v>2.5499999999999998</v>
      </c>
      <c r="E614" t="s">
        <v>13340</v>
      </c>
      <c r="F614" s="28">
        <v>42026</v>
      </c>
      <c r="I614" s="23" t="s">
        <v>11422</v>
      </c>
      <c r="L614" s="23" t="s">
        <v>11422</v>
      </c>
      <c r="N614" s="17"/>
      <c r="O614" s="30" t="s">
        <v>11422</v>
      </c>
      <c r="P614" t="s">
        <v>11422</v>
      </c>
    </row>
    <row r="615" spans="1:16" x14ac:dyDescent="0.25">
      <c r="A615" t="s">
        <v>12574</v>
      </c>
      <c r="B615">
        <v>974</v>
      </c>
      <c r="C615" t="s">
        <v>13554</v>
      </c>
      <c r="D615" s="27">
        <v>4.59</v>
      </c>
      <c r="E615" t="s">
        <v>13354</v>
      </c>
      <c r="F615" s="28">
        <v>42026</v>
      </c>
      <c r="I615" s="23" t="s">
        <v>11422</v>
      </c>
      <c r="L615" s="23" t="s">
        <v>11422</v>
      </c>
      <c r="N615" s="17"/>
      <c r="O615" s="30" t="s">
        <v>11422</v>
      </c>
      <c r="P615" t="s">
        <v>11422</v>
      </c>
    </row>
    <row r="616" spans="1:16" x14ac:dyDescent="0.25">
      <c r="A616" t="s">
        <v>3353</v>
      </c>
      <c r="B616">
        <v>603</v>
      </c>
      <c r="C616" t="s">
        <v>13389</v>
      </c>
      <c r="D616" s="27">
        <v>2.5</v>
      </c>
      <c r="E616" t="s">
        <v>13373</v>
      </c>
      <c r="F616" s="28">
        <v>42026</v>
      </c>
      <c r="I616" s="23" t="s">
        <v>11422</v>
      </c>
      <c r="L616" s="23" t="s">
        <v>11422</v>
      </c>
      <c r="N616" s="17"/>
      <c r="O616" s="30" t="s">
        <v>11422</v>
      </c>
      <c r="P616" t="s">
        <v>11422</v>
      </c>
    </row>
    <row r="617" spans="1:16" x14ac:dyDescent="0.25">
      <c r="A617" t="s">
        <v>12820</v>
      </c>
      <c r="B617">
        <v>991</v>
      </c>
      <c r="C617" t="s">
        <v>13157</v>
      </c>
      <c r="D617" s="27">
        <v>23.46</v>
      </c>
      <c r="E617" t="s">
        <v>13172</v>
      </c>
      <c r="F617" s="28">
        <v>42025</v>
      </c>
      <c r="I617" s="23" t="s">
        <v>11422</v>
      </c>
      <c r="L617" s="23" t="s">
        <v>11422</v>
      </c>
      <c r="N617" s="17"/>
      <c r="O617" s="30" t="s">
        <v>11422</v>
      </c>
      <c r="P617" t="s">
        <v>11422</v>
      </c>
    </row>
    <row r="618" spans="1:16" x14ac:dyDescent="0.25">
      <c r="A618" t="s">
        <v>12266</v>
      </c>
      <c r="B618">
        <v>941</v>
      </c>
      <c r="C618" t="s">
        <v>13558</v>
      </c>
      <c r="D618" s="27">
        <v>3.57</v>
      </c>
      <c r="E618" t="s">
        <v>13255</v>
      </c>
      <c r="F618" s="28">
        <v>42025</v>
      </c>
      <c r="G618" s="34">
        <v>250</v>
      </c>
      <c r="H618" s="18">
        <v>42041</v>
      </c>
      <c r="I618" s="23" t="s">
        <v>11422</v>
      </c>
      <c r="L618" s="23" t="s">
        <v>11422</v>
      </c>
      <c r="N618" s="17"/>
      <c r="O618" s="30" t="s">
        <v>11422</v>
      </c>
      <c r="P618" t="s">
        <v>11422</v>
      </c>
    </row>
    <row r="619" spans="1:16" x14ac:dyDescent="0.25">
      <c r="A619" t="s">
        <v>3371</v>
      </c>
      <c r="B619">
        <v>612</v>
      </c>
      <c r="C619" t="s">
        <v>13559</v>
      </c>
      <c r="D619" s="27">
        <v>3.8250000000000002</v>
      </c>
      <c r="E619" t="s">
        <v>13292</v>
      </c>
      <c r="F619" s="28">
        <v>42025</v>
      </c>
      <c r="I619" s="23" t="s">
        <v>11422</v>
      </c>
      <c r="L619" s="23" t="s">
        <v>11422</v>
      </c>
      <c r="N619" s="17"/>
      <c r="O619" s="30" t="s">
        <v>11422</v>
      </c>
      <c r="P619" t="s">
        <v>11422</v>
      </c>
    </row>
    <row r="620" spans="1:16" x14ac:dyDescent="0.25">
      <c r="A620" t="s">
        <v>3590</v>
      </c>
      <c r="B620">
        <v>726</v>
      </c>
      <c r="C620" t="s">
        <v>13397</v>
      </c>
      <c r="D620" s="27">
        <v>3.06</v>
      </c>
      <c r="E620" t="s">
        <v>13324</v>
      </c>
      <c r="F620" s="28">
        <v>42025</v>
      </c>
      <c r="I620" s="23" t="s">
        <v>11422</v>
      </c>
      <c r="L620" s="23" t="s">
        <v>11422</v>
      </c>
      <c r="N620" s="17"/>
      <c r="O620" s="30" t="s">
        <v>11422</v>
      </c>
      <c r="P620" t="s">
        <v>11422</v>
      </c>
    </row>
    <row r="621" spans="1:16" x14ac:dyDescent="0.25">
      <c r="A621" t="s">
        <v>3651</v>
      </c>
      <c r="B621">
        <v>758</v>
      </c>
      <c r="C621" t="s">
        <v>13560</v>
      </c>
      <c r="D621" s="27">
        <v>4</v>
      </c>
      <c r="E621" t="s">
        <v>13334</v>
      </c>
      <c r="F621" s="28">
        <v>42025</v>
      </c>
      <c r="I621" s="23" t="s">
        <v>11422</v>
      </c>
      <c r="L621" s="23" t="s">
        <v>11422</v>
      </c>
      <c r="N621" s="17"/>
      <c r="O621" s="30" t="s">
        <v>11422</v>
      </c>
      <c r="P621" t="s">
        <v>11422</v>
      </c>
    </row>
    <row r="622" spans="1:16" x14ac:dyDescent="0.25">
      <c r="A622" t="s">
        <v>11502</v>
      </c>
      <c r="B622">
        <v>893</v>
      </c>
      <c r="C622" t="s">
        <v>13561</v>
      </c>
      <c r="D622" s="27">
        <v>9.18</v>
      </c>
      <c r="E622" t="s">
        <v>13350</v>
      </c>
      <c r="F622" s="28">
        <v>42025</v>
      </c>
      <c r="I622" s="23" t="s">
        <v>11422</v>
      </c>
      <c r="L622" s="23" t="s">
        <v>11422</v>
      </c>
      <c r="N622" s="17"/>
      <c r="O622" s="30" t="s">
        <v>11422</v>
      </c>
      <c r="P622" t="s">
        <v>11422</v>
      </c>
    </row>
    <row r="623" spans="1:16" x14ac:dyDescent="0.25">
      <c r="A623" t="s">
        <v>11502</v>
      </c>
      <c r="B623">
        <v>893</v>
      </c>
      <c r="C623" t="s">
        <v>13562</v>
      </c>
      <c r="D623" s="27">
        <v>4.59</v>
      </c>
      <c r="E623" t="s">
        <v>13362</v>
      </c>
      <c r="F623" s="28">
        <v>42025</v>
      </c>
      <c r="I623" s="23" t="s">
        <v>11422</v>
      </c>
      <c r="L623" s="23" t="s">
        <v>11422</v>
      </c>
      <c r="N623" s="17"/>
      <c r="O623" s="30" t="s">
        <v>11422</v>
      </c>
      <c r="P623" t="s">
        <v>11422</v>
      </c>
    </row>
    <row r="624" spans="1:16" x14ac:dyDescent="0.25">
      <c r="A624" t="s">
        <v>12495</v>
      </c>
      <c r="B624">
        <v>964</v>
      </c>
      <c r="C624" t="s">
        <v>13400</v>
      </c>
      <c r="D624" s="27">
        <v>3.8250000000000002</v>
      </c>
      <c r="E624" t="s">
        <v>13141</v>
      </c>
      <c r="F624" s="28">
        <v>42024</v>
      </c>
      <c r="I624" s="23" t="s">
        <v>11422</v>
      </c>
      <c r="L624" s="23" t="s">
        <v>11422</v>
      </c>
      <c r="N624" s="17"/>
      <c r="O624" s="30" t="s">
        <v>11422</v>
      </c>
      <c r="P624" t="s">
        <v>11422</v>
      </c>
    </row>
    <row r="625" spans="1:16" x14ac:dyDescent="0.25">
      <c r="A625" t="s">
        <v>12495</v>
      </c>
      <c r="B625">
        <v>964</v>
      </c>
      <c r="C625" t="s">
        <v>13563</v>
      </c>
      <c r="D625" s="27">
        <v>4</v>
      </c>
      <c r="E625" t="s">
        <v>13195</v>
      </c>
      <c r="F625" s="28">
        <v>42024</v>
      </c>
      <c r="I625" s="23" t="s">
        <v>11422</v>
      </c>
      <c r="L625" s="23" t="s">
        <v>11422</v>
      </c>
      <c r="N625" s="17"/>
      <c r="O625" s="30" t="s">
        <v>11422</v>
      </c>
      <c r="P625" t="s">
        <v>11422</v>
      </c>
    </row>
    <row r="626" spans="1:16" x14ac:dyDescent="0.25">
      <c r="A626" t="s">
        <v>12495</v>
      </c>
      <c r="B626">
        <v>964</v>
      </c>
      <c r="C626" t="s">
        <v>13401</v>
      </c>
      <c r="D626" s="27">
        <v>5.8650000000000002</v>
      </c>
      <c r="E626" t="s">
        <v>13126</v>
      </c>
      <c r="F626" s="28">
        <v>42023</v>
      </c>
      <c r="I626" s="23" t="s">
        <v>11422</v>
      </c>
      <c r="L626" s="23" t="s">
        <v>11422</v>
      </c>
      <c r="N626" s="17"/>
      <c r="O626" s="30" t="s">
        <v>11422</v>
      </c>
      <c r="P626" t="s">
        <v>11422</v>
      </c>
    </row>
    <row r="627" spans="1:16" x14ac:dyDescent="0.25">
      <c r="A627" t="s">
        <v>13157</v>
      </c>
      <c r="B627">
        <v>0</v>
      </c>
      <c r="C627" t="s">
        <v>13402</v>
      </c>
      <c r="D627" s="27">
        <v>5.8650000000000002</v>
      </c>
      <c r="E627" t="s">
        <v>13156</v>
      </c>
      <c r="F627" s="28">
        <v>42023</v>
      </c>
      <c r="I627" s="23" t="s">
        <v>11422</v>
      </c>
      <c r="L627" s="23" t="s">
        <v>11422</v>
      </c>
      <c r="N627" s="17"/>
      <c r="O627" s="30" t="s">
        <v>11422</v>
      </c>
      <c r="P627" t="s">
        <v>11422</v>
      </c>
    </row>
    <row r="628" spans="1:16" x14ac:dyDescent="0.25">
      <c r="A628" t="s">
        <v>11502</v>
      </c>
      <c r="B628">
        <v>893</v>
      </c>
      <c r="C628" t="s">
        <v>13566</v>
      </c>
      <c r="D628" s="27">
        <v>8.9250000000000007</v>
      </c>
      <c r="E628" t="s">
        <v>13200</v>
      </c>
      <c r="F628" s="28">
        <v>42023</v>
      </c>
      <c r="I628" s="23" t="s">
        <v>11422</v>
      </c>
      <c r="L628" s="23" t="s">
        <v>11422</v>
      </c>
      <c r="N628" s="17"/>
      <c r="O628" s="30" t="s">
        <v>11422</v>
      </c>
      <c r="P628" t="s">
        <v>11422</v>
      </c>
    </row>
    <row r="629" spans="1:16" x14ac:dyDescent="0.25">
      <c r="A629" t="s">
        <v>12282</v>
      </c>
      <c r="B629">
        <v>949</v>
      </c>
      <c r="C629" t="s">
        <v>13567</v>
      </c>
      <c r="D629" s="27">
        <v>14.025</v>
      </c>
      <c r="E629" t="s">
        <v>13207</v>
      </c>
      <c r="F629" s="28">
        <v>42023</v>
      </c>
      <c r="I629" s="23" t="s">
        <v>11422</v>
      </c>
      <c r="L629" s="23" t="s">
        <v>11422</v>
      </c>
      <c r="N629" s="17"/>
      <c r="O629" s="30" t="s">
        <v>11422</v>
      </c>
      <c r="P629" t="s">
        <v>11422</v>
      </c>
    </row>
    <row r="630" spans="1:16" x14ac:dyDescent="0.25">
      <c r="A630" t="s">
        <v>3215</v>
      </c>
      <c r="B630">
        <v>530</v>
      </c>
      <c r="C630" t="s">
        <v>13568</v>
      </c>
      <c r="D630" s="27">
        <v>8</v>
      </c>
      <c r="E630" t="s">
        <v>13218</v>
      </c>
      <c r="F630" s="28">
        <v>42023</v>
      </c>
      <c r="I630" s="23" t="s">
        <v>11422</v>
      </c>
      <c r="L630" s="23" t="s">
        <v>11422</v>
      </c>
      <c r="N630" s="17"/>
      <c r="O630" s="30" t="s">
        <v>11422</v>
      </c>
      <c r="P630" t="s">
        <v>11422</v>
      </c>
    </row>
    <row r="631" spans="1:16" x14ac:dyDescent="0.25">
      <c r="A631" t="s">
        <v>12274</v>
      </c>
      <c r="B631">
        <v>945</v>
      </c>
      <c r="C631" t="s">
        <v>13569</v>
      </c>
      <c r="D631" s="27">
        <v>6.75</v>
      </c>
      <c r="E631" t="s">
        <v>13245</v>
      </c>
      <c r="F631" s="28">
        <v>42023</v>
      </c>
      <c r="I631" s="23" t="s">
        <v>11422</v>
      </c>
      <c r="L631" s="23" t="s">
        <v>11422</v>
      </c>
      <c r="N631" s="17"/>
      <c r="O631" s="30" t="s">
        <v>11422</v>
      </c>
      <c r="P631" t="s">
        <v>11422</v>
      </c>
    </row>
    <row r="632" spans="1:16" x14ac:dyDescent="0.25">
      <c r="A632" t="s">
        <v>12820</v>
      </c>
      <c r="B632">
        <v>991</v>
      </c>
      <c r="C632" t="s">
        <v>13570</v>
      </c>
      <c r="D632" s="27">
        <v>4.8449999999999998</v>
      </c>
      <c r="E632" t="s">
        <v>13276</v>
      </c>
      <c r="F632" s="28">
        <v>42023</v>
      </c>
      <c r="I632" s="23" t="s">
        <v>11422</v>
      </c>
      <c r="L632" s="23" t="s">
        <v>11422</v>
      </c>
      <c r="N632" s="17"/>
      <c r="O632" s="30" t="s">
        <v>11422</v>
      </c>
      <c r="P632" t="s">
        <v>11422</v>
      </c>
    </row>
    <row r="633" spans="1:16" x14ac:dyDescent="0.25">
      <c r="A633" t="s">
        <v>2252</v>
      </c>
      <c r="B633">
        <v>28</v>
      </c>
      <c r="C633" t="s">
        <v>13571</v>
      </c>
      <c r="D633" s="27">
        <v>3.8250000000000002</v>
      </c>
      <c r="E633" t="s">
        <v>13288</v>
      </c>
      <c r="F633" s="28">
        <v>42023</v>
      </c>
      <c r="I633" s="23" t="s">
        <v>11422</v>
      </c>
      <c r="L633" s="23" t="s">
        <v>11422</v>
      </c>
      <c r="N633" s="17"/>
      <c r="O633" s="30" t="s">
        <v>11422</v>
      </c>
      <c r="P633" t="s">
        <v>11422</v>
      </c>
    </row>
    <row r="634" spans="1:16" x14ac:dyDescent="0.25">
      <c r="A634" t="s">
        <v>12266</v>
      </c>
      <c r="B634">
        <v>941</v>
      </c>
      <c r="C634" t="s">
        <v>13572</v>
      </c>
      <c r="D634" s="27">
        <v>2.8050000000000002</v>
      </c>
      <c r="E634" t="s">
        <v>13312</v>
      </c>
      <c r="F634" s="28">
        <v>42023</v>
      </c>
      <c r="G634" s="34">
        <v>250</v>
      </c>
      <c r="H634" s="18">
        <v>42041</v>
      </c>
      <c r="I634" s="23" t="s">
        <v>11422</v>
      </c>
      <c r="L634" s="23" t="s">
        <v>11422</v>
      </c>
      <c r="N634" s="17"/>
      <c r="O634" s="30" t="s">
        <v>11422</v>
      </c>
      <c r="P634" t="s">
        <v>11422</v>
      </c>
    </row>
    <row r="635" spans="1:16" x14ac:dyDescent="0.25">
      <c r="A635" t="s">
        <v>2592</v>
      </c>
      <c r="B635">
        <v>205</v>
      </c>
      <c r="C635" t="s">
        <v>13573</v>
      </c>
      <c r="D635" s="27">
        <v>10.455</v>
      </c>
      <c r="E635" t="s">
        <v>13320</v>
      </c>
      <c r="F635" s="28">
        <v>42023</v>
      </c>
      <c r="I635" s="23" t="s">
        <v>11422</v>
      </c>
      <c r="L635" s="23" t="s">
        <v>11422</v>
      </c>
      <c r="N635" s="17"/>
      <c r="O635" s="30" t="s">
        <v>11422</v>
      </c>
      <c r="P635" t="s">
        <v>11422</v>
      </c>
    </row>
    <row r="636" spans="1:16" x14ac:dyDescent="0.25">
      <c r="A636" t="s">
        <v>2592</v>
      </c>
      <c r="B636">
        <v>205</v>
      </c>
      <c r="C636" t="s">
        <v>13077</v>
      </c>
      <c r="D636" s="27">
        <v>9</v>
      </c>
      <c r="E636" t="s">
        <v>13076</v>
      </c>
      <c r="F636" s="28">
        <v>42022</v>
      </c>
      <c r="I636" s="23" t="s">
        <v>11422</v>
      </c>
      <c r="L636" s="23" t="s">
        <v>11422</v>
      </c>
      <c r="N636" s="17"/>
      <c r="O636" s="30" t="s">
        <v>11422</v>
      </c>
      <c r="P636" t="s">
        <v>11422</v>
      </c>
    </row>
    <row r="637" spans="1:16" x14ac:dyDescent="0.25">
      <c r="A637" t="s">
        <v>11496</v>
      </c>
      <c r="B637">
        <v>890</v>
      </c>
      <c r="C637" t="s">
        <v>13574</v>
      </c>
      <c r="D637" s="27">
        <v>12.494999999999999</v>
      </c>
      <c r="E637" t="s">
        <v>13338</v>
      </c>
      <c r="F637" s="28">
        <v>42022</v>
      </c>
      <c r="I637" s="23" t="s">
        <v>11422</v>
      </c>
      <c r="L637" s="23" t="s">
        <v>11422</v>
      </c>
      <c r="N637" s="17"/>
      <c r="O637" s="30" t="s">
        <v>11422</v>
      </c>
      <c r="P637" t="s">
        <v>11422</v>
      </c>
    </row>
    <row r="638" spans="1:16" x14ac:dyDescent="0.25">
      <c r="A638" t="s">
        <v>3567</v>
      </c>
      <c r="B638">
        <v>714</v>
      </c>
      <c r="C638" t="s">
        <v>13405</v>
      </c>
      <c r="D638" s="27">
        <v>6.12</v>
      </c>
      <c r="E638" t="s">
        <v>13360</v>
      </c>
      <c r="F638" s="28">
        <v>42022</v>
      </c>
      <c r="I638" s="23" t="s">
        <v>11422</v>
      </c>
      <c r="L638" s="23" t="s">
        <v>11422</v>
      </c>
      <c r="N638" s="17"/>
      <c r="O638" s="30" t="s">
        <v>11422</v>
      </c>
      <c r="P638" t="s">
        <v>11422</v>
      </c>
    </row>
    <row r="639" spans="1:16" x14ac:dyDescent="0.25">
      <c r="A639" t="s">
        <v>3407</v>
      </c>
      <c r="B639">
        <v>632</v>
      </c>
      <c r="C639" t="s">
        <v>13575</v>
      </c>
      <c r="D639" s="27">
        <v>6.25</v>
      </c>
      <c r="E639" t="s">
        <v>13068</v>
      </c>
      <c r="F639" s="28">
        <v>42021</v>
      </c>
      <c r="I639" s="23" t="s">
        <v>11422</v>
      </c>
      <c r="L639" s="23" t="s">
        <v>11422</v>
      </c>
      <c r="N639" s="17"/>
      <c r="O639" s="30" t="s">
        <v>11422</v>
      </c>
      <c r="P639" t="s">
        <v>11422</v>
      </c>
    </row>
    <row r="640" spans="1:16" x14ac:dyDescent="0.25">
      <c r="A640" t="s">
        <v>3767</v>
      </c>
      <c r="B640">
        <v>817</v>
      </c>
      <c r="C640" t="s">
        <v>13409</v>
      </c>
      <c r="D640" s="27">
        <v>8.16</v>
      </c>
      <c r="E640" t="s">
        <v>13143</v>
      </c>
      <c r="F640" s="28">
        <v>42021</v>
      </c>
      <c r="I640" s="23" t="s">
        <v>11422</v>
      </c>
      <c r="L640" s="23" t="s">
        <v>11422</v>
      </c>
      <c r="N640" s="17"/>
      <c r="O640" s="30" t="s">
        <v>11422</v>
      </c>
      <c r="P640" t="s">
        <v>11422</v>
      </c>
    </row>
    <row r="641" spans="1:16" x14ac:dyDescent="0.25">
      <c r="A641" t="s">
        <v>3502</v>
      </c>
      <c r="B641">
        <v>680</v>
      </c>
      <c r="C641" t="s">
        <v>13407</v>
      </c>
      <c r="D641" s="27">
        <v>11.73</v>
      </c>
      <c r="E641" t="s">
        <v>13174</v>
      </c>
      <c r="F641" s="28">
        <v>42021</v>
      </c>
      <c r="I641" s="23" t="s">
        <v>11422</v>
      </c>
      <c r="L641" s="23" t="s">
        <v>11422</v>
      </c>
      <c r="N641" s="17"/>
      <c r="O641" s="30" t="s">
        <v>11422</v>
      </c>
      <c r="P641" t="s">
        <v>11422</v>
      </c>
    </row>
    <row r="642" spans="1:16" x14ac:dyDescent="0.25">
      <c r="A642" t="s">
        <v>11496</v>
      </c>
      <c r="B642">
        <v>890</v>
      </c>
      <c r="C642" t="s">
        <v>13579</v>
      </c>
      <c r="D642" s="27">
        <v>10.965</v>
      </c>
      <c r="E642" t="s">
        <v>13232</v>
      </c>
      <c r="F642" s="28">
        <v>42021</v>
      </c>
      <c r="I642" s="23" t="s">
        <v>11422</v>
      </c>
      <c r="L642" s="23" t="s">
        <v>11422</v>
      </c>
      <c r="N642" s="17"/>
      <c r="O642" s="30" t="s">
        <v>11422</v>
      </c>
      <c r="P642" t="s">
        <v>11422</v>
      </c>
    </row>
    <row r="643" spans="1:16" x14ac:dyDescent="0.25">
      <c r="A643" t="s">
        <v>11428</v>
      </c>
      <c r="B643">
        <v>860</v>
      </c>
      <c r="C643" t="s">
        <v>13073</v>
      </c>
      <c r="D643" s="27">
        <v>14.025</v>
      </c>
      <c r="E643" t="s">
        <v>13072</v>
      </c>
      <c r="F643" s="28">
        <v>42021</v>
      </c>
      <c r="I643" s="23" t="s">
        <v>11422</v>
      </c>
      <c r="L643" s="23" t="s">
        <v>11422</v>
      </c>
      <c r="N643" s="17"/>
      <c r="O643" s="30" t="s">
        <v>11422</v>
      </c>
      <c r="P643" t="s">
        <v>11422</v>
      </c>
    </row>
    <row r="644" spans="1:16" x14ac:dyDescent="0.25">
      <c r="A644" t="s">
        <v>12574</v>
      </c>
      <c r="B644">
        <v>974</v>
      </c>
      <c r="C644" t="s">
        <v>13580</v>
      </c>
      <c r="D644" s="27">
        <v>9.9450000000000003</v>
      </c>
      <c r="E644" t="s">
        <v>13322</v>
      </c>
      <c r="F644" s="28">
        <v>42021</v>
      </c>
      <c r="I644" s="23" t="s">
        <v>11422</v>
      </c>
      <c r="L644" s="23" t="s">
        <v>11422</v>
      </c>
      <c r="N644" s="17"/>
      <c r="O644" s="30" t="s">
        <v>11422</v>
      </c>
      <c r="P644" t="s">
        <v>11422</v>
      </c>
    </row>
    <row r="645" spans="1:16" x14ac:dyDescent="0.25">
      <c r="A645" t="s">
        <v>2318</v>
      </c>
      <c r="B645">
        <v>63</v>
      </c>
      <c r="C645" t="s">
        <v>13075</v>
      </c>
      <c r="D645" s="27">
        <v>7.75</v>
      </c>
      <c r="E645" t="s">
        <v>13074</v>
      </c>
      <c r="F645" s="28">
        <v>42021</v>
      </c>
      <c r="I645" s="23" t="s">
        <v>11422</v>
      </c>
      <c r="L645" s="23" t="s">
        <v>11422</v>
      </c>
      <c r="N645" s="17"/>
      <c r="O645" s="30" t="s">
        <v>11422</v>
      </c>
      <c r="P645" t="s">
        <v>11422</v>
      </c>
    </row>
    <row r="646" spans="1:16" x14ac:dyDescent="0.25">
      <c r="A646" t="s">
        <v>23</v>
      </c>
      <c r="B646">
        <v>255</v>
      </c>
      <c r="C646" t="s">
        <v>13071</v>
      </c>
      <c r="D646" s="27">
        <v>9.75</v>
      </c>
      <c r="E646" t="s">
        <v>13070</v>
      </c>
      <c r="F646" s="28">
        <v>42021</v>
      </c>
      <c r="I646" s="23" t="s">
        <v>11422</v>
      </c>
      <c r="L646" s="23" t="s">
        <v>11422</v>
      </c>
      <c r="N646" s="17"/>
      <c r="O646" s="30" t="s">
        <v>11422</v>
      </c>
      <c r="P646" t="s">
        <v>11422</v>
      </c>
    </row>
    <row r="647" spans="1:16" x14ac:dyDescent="0.25">
      <c r="A647" t="s">
        <v>12574</v>
      </c>
      <c r="B647">
        <v>974</v>
      </c>
      <c r="C647" t="s">
        <v>13581</v>
      </c>
      <c r="D647" s="27">
        <v>3.06</v>
      </c>
      <c r="E647" t="s">
        <v>13336</v>
      </c>
      <c r="F647" s="28">
        <v>42021</v>
      </c>
      <c r="I647" s="23" t="s">
        <v>11422</v>
      </c>
      <c r="L647" s="23" t="s">
        <v>11422</v>
      </c>
      <c r="N647" s="17"/>
      <c r="O647" s="30" t="s">
        <v>11422</v>
      </c>
      <c r="P647" t="s">
        <v>11422</v>
      </c>
    </row>
    <row r="648" spans="1:16" x14ac:dyDescent="0.25">
      <c r="A648" t="s">
        <v>3567</v>
      </c>
      <c r="B648">
        <v>714</v>
      </c>
      <c r="C648" t="s">
        <v>13406</v>
      </c>
      <c r="D648" s="27">
        <v>14.025</v>
      </c>
      <c r="E648" t="s">
        <v>13344</v>
      </c>
      <c r="F648" s="28">
        <v>42021</v>
      </c>
      <c r="I648" s="23" t="s">
        <v>11422</v>
      </c>
      <c r="L648" s="23" t="s">
        <v>11422</v>
      </c>
      <c r="N648" s="17"/>
      <c r="O648" s="30" t="s">
        <v>11422</v>
      </c>
      <c r="P648" t="s">
        <v>11422</v>
      </c>
    </row>
    <row r="649" spans="1:16" x14ac:dyDescent="0.25">
      <c r="A649" t="s">
        <v>2278</v>
      </c>
      <c r="B649">
        <v>41</v>
      </c>
      <c r="C649" t="s">
        <v>13411</v>
      </c>
      <c r="D649" s="27">
        <v>8.75</v>
      </c>
      <c r="E649" t="s">
        <v>13358</v>
      </c>
      <c r="F649" s="28">
        <v>42021</v>
      </c>
      <c r="I649" s="23" t="s">
        <v>11422</v>
      </c>
      <c r="L649" s="23" t="s">
        <v>11422</v>
      </c>
      <c r="N649" s="17"/>
      <c r="O649" s="30" t="s">
        <v>11422</v>
      </c>
      <c r="P649" t="s">
        <v>11422</v>
      </c>
    </row>
    <row r="650" spans="1:16" x14ac:dyDescent="0.25">
      <c r="A650" t="s">
        <v>12820</v>
      </c>
      <c r="B650">
        <v>991</v>
      </c>
      <c r="C650" t="s">
        <v>13412</v>
      </c>
      <c r="D650" s="27">
        <v>7.9050000000000002</v>
      </c>
      <c r="E650" t="s">
        <v>13369</v>
      </c>
      <c r="F650" s="28">
        <v>42021</v>
      </c>
      <c r="I650" s="23" t="s">
        <v>11422</v>
      </c>
      <c r="L650" s="23" t="s">
        <v>11422</v>
      </c>
      <c r="N650" s="17"/>
      <c r="O650" s="30" t="s">
        <v>11422</v>
      </c>
      <c r="P650" t="s">
        <v>11422</v>
      </c>
    </row>
    <row r="651" spans="1:16" x14ac:dyDescent="0.25">
      <c r="A651" t="s">
        <v>3526</v>
      </c>
      <c r="B651">
        <v>692</v>
      </c>
      <c r="C651" t="s">
        <v>13582</v>
      </c>
      <c r="D651" s="27">
        <v>5.8650000000000002</v>
      </c>
      <c r="E651" t="s">
        <v>13137</v>
      </c>
      <c r="F651" s="28">
        <v>42020</v>
      </c>
      <c r="I651" s="23" t="s">
        <v>11422</v>
      </c>
      <c r="L651" s="23" t="s">
        <v>11422</v>
      </c>
      <c r="N651" s="17"/>
      <c r="O651" s="30" t="s">
        <v>11422</v>
      </c>
      <c r="P651" t="s">
        <v>11422</v>
      </c>
    </row>
    <row r="652" spans="1:16" x14ac:dyDescent="0.25">
      <c r="A652" t="s">
        <v>11438</v>
      </c>
      <c r="B652">
        <v>859</v>
      </c>
      <c r="C652" t="s">
        <v>13062</v>
      </c>
      <c r="D652" s="27">
        <v>7.5</v>
      </c>
      <c r="E652" t="s">
        <v>13061</v>
      </c>
      <c r="F652" s="28">
        <v>42020</v>
      </c>
      <c r="I652" s="23" t="s">
        <v>11422</v>
      </c>
      <c r="L652" s="23" t="s">
        <v>11422</v>
      </c>
      <c r="N652" s="17"/>
      <c r="O652" s="30" t="s">
        <v>11422</v>
      </c>
      <c r="P652" t="s">
        <v>11422</v>
      </c>
    </row>
    <row r="653" spans="1:16" x14ac:dyDescent="0.25">
      <c r="A653" t="s">
        <v>11502</v>
      </c>
      <c r="B653">
        <v>893</v>
      </c>
      <c r="C653" t="s">
        <v>13525</v>
      </c>
      <c r="D653" s="27">
        <v>4.59</v>
      </c>
      <c r="E653" t="s">
        <v>13180</v>
      </c>
      <c r="F653" s="28">
        <v>42020</v>
      </c>
      <c r="I653" s="23" t="s">
        <v>11422</v>
      </c>
      <c r="L653" s="23" t="s">
        <v>11422</v>
      </c>
      <c r="N653" s="17"/>
      <c r="O653" s="30" t="s">
        <v>11422</v>
      </c>
      <c r="P653" t="s">
        <v>11422</v>
      </c>
    </row>
    <row r="654" spans="1:16" x14ac:dyDescent="0.25">
      <c r="A654" t="s">
        <v>12820</v>
      </c>
      <c r="B654">
        <v>991</v>
      </c>
      <c r="C654" t="s">
        <v>13419</v>
      </c>
      <c r="D654" s="27">
        <v>4.335</v>
      </c>
      <c r="E654" t="s">
        <v>13238</v>
      </c>
      <c r="F654" s="28">
        <v>42020</v>
      </c>
      <c r="I654" s="23" t="s">
        <v>11422</v>
      </c>
      <c r="L654" s="23" t="s">
        <v>11422</v>
      </c>
      <c r="N654" s="17"/>
      <c r="O654" s="30" t="s">
        <v>11422</v>
      </c>
      <c r="P654" t="s">
        <v>11422</v>
      </c>
    </row>
    <row r="655" spans="1:16" x14ac:dyDescent="0.25">
      <c r="A655" t="s">
        <v>3635</v>
      </c>
      <c r="B655">
        <v>750</v>
      </c>
      <c r="C655" t="s">
        <v>13420</v>
      </c>
      <c r="D655" s="27">
        <v>3.38</v>
      </c>
      <c r="E655" t="s">
        <v>13265</v>
      </c>
      <c r="F655" s="28">
        <v>42020</v>
      </c>
      <c r="I655" s="23" t="s">
        <v>11422</v>
      </c>
      <c r="L655" s="23" t="s">
        <v>11422</v>
      </c>
      <c r="N655" s="17"/>
      <c r="O655" s="30" t="s">
        <v>11422</v>
      </c>
      <c r="P655" t="s">
        <v>11422</v>
      </c>
    </row>
    <row r="656" spans="1:16" x14ac:dyDescent="0.25">
      <c r="A656" t="s">
        <v>3567</v>
      </c>
      <c r="B656">
        <v>714</v>
      </c>
      <c r="C656" t="s">
        <v>13415</v>
      </c>
      <c r="D656" s="27">
        <v>3.38</v>
      </c>
      <c r="E656" t="s">
        <v>13285</v>
      </c>
      <c r="F656" s="28">
        <v>42020</v>
      </c>
      <c r="I656" s="23" t="s">
        <v>11422</v>
      </c>
      <c r="L656" s="23" t="s">
        <v>11422</v>
      </c>
      <c r="N656" s="17"/>
      <c r="O656" s="30" t="s">
        <v>11422</v>
      </c>
      <c r="P656" t="s">
        <v>11422</v>
      </c>
    </row>
    <row r="657" spans="1:16" x14ac:dyDescent="0.25">
      <c r="A657" t="s">
        <v>3486</v>
      </c>
      <c r="B657">
        <v>672</v>
      </c>
      <c r="C657" t="s">
        <v>13417</v>
      </c>
      <c r="D657" s="27">
        <v>9.1</v>
      </c>
      <c r="E657" t="s">
        <v>13318</v>
      </c>
      <c r="F657" s="28">
        <v>42020</v>
      </c>
      <c r="I657" s="23" t="s">
        <v>11422</v>
      </c>
      <c r="L657" s="23" t="s">
        <v>11422</v>
      </c>
      <c r="N657" s="17"/>
      <c r="O657" s="30" t="s">
        <v>11422</v>
      </c>
      <c r="P657" t="s">
        <v>11422</v>
      </c>
    </row>
    <row r="658" spans="1:16" x14ac:dyDescent="0.25">
      <c r="A658" t="s">
        <v>13329</v>
      </c>
      <c r="B658">
        <v>0</v>
      </c>
      <c r="C658" t="s">
        <v>13414</v>
      </c>
      <c r="D658" s="27">
        <v>7.14</v>
      </c>
      <c r="E658" t="s">
        <v>13328</v>
      </c>
      <c r="F658" s="28">
        <v>42020</v>
      </c>
      <c r="I658" s="23" t="s">
        <v>11422</v>
      </c>
      <c r="L658" s="23" t="s">
        <v>11422</v>
      </c>
      <c r="N658" s="17"/>
      <c r="O658" s="30" t="s">
        <v>11422</v>
      </c>
      <c r="P658" t="s">
        <v>11422</v>
      </c>
    </row>
    <row r="659" spans="1:16" x14ac:dyDescent="0.25">
      <c r="A659" t="s">
        <v>11428</v>
      </c>
      <c r="B659">
        <v>860</v>
      </c>
      <c r="C659" t="s">
        <v>13418</v>
      </c>
      <c r="D659" s="27">
        <v>14.28</v>
      </c>
      <c r="E659" t="s">
        <v>13367</v>
      </c>
      <c r="F659" s="28">
        <v>42020</v>
      </c>
      <c r="I659" s="23" t="s">
        <v>11422</v>
      </c>
      <c r="L659" s="23" t="s">
        <v>11422</v>
      </c>
      <c r="N659" s="17"/>
      <c r="O659" s="30" t="s">
        <v>11422</v>
      </c>
      <c r="P659" t="s">
        <v>11422</v>
      </c>
    </row>
    <row r="660" spans="1:16" x14ac:dyDescent="0.25">
      <c r="A660" t="s">
        <v>11502</v>
      </c>
      <c r="B660">
        <v>893</v>
      </c>
      <c r="C660" t="s">
        <v>13583</v>
      </c>
      <c r="D660" s="27">
        <v>5.8650000000000002</v>
      </c>
      <c r="E660" t="s">
        <v>13371</v>
      </c>
      <c r="F660" s="28">
        <v>42020</v>
      </c>
      <c r="I660" s="23" t="s">
        <v>11422</v>
      </c>
      <c r="L660" s="23" t="s">
        <v>11422</v>
      </c>
      <c r="N660" s="17"/>
      <c r="O660" s="30" t="s">
        <v>11422</v>
      </c>
      <c r="P660" t="s">
        <v>11422</v>
      </c>
    </row>
    <row r="661" spans="1:16" x14ac:dyDescent="0.25">
      <c r="A661" t="s">
        <v>11510</v>
      </c>
      <c r="B661">
        <v>897</v>
      </c>
      <c r="C661" t="s">
        <v>11869</v>
      </c>
      <c r="D661" s="27">
        <v>9.9450000000000003</v>
      </c>
      <c r="E661" t="s">
        <v>11755</v>
      </c>
      <c r="F661" s="18">
        <v>41985</v>
      </c>
      <c r="G661" s="34">
        <v>250</v>
      </c>
      <c r="H661" s="18">
        <v>42027</v>
      </c>
      <c r="I661" s="23" t="s">
        <v>11422</v>
      </c>
      <c r="J661" s="23">
        <v>497.25</v>
      </c>
      <c r="K661" s="18">
        <v>42027</v>
      </c>
      <c r="L661" s="23" t="s">
        <v>11422</v>
      </c>
      <c r="M661" s="23">
        <v>1241.75</v>
      </c>
      <c r="N661" s="18">
        <v>42034</v>
      </c>
      <c r="O661" s="30" t="s">
        <v>11422</v>
      </c>
      <c r="P661" t="s">
        <v>11422</v>
      </c>
    </row>
    <row r="662" spans="1:16" x14ac:dyDescent="0.25">
      <c r="A662" t="s">
        <v>2592</v>
      </c>
      <c r="B662">
        <v>205</v>
      </c>
      <c r="C662" t="s">
        <v>13854</v>
      </c>
      <c r="D662" s="27">
        <v>9.75</v>
      </c>
      <c r="E662" t="s">
        <v>13657</v>
      </c>
      <c r="F662" s="28">
        <v>42036</v>
      </c>
      <c r="I662" s="23" t="s">
        <v>11422</v>
      </c>
      <c r="L662" s="23" t="s">
        <v>11422</v>
      </c>
      <c r="O662" s="30" t="s">
        <v>11422</v>
      </c>
      <c r="P662" t="s">
        <v>11422</v>
      </c>
    </row>
    <row r="663" spans="1:16" x14ac:dyDescent="0.25">
      <c r="A663" t="s">
        <v>3590</v>
      </c>
      <c r="B663">
        <v>726</v>
      </c>
      <c r="C663" t="s">
        <v>13853</v>
      </c>
      <c r="D663" s="27">
        <v>4.08</v>
      </c>
      <c r="E663" t="s">
        <v>13661</v>
      </c>
      <c r="F663" s="28">
        <v>42036</v>
      </c>
      <c r="I663" s="23" t="s">
        <v>11422</v>
      </c>
      <c r="L663" s="23" t="s">
        <v>11422</v>
      </c>
      <c r="O663" s="30" t="s">
        <v>11422</v>
      </c>
      <c r="P663" t="s">
        <v>11422</v>
      </c>
    </row>
    <row r="664" spans="1:16" x14ac:dyDescent="0.25">
      <c r="A664" t="s">
        <v>2890</v>
      </c>
      <c r="B664">
        <v>365</v>
      </c>
      <c r="C664" t="s">
        <v>13842</v>
      </c>
      <c r="D664" s="27">
        <v>3.12</v>
      </c>
      <c r="E664" t="s">
        <v>13623</v>
      </c>
      <c r="F664" s="28">
        <v>42035</v>
      </c>
      <c r="I664" s="23" t="s">
        <v>11422</v>
      </c>
      <c r="L664" s="23" t="s">
        <v>11422</v>
      </c>
      <c r="O664" s="30" t="s">
        <v>11422</v>
      </c>
      <c r="P664" t="s">
        <v>11422</v>
      </c>
    </row>
    <row r="665" spans="1:16" x14ac:dyDescent="0.25">
      <c r="A665" t="s">
        <v>12820</v>
      </c>
      <c r="B665">
        <v>991</v>
      </c>
      <c r="C665" t="s">
        <v>13852</v>
      </c>
      <c r="D665" s="27">
        <v>7.3949999999999996</v>
      </c>
      <c r="E665" t="s">
        <v>13630</v>
      </c>
      <c r="F665" s="28">
        <v>42035</v>
      </c>
      <c r="I665" s="23" t="s">
        <v>11422</v>
      </c>
      <c r="L665" s="23" t="s">
        <v>11422</v>
      </c>
      <c r="O665" s="30" t="s">
        <v>11422</v>
      </c>
      <c r="P665" t="s">
        <v>11422</v>
      </c>
    </row>
    <row r="666" spans="1:16" x14ac:dyDescent="0.25">
      <c r="A666" t="s">
        <v>11496</v>
      </c>
      <c r="B666">
        <v>890</v>
      </c>
      <c r="C666" t="s">
        <v>13855</v>
      </c>
      <c r="D666" s="27">
        <v>5.8650000000000002</v>
      </c>
      <c r="E666" t="s">
        <v>13635</v>
      </c>
      <c r="F666" s="28">
        <v>42035</v>
      </c>
      <c r="I666" s="23" t="s">
        <v>11422</v>
      </c>
      <c r="L666" s="23" t="s">
        <v>11422</v>
      </c>
      <c r="O666" s="30" t="s">
        <v>11422</v>
      </c>
      <c r="P666" t="s">
        <v>11422</v>
      </c>
    </row>
    <row r="667" spans="1:16" x14ac:dyDescent="0.25">
      <c r="A667" t="s">
        <v>2592</v>
      </c>
      <c r="B667">
        <v>205</v>
      </c>
      <c r="C667" t="s">
        <v>13854</v>
      </c>
      <c r="D667" s="27">
        <v>13</v>
      </c>
      <c r="E667" t="s">
        <v>13656</v>
      </c>
      <c r="F667" s="28">
        <v>42035</v>
      </c>
      <c r="I667" s="23" t="s">
        <v>11422</v>
      </c>
      <c r="L667" s="23" t="s">
        <v>11422</v>
      </c>
      <c r="O667" s="30" t="s">
        <v>11422</v>
      </c>
      <c r="P667" t="s">
        <v>11422</v>
      </c>
    </row>
    <row r="668" spans="1:16" x14ac:dyDescent="0.25">
      <c r="A668" t="s">
        <v>3830</v>
      </c>
      <c r="B668">
        <v>261</v>
      </c>
      <c r="C668" t="s">
        <v>13844</v>
      </c>
      <c r="D668" s="27">
        <v>5.72</v>
      </c>
      <c r="E668" t="s">
        <v>13680</v>
      </c>
      <c r="F668" s="28">
        <v>42035</v>
      </c>
      <c r="I668" s="23" t="s">
        <v>11422</v>
      </c>
      <c r="L668" s="23" t="s">
        <v>11422</v>
      </c>
      <c r="O668" s="30" t="s">
        <v>11422</v>
      </c>
      <c r="P668" t="s">
        <v>11422</v>
      </c>
    </row>
    <row r="669" spans="1:16" x14ac:dyDescent="0.25">
      <c r="A669" t="s">
        <v>12204</v>
      </c>
      <c r="B669">
        <v>938</v>
      </c>
      <c r="C669" t="s">
        <v>13856</v>
      </c>
      <c r="D669" s="27">
        <v>5.61</v>
      </c>
      <c r="E669" t="s">
        <v>13685</v>
      </c>
      <c r="F669" s="28">
        <v>42035</v>
      </c>
      <c r="I669" s="23" t="s">
        <v>11422</v>
      </c>
      <c r="L669" s="23" t="s">
        <v>11422</v>
      </c>
      <c r="O669" s="30" t="s">
        <v>11422</v>
      </c>
      <c r="P669" t="s">
        <v>11422</v>
      </c>
    </row>
    <row r="670" spans="1:16" x14ac:dyDescent="0.25">
      <c r="A670" t="s">
        <v>2671</v>
      </c>
      <c r="B670">
        <v>250</v>
      </c>
      <c r="C670" t="s">
        <v>13857</v>
      </c>
      <c r="D670" s="27">
        <v>4.5</v>
      </c>
      <c r="E670" t="s">
        <v>13687</v>
      </c>
      <c r="F670" s="28">
        <v>42035</v>
      </c>
      <c r="I670" s="23" t="s">
        <v>11422</v>
      </c>
      <c r="L670" s="23" t="s">
        <v>11422</v>
      </c>
      <c r="O670" s="30" t="s">
        <v>11422</v>
      </c>
      <c r="P670" t="s">
        <v>11422</v>
      </c>
    </row>
    <row r="671" spans="1:16" x14ac:dyDescent="0.25">
      <c r="A671" t="s">
        <v>8673</v>
      </c>
      <c r="B671">
        <v>856</v>
      </c>
      <c r="C671" t="s">
        <v>13849</v>
      </c>
      <c r="D671" s="27">
        <v>10.25</v>
      </c>
      <c r="E671" t="s">
        <v>13689</v>
      </c>
      <c r="F671" s="28">
        <v>42035</v>
      </c>
      <c r="I671" s="23" t="s">
        <v>11422</v>
      </c>
      <c r="L671" s="23" t="s">
        <v>11422</v>
      </c>
      <c r="O671" s="30" t="s">
        <v>11422</v>
      </c>
      <c r="P671" t="s">
        <v>11422</v>
      </c>
    </row>
    <row r="672" spans="1:16" x14ac:dyDescent="0.25">
      <c r="A672" t="s">
        <v>12495</v>
      </c>
      <c r="B672">
        <v>964</v>
      </c>
      <c r="C672" t="s">
        <v>13858</v>
      </c>
      <c r="D672" s="27">
        <v>5.98</v>
      </c>
      <c r="E672" t="s">
        <v>13694</v>
      </c>
      <c r="F672" s="28">
        <v>42035</v>
      </c>
      <c r="I672" s="23" t="s">
        <v>11422</v>
      </c>
      <c r="L672" s="23" t="s">
        <v>11422</v>
      </c>
      <c r="O672" s="30" t="s">
        <v>11422</v>
      </c>
      <c r="P672" t="s">
        <v>11422</v>
      </c>
    </row>
    <row r="673" spans="1:16" x14ac:dyDescent="0.25">
      <c r="A673" t="s">
        <v>3651</v>
      </c>
      <c r="B673">
        <v>758</v>
      </c>
      <c r="C673" t="s">
        <v>13845</v>
      </c>
      <c r="D673" s="27">
        <v>7.5</v>
      </c>
      <c r="E673" t="s">
        <v>13696</v>
      </c>
      <c r="F673" s="28">
        <v>42035</v>
      </c>
      <c r="I673" s="23" t="s">
        <v>11422</v>
      </c>
      <c r="L673" s="23" t="s">
        <v>11422</v>
      </c>
      <c r="O673" s="30" t="s">
        <v>11422</v>
      </c>
      <c r="P673" t="s">
        <v>11422</v>
      </c>
    </row>
    <row r="674" spans="1:16" x14ac:dyDescent="0.25">
      <c r="A674" t="s">
        <v>3651</v>
      </c>
      <c r="B674">
        <v>758</v>
      </c>
      <c r="C674" t="s">
        <v>13851</v>
      </c>
      <c r="D674" s="27">
        <v>12</v>
      </c>
      <c r="E674" t="s">
        <v>13702</v>
      </c>
      <c r="F674" s="28">
        <v>42035</v>
      </c>
      <c r="I674" s="23" t="s">
        <v>11422</v>
      </c>
      <c r="L674" s="23" t="s">
        <v>11422</v>
      </c>
      <c r="O674" s="30" t="s">
        <v>11422</v>
      </c>
      <c r="P674" t="s">
        <v>11422</v>
      </c>
    </row>
    <row r="675" spans="1:16" x14ac:dyDescent="0.25">
      <c r="A675" t="s">
        <v>11504</v>
      </c>
      <c r="B675">
        <v>894</v>
      </c>
      <c r="C675" t="s">
        <v>13843</v>
      </c>
      <c r="D675" s="27">
        <v>5.46</v>
      </c>
      <c r="E675" t="s">
        <v>13708</v>
      </c>
      <c r="F675" s="28">
        <v>42035</v>
      </c>
      <c r="I675" s="23" t="s">
        <v>11422</v>
      </c>
      <c r="L675" s="23" t="s">
        <v>11422</v>
      </c>
      <c r="O675" s="30" t="s">
        <v>11422</v>
      </c>
      <c r="P675" t="s">
        <v>11422</v>
      </c>
    </row>
    <row r="676" spans="1:16" x14ac:dyDescent="0.25">
      <c r="A676" t="s">
        <v>12235</v>
      </c>
      <c r="B676">
        <v>922</v>
      </c>
      <c r="C676" t="s">
        <v>13848</v>
      </c>
      <c r="D676" s="27">
        <v>2.5</v>
      </c>
      <c r="E676" t="s">
        <v>13732</v>
      </c>
      <c r="F676" s="28">
        <v>42035</v>
      </c>
      <c r="I676" s="23" t="s">
        <v>11422</v>
      </c>
      <c r="L676" s="23" t="s">
        <v>11422</v>
      </c>
      <c r="O676" s="30" t="s">
        <v>11422</v>
      </c>
      <c r="P676" t="s">
        <v>11422</v>
      </c>
    </row>
    <row r="677" spans="1:16" x14ac:dyDescent="0.25">
      <c r="A677" t="s">
        <v>2592</v>
      </c>
      <c r="B677">
        <v>205</v>
      </c>
      <c r="C677" t="s">
        <v>13850</v>
      </c>
      <c r="D677" s="27">
        <v>6.5</v>
      </c>
      <c r="E677" t="s">
        <v>13757</v>
      </c>
      <c r="F677" s="28">
        <v>42035</v>
      </c>
      <c r="I677" s="23" t="s">
        <v>11422</v>
      </c>
      <c r="L677" s="23" t="s">
        <v>11422</v>
      </c>
      <c r="O677" s="30" t="s">
        <v>11422</v>
      </c>
      <c r="P677" t="s">
        <v>11422</v>
      </c>
    </row>
    <row r="678" spans="1:16" x14ac:dyDescent="0.25">
      <c r="A678" t="s">
        <v>13471</v>
      </c>
      <c r="B678">
        <v>1024</v>
      </c>
      <c r="C678" t="s">
        <v>13859</v>
      </c>
      <c r="D678" s="27">
        <v>6.12</v>
      </c>
      <c r="E678" t="s">
        <v>13759</v>
      </c>
      <c r="F678" s="28">
        <v>42035</v>
      </c>
      <c r="I678" s="23" t="s">
        <v>11422</v>
      </c>
      <c r="L678" s="23" t="s">
        <v>11422</v>
      </c>
      <c r="O678" s="30" t="s">
        <v>11422</v>
      </c>
      <c r="P678" t="s">
        <v>11422</v>
      </c>
    </row>
    <row r="679" spans="1:16" x14ac:dyDescent="0.25">
      <c r="A679" t="s">
        <v>12282</v>
      </c>
      <c r="B679">
        <v>949</v>
      </c>
      <c r="C679" t="s">
        <v>13846</v>
      </c>
      <c r="D679" s="27">
        <v>4.5</v>
      </c>
      <c r="E679" t="s">
        <v>13762</v>
      </c>
      <c r="F679" s="28">
        <v>42035</v>
      </c>
      <c r="I679" s="23" t="s">
        <v>11422</v>
      </c>
      <c r="L679" s="23" t="s">
        <v>11422</v>
      </c>
      <c r="O679" s="30" t="s">
        <v>11422</v>
      </c>
      <c r="P679" t="s">
        <v>11422</v>
      </c>
    </row>
    <row r="680" spans="1:16" x14ac:dyDescent="0.25">
      <c r="A680" t="s">
        <v>3173</v>
      </c>
      <c r="B680">
        <v>508</v>
      </c>
      <c r="C680" t="s">
        <v>11437</v>
      </c>
      <c r="D680" s="27">
        <v>8.25</v>
      </c>
      <c r="E680" t="s">
        <v>13787</v>
      </c>
      <c r="F680" s="28">
        <v>42035</v>
      </c>
      <c r="I680" s="23" t="s">
        <v>11422</v>
      </c>
      <c r="L680" s="23" t="s">
        <v>11422</v>
      </c>
      <c r="O680" s="30" t="s">
        <v>11422</v>
      </c>
      <c r="P680" t="s">
        <v>11422</v>
      </c>
    </row>
    <row r="681" spans="1:16" x14ac:dyDescent="0.25">
      <c r="A681" t="s">
        <v>12282</v>
      </c>
      <c r="B681">
        <v>949</v>
      </c>
      <c r="C681" t="s">
        <v>13847</v>
      </c>
      <c r="D681" s="27">
        <v>11</v>
      </c>
      <c r="E681" t="s">
        <v>13794</v>
      </c>
      <c r="F681" s="28">
        <v>42035</v>
      </c>
      <c r="I681" s="23" t="s">
        <v>11422</v>
      </c>
      <c r="L681" s="23" t="s">
        <v>11422</v>
      </c>
      <c r="O681" s="30" t="s">
        <v>11422</v>
      </c>
      <c r="P681" t="s">
        <v>11422</v>
      </c>
    </row>
    <row r="682" spans="1:16" x14ac:dyDescent="0.25">
      <c r="A682" t="s">
        <v>2264</v>
      </c>
      <c r="B682">
        <v>34</v>
      </c>
      <c r="C682" t="s">
        <v>13860</v>
      </c>
      <c r="D682" s="27">
        <v>10.92</v>
      </c>
      <c r="E682" t="s">
        <v>13796</v>
      </c>
      <c r="F682" s="28">
        <v>42035</v>
      </c>
      <c r="I682" s="23" t="s">
        <v>11422</v>
      </c>
      <c r="L682" s="23" t="s">
        <v>11422</v>
      </c>
      <c r="O682" s="30" t="s">
        <v>11422</v>
      </c>
      <c r="P682" t="s">
        <v>11422</v>
      </c>
    </row>
    <row r="683" spans="1:16" x14ac:dyDescent="0.25">
      <c r="A683" t="s">
        <v>12266</v>
      </c>
      <c r="B683">
        <v>941</v>
      </c>
      <c r="C683" t="s">
        <v>13861</v>
      </c>
      <c r="D683" s="27">
        <v>2.5499999999999998</v>
      </c>
      <c r="E683" t="s">
        <v>13621</v>
      </c>
      <c r="F683" s="28">
        <v>42034</v>
      </c>
      <c r="G683" s="34">
        <v>250</v>
      </c>
      <c r="H683" s="18">
        <v>42041</v>
      </c>
      <c r="I683" s="23" t="s">
        <v>11422</v>
      </c>
      <c r="L683" s="23" t="s">
        <v>11422</v>
      </c>
      <c r="O683" s="30" t="s">
        <v>11422</v>
      </c>
      <c r="P683" t="s">
        <v>11422</v>
      </c>
    </row>
    <row r="684" spans="1:16" x14ac:dyDescent="0.25">
      <c r="A684" t="s">
        <v>2619</v>
      </c>
      <c r="B684">
        <v>222</v>
      </c>
      <c r="C684" t="s">
        <v>13839</v>
      </c>
      <c r="D684" s="27">
        <v>11</v>
      </c>
      <c r="E684" t="s">
        <v>13626</v>
      </c>
      <c r="F684" s="28">
        <v>42034</v>
      </c>
      <c r="I684" s="23" t="s">
        <v>11422</v>
      </c>
      <c r="L684" s="23" t="s">
        <v>11422</v>
      </c>
      <c r="O684" s="30" t="s">
        <v>11422</v>
      </c>
      <c r="P684" t="s">
        <v>11422</v>
      </c>
    </row>
    <row r="685" spans="1:16" x14ac:dyDescent="0.25">
      <c r="A685" t="s">
        <v>2278</v>
      </c>
      <c r="B685">
        <v>41</v>
      </c>
      <c r="C685" t="s">
        <v>13862</v>
      </c>
      <c r="D685" s="27">
        <v>8</v>
      </c>
      <c r="E685" t="s">
        <v>13650</v>
      </c>
      <c r="F685" s="28">
        <v>42034</v>
      </c>
      <c r="I685" s="23" t="s">
        <v>11422</v>
      </c>
      <c r="L685" s="23" t="s">
        <v>11422</v>
      </c>
      <c r="O685" s="30" t="s">
        <v>11422</v>
      </c>
      <c r="P685" t="s">
        <v>11422</v>
      </c>
    </row>
    <row r="686" spans="1:16" x14ac:dyDescent="0.25">
      <c r="A686" t="s">
        <v>3590</v>
      </c>
      <c r="B686">
        <v>726</v>
      </c>
      <c r="C686" t="s">
        <v>13834</v>
      </c>
      <c r="D686" s="27">
        <v>3.8250000000000002</v>
      </c>
      <c r="E686" t="s">
        <v>13652</v>
      </c>
      <c r="F686" s="28">
        <v>42034</v>
      </c>
      <c r="I686" s="23" t="s">
        <v>11422</v>
      </c>
      <c r="L686" s="23" t="s">
        <v>11422</v>
      </c>
      <c r="O686" s="30" t="s">
        <v>11422</v>
      </c>
      <c r="P686" t="s">
        <v>11422</v>
      </c>
    </row>
    <row r="687" spans="1:16" x14ac:dyDescent="0.25">
      <c r="A687" t="s">
        <v>2704</v>
      </c>
      <c r="B687">
        <v>268</v>
      </c>
      <c r="C687" t="s">
        <v>13841</v>
      </c>
      <c r="D687" s="27">
        <v>9.8800000000000008</v>
      </c>
      <c r="E687" t="s">
        <v>13667</v>
      </c>
      <c r="F687" s="28">
        <v>42034</v>
      </c>
      <c r="I687" s="23" t="s">
        <v>11422</v>
      </c>
      <c r="L687" s="23" t="s">
        <v>11422</v>
      </c>
      <c r="O687" s="30" t="s">
        <v>11422</v>
      </c>
      <c r="P687" t="s">
        <v>11422</v>
      </c>
    </row>
    <row r="688" spans="1:16" x14ac:dyDescent="0.25">
      <c r="A688" t="s">
        <v>11502</v>
      </c>
      <c r="B688">
        <v>893</v>
      </c>
      <c r="C688" t="s">
        <v>13863</v>
      </c>
      <c r="D688" s="27">
        <v>11.984999999999999</v>
      </c>
      <c r="E688" t="s">
        <v>13712</v>
      </c>
      <c r="F688" s="28">
        <v>42034</v>
      </c>
      <c r="I688" s="23" t="s">
        <v>11422</v>
      </c>
      <c r="L688" s="23" t="s">
        <v>11422</v>
      </c>
      <c r="O688" s="30" t="s">
        <v>11422</v>
      </c>
      <c r="P688" t="s">
        <v>11422</v>
      </c>
    </row>
    <row r="689" spans="1:16" x14ac:dyDescent="0.25">
      <c r="A689" t="s">
        <v>12499</v>
      </c>
      <c r="B689">
        <v>966</v>
      </c>
      <c r="C689" t="s">
        <v>13864</v>
      </c>
      <c r="D689" s="27">
        <v>8.84</v>
      </c>
      <c r="E689" t="s">
        <v>13715</v>
      </c>
      <c r="F689" s="28">
        <v>42034</v>
      </c>
      <c r="I689" s="23" t="s">
        <v>11422</v>
      </c>
      <c r="L689" s="23" t="s">
        <v>11422</v>
      </c>
      <c r="O689" s="30" t="s">
        <v>11422</v>
      </c>
      <c r="P689" t="s">
        <v>11422</v>
      </c>
    </row>
    <row r="690" spans="1:16" x14ac:dyDescent="0.25">
      <c r="A690" t="s">
        <v>2814</v>
      </c>
      <c r="B690">
        <v>326</v>
      </c>
      <c r="C690" t="s">
        <v>13838</v>
      </c>
      <c r="D690" s="27">
        <v>6.25</v>
      </c>
      <c r="E690" t="s">
        <v>13717</v>
      </c>
      <c r="F690" s="28">
        <v>42034</v>
      </c>
      <c r="I690" s="23" t="s">
        <v>11422</v>
      </c>
      <c r="L690" s="23" t="s">
        <v>11422</v>
      </c>
      <c r="O690" s="30" t="s">
        <v>11422</v>
      </c>
      <c r="P690" t="s">
        <v>11422</v>
      </c>
    </row>
    <row r="691" spans="1:16" x14ac:dyDescent="0.25">
      <c r="A691" t="s">
        <v>2592</v>
      </c>
      <c r="B691">
        <v>205</v>
      </c>
      <c r="C691" t="s">
        <v>13840</v>
      </c>
      <c r="D691" s="27">
        <v>7.25</v>
      </c>
      <c r="E691" t="s">
        <v>13724</v>
      </c>
      <c r="F691" s="28">
        <v>42034</v>
      </c>
      <c r="I691" s="23" t="s">
        <v>11422</v>
      </c>
      <c r="L691" s="23" t="s">
        <v>11422</v>
      </c>
      <c r="O691" s="30" t="s">
        <v>11422</v>
      </c>
      <c r="P691" t="s">
        <v>11422</v>
      </c>
    </row>
    <row r="692" spans="1:16" x14ac:dyDescent="0.25">
      <c r="A692" t="s">
        <v>11496</v>
      </c>
      <c r="B692">
        <v>890</v>
      </c>
      <c r="C692" t="s">
        <v>13865</v>
      </c>
      <c r="D692" s="27">
        <v>3.57</v>
      </c>
      <c r="E692" t="s">
        <v>13736</v>
      </c>
      <c r="F692" s="28">
        <v>42034</v>
      </c>
      <c r="I692" s="23" t="s">
        <v>11422</v>
      </c>
      <c r="L692" s="23" t="s">
        <v>11422</v>
      </c>
      <c r="O692" s="30" t="s">
        <v>11422</v>
      </c>
      <c r="P692" t="s">
        <v>11422</v>
      </c>
    </row>
    <row r="693" spans="1:16" x14ac:dyDescent="0.25">
      <c r="A693" t="s">
        <v>12505</v>
      </c>
      <c r="B693">
        <v>969</v>
      </c>
      <c r="C693" t="s">
        <v>13833</v>
      </c>
      <c r="D693" s="27">
        <v>8.9250000000000007</v>
      </c>
      <c r="E693" t="s">
        <v>13742</v>
      </c>
      <c r="F693" s="28">
        <v>42034</v>
      </c>
      <c r="G693" s="34">
        <v>250</v>
      </c>
      <c r="H693" s="18">
        <v>42041</v>
      </c>
      <c r="I693" s="23" t="s">
        <v>11422</v>
      </c>
      <c r="L693" s="23" t="s">
        <v>11422</v>
      </c>
      <c r="O693" s="30" t="s">
        <v>11422</v>
      </c>
      <c r="P693" t="s">
        <v>11422</v>
      </c>
    </row>
    <row r="694" spans="1:16" x14ac:dyDescent="0.25">
      <c r="A694" t="s">
        <v>3830</v>
      </c>
      <c r="B694">
        <v>261</v>
      </c>
      <c r="C694" t="s">
        <v>13835</v>
      </c>
      <c r="D694" s="27">
        <v>8.84</v>
      </c>
      <c r="E694" t="s">
        <v>13782</v>
      </c>
      <c r="F694" s="28">
        <v>42034</v>
      </c>
      <c r="I694" s="23" t="s">
        <v>11422</v>
      </c>
      <c r="L694" s="23" t="s">
        <v>11422</v>
      </c>
      <c r="O694" s="30" t="s">
        <v>11422</v>
      </c>
      <c r="P694" t="s">
        <v>11422</v>
      </c>
    </row>
    <row r="695" spans="1:16" x14ac:dyDescent="0.25">
      <c r="A695" t="s">
        <v>12204</v>
      </c>
      <c r="B695">
        <v>938</v>
      </c>
      <c r="C695" t="s">
        <v>13866</v>
      </c>
      <c r="D695" s="27">
        <v>7.65</v>
      </c>
      <c r="E695" t="s">
        <v>13784</v>
      </c>
      <c r="F695" s="28">
        <v>42034</v>
      </c>
      <c r="I695" s="23" t="s">
        <v>11422</v>
      </c>
      <c r="L695" s="23" t="s">
        <v>11422</v>
      </c>
      <c r="O695" s="30" t="s">
        <v>11422</v>
      </c>
      <c r="P695" t="s">
        <v>11422</v>
      </c>
    </row>
    <row r="696" spans="1:16" x14ac:dyDescent="0.25">
      <c r="A696" t="s">
        <v>3435</v>
      </c>
      <c r="B696">
        <v>646</v>
      </c>
      <c r="C696" t="s">
        <v>13837</v>
      </c>
      <c r="D696" s="27">
        <v>8.75</v>
      </c>
      <c r="E696" t="s">
        <v>13786</v>
      </c>
      <c r="F696" s="28">
        <v>42034</v>
      </c>
      <c r="I696" s="23" t="s">
        <v>11422</v>
      </c>
      <c r="L696" s="23" t="s">
        <v>11422</v>
      </c>
      <c r="O696" s="30" t="s">
        <v>11422</v>
      </c>
      <c r="P696" t="s">
        <v>11422</v>
      </c>
    </row>
    <row r="697" spans="1:16" x14ac:dyDescent="0.25">
      <c r="A697" t="s">
        <v>3651</v>
      </c>
      <c r="B697">
        <v>758</v>
      </c>
      <c r="C697" t="s">
        <v>13836</v>
      </c>
      <c r="D697" s="27">
        <v>8.5</v>
      </c>
      <c r="E697" t="s">
        <v>13791</v>
      </c>
      <c r="F697" s="28">
        <v>42034</v>
      </c>
      <c r="I697" s="23" t="s">
        <v>11422</v>
      </c>
      <c r="L697" s="23" t="s">
        <v>11422</v>
      </c>
      <c r="O697" s="30" t="s">
        <v>11422</v>
      </c>
      <c r="P697" t="s">
        <v>11422</v>
      </c>
    </row>
    <row r="698" spans="1:16" x14ac:dyDescent="0.25">
      <c r="A698" t="s">
        <v>12201</v>
      </c>
      <c r="B698">
        <v>907</v>
      </c>
      <c r="C698" t="s">
        <v>11425</v>
      </c>
      <c r="D698" s="27">
        <v>13.25</v>
      </c>
      <c r="E698" t="s">
        <v>13619</v>
      </c>
      <c r="F698" s="28">
        <v>42033</v>
      </c>
      <c r="I698" s="23" t="s">
        <v>11422</v>
      </c>
      <c r="L698" s="23" t="s">
        <v>11422</v>
      </c>
      <c r="O698" s="30" t="s">
        <v>11422</v>
      </c>
      <c r="P698" t="s">
        <v>11422</v>
      </c>
    </row>
    <row r="699" spans="1:16" x14ac:dyDescent="0.25">
      <c r="A699" t="s">
        <v>3651</v>
      </c>
      <c r="B699">
        <v>758</v>
      </c>
      <c r="C699" t="s">
        <v>13867</v>
      </c>
      <c r="D699" s="27">
        <v>4</v>
      </c>
      <c r="E699" t="s">
        <v>13645</v>
      </c>
      <c r="F699" s="28">
        <v>42033</v>
      </c>
      <c r="I699" s="23" t="s">
        <v>11422</v>
      </c>
      <c r="L699" s="23" t="s">
        <v>11422</v>
      </c>
      <c r="O699" s="30" t="s">
        <v>11422</v>
      </c>
      <c r="P699" t="s">
        <v>11422</v>
      </c>
    </row>
    <row r="700" spans="1:16" x14ac:dyDescent="0.25">
      <c r="A700" t="s">
        <v>12274</v>
      </c>
      <c r="B700">
        <v>945</v>
      </c>
      <c r="C700" t="s">
        <v>13868</v>
      </c>
      <c r="D700" s="27">
        <v>6.5</v>
      </c>
      <c r="E700" t="s">
        <v>13647</v>
      </c>
      <c r="F700" s="28">
        <v>42033</v>
      </c>
      <c r="I700" s="23" t="s">
        <v>11422</v>
      </c>
      <c r="L700" s="23" t="s">
        <v>11422</v>
      </c>
      <c r="O700" s="30" t="s">
        <v>11422</v>
      </c>
      <c r="P700" t="s">
        <v>11422</v>
      </c>
    </row>
    <row r="701" spans="1:16" x14ac:dyDescent="0.25">
      <c r="A701" t="s">
        <v>11428</v>
      </c>
      <c r="B701">
        <v>860</v>
      </c>
      <c r="C701" t="s">
        <v>13869</v>
      </c>
      <c r="D701" s="27">
        <v>3.75</v>
      </c>
      <c r="E701" t="s">
        <v>13726</v>
      </c>
      <c r="F701" s="28">
        <v>42033</v>
      </c>
      <c r="I701" s="23" t="s">
        <v>11422</v>
      </c>
      <c r="L701" s="23" t="s">
        <v>11422</v>
      </c>
      <c r="O701" s="30" t="s">
        <v>11422</v>
      </c>
      <c r="P701" t="s">
        <v>11422</v>
      </c>
    </row>
    <row r="702" spans="1:16" x14ac:dyDescent="0.25">
      <c r="A702" t="s">
        <v>12477</v>
      </c>
      <c r="B702">
        <v>955</v>
      </c>
      <c r="C702" t="s">
        <v>13870</v>
      </c>
      <c r="D702" s="27">
        <v>5.0999999999999996</v>
      </c>
      <c r="E702" t="s">
        <v>13773</v>
      </c>
      <c r="F702" s="28">
        <v>42033</v>
      </c>
      <c r="I702" s="23" t="s">
        <v>11422</v>
      </c>
      <c r="L702" s="23" t="s">
        <v>11422</v>
      </c>
      <c r="O702" s="30" t="s">
        <v>11422</v>
      </c>
      <c r="P702" t="s">
        <v>11422</v>
      </c>
    </row>
    <row r="703" spans="1:16" x14ac:dyDescent="0.25">
      <c r="A703" t="s">
        <v>3651</v>
      </c>
      <c r="B703">
        <v>758</v>
      </c>
      <c r="C703" t="s">
        <v>13871</v>
      </c>
      <c r="D703" s="27">
        <v>5.5</v>
      </c>
      <c r="E703" t="s">
        <v>13778</v>
      </c>
      <c r="F703" s="28">
        <v>42033</v>
      </c>
      <c r="I703" s="23" t="s">
        <v>11422</v>
      </c>
      <c r="L703" s="23" t="s">
        <v>11422</v>
      </c>
      <c r="O703" s="30" t="s">
        <v>11422</v>
      </c>
      <c r="P703" t="s">
        <v>11422</v>
      </c>
    </row>
    <row r="704" spans="1:16" x14ac:dyDescent="0.25">
      <c r="A704" t="s">
        <v>8673</v>
      </c>
      <c r="B704">
        <v>856</v>
      </c>
      <c r="C704" t="s">
        <v>13831</v>
      </c>
      <c r="D704" s="27">
        <v>7.25</v>
      </c>
      <c r="E704" t="s">
        <v>13780</v>
      </c>
      <c r="F704" s="28">
        <v>42033</v>
      </c>
      <c r="I704" s="23" t="s">
        <v>11422</v>
      </c>
      <c r="L704" s="23" t="s">
        <v>11422</v>
      </c>
      <c r="O704" s="30" t="s">
        <v>11422</v>
      </c>
      <c r="P704" t="s">
        <v>11422</v>
      </c>
    </row>
    <row r="705" spans="1:16" x14ac:dyDescent="0.25">
      <c r="A705" t="s">
        <v>137</v>
      </c>
      <c r="B705">
        <v>648</v>
      </c>
      <c r="C705" t="s">
        <v>13829</v>
      </c>
      <c r="D705" s="27">
        <v>7</v>
      </c>
      <c r="E705" t="s">
        <v>13628</v>
      </c>
      <c r="F705" s="28">
        <v>42032</v>
      </c>
      <c r="I705" s="23" t="s">
        <v>11422</v>
      </c>
      <c r="L705" s="23" t="s">
        <v>11422</v>
      </c>
      <c r="O705" s="30" t="s">
        <v>11422</v>
      </c>
      <c r="P705" t="s">
        <v>11422</v>
      </c>
    </row>
    <row r="706" spans="1:16" x14ac:dyDescent="0.25">
      <c r="A706" t="s">
        <v>12495</v>
      </c>
      <c r="B706">
        <v>964</v>
      </c>
      <c r="C706" t="s">
        <v>13872</v>
      </c>
      <c r="D706" s="27">
        <v>3.38</v>
      </c>
      <c r="E706" t="s">
        <v>13639</v>
      </c>
      <c r="F706" s="28">
        <v>42032</v>
      </c>
      <c r="I706" s="23" t="s">
        <v>11422</v>
      </c>
      <c r="L706" s="23" t="s">
        <v>11422</v>
      </c>
      <c r="O706" s="30" t="s">
        <v>11422</v>
      </c>
      <c r="P706" t="s">
        <v>11422</v>
      </c>
    </row>
    <row r="707" spans="1:16" x14ac:dyDescent="0.25">
      <c r="A707" t="s">
        <v>12793</v>
      </c>
      <c r="B707">
        <v>0</v>
      </c>
      <c r="C707" t="s">
        <v>13823</v>
      </c>
      <c r="D707" s="27">
        <v>6.8849999999999998</v>
      </c>
      <c r="E707" t="s">
        <v>13654</v>
      </c>
      <c r="F707" s="28">
        <v>42032</v>
      </c>
      <c r="G707" s="34">
        <v>250</v>
      </c>
      <c r="H707" s="18">
        <v>42041</v>
      </c>
      <c r="I707" s="23" t="s">
        <v>11422</v>
      </c>
      <c r="L707" s="23" t="s">
        <v>11422</v>
      </c>
      <c r="O707" s="30" t="s">
        <v>11422</v>
      </c>
      <c r="P707" t="s">
        <v>11422</v>
      </c>
    </row>
    <row r="708" spans="1:16" x14ac:dyDescent="0.25">
      <c r="A708" t="s">
        <v>2342</v>
      </c>
      <c r="B708">
        <v>77</v>
      </c>
      <c r="C708" t="s">
        <v>13827</v>
      </c>
      <c r="D708" s="27">
        <v>5.25</v>
      </c>
      <c r="E708" t="s">
        <v>13663</v>
      </c>
      <c r="F708" s="28">
        <v>42032</v>
      </c>
      <c r="I708" s="23" t="s">
        <v>11422</v>
      </c>
      <c r="L708" s="23" t="s">
        <v>11422</v>
      </c>
      <c r="O708" s="30" t="s">
        <v>11422</v>
      </c>
      <c r="P708" t="s">
        <v>11422</v>
      </c>
    </row>
    <row r="709" spans="1:16" x14ac:dyDescent="0.25">
      <c r="A709" t="s">
        <v>12204</v>
      </c>
      <c r="B709">
        <v>938</v>
      </c>
      <c r="C709" t="s">
        <v>13873</v>
      </c>
      <c r="D709" s="27">
        <v>5.8650000000000002</v>
      </c>
      <c r="E709" t="s">
        <v>13669</v>
      </c>
      <c r="F709" s="28">
        <v>42032</v>
      </c>
      <c r="I709" s="23" t="s">
        <v>11422</v>
      </c>
      <c r="L709" s="23" t="s">
        <v>11422</v>
      </c>
      <c r="O709" s="30" t="s">
        <v>11422</v>
      </c>
      <c r="P709" t="s">
        <v>11422</v>
      </c>
    </row>
    <row r="710" spans="1:16" x14ac:dyDescent="0.25">
      <c r="A710" t="s">
        <v>2592</v>
      </c>
      <c r="B710">
        <v>205</v>
      </c>
      <c r="C710" t="s">
        <v>13826</v>
      </c>
      <c r="D710" s="27">
        <v>7.25</v>
      </c>
      <c r="E710" t="s">
        <v>13678</v>
      </c>
      <c r="F710" s="28">
        <v>42032</v>
      </c>
      <c r="I710" s="23" t="s">
        <v>11422</v>
      </c>
      <c r="L710" s="23" t="s">
        <v>11422</v>
      </c>
      <c r="O710" s="30" t="s">
        <v>11422</v>
      </c>
      <c r="P710" t="s">
        <v>11422</v>
      </c>
    </row>
    <row r="711" spans="1:16" x14ac:dyDescent="0.25">
      <c r="A711" t="s">
        <v>12495</v>
      </c>
      <c r="B711">
        <v>964</v>
      </c>
      <c r="C711" t="s">
        <v>13874</v>
      </c>
      <c r="D711" s="27">
        <v>6.76</v>
      </c>
      <c r="E711" t="s">
        <v>13698</v>
      </c>
      <c r="F711" s="28">
        <v>42032</v>
      </c>
      <c r="I711" s="23" t="s">
        <v>11422</v>
      </c>
      <c r="L711" s="23" t="s">
        <v>11422</v>
      </c>
      <c r="O711" s="30" t="s">
        <v>11422</v>
      </c>
      <c r="P711" t="s">
        <v>11422</v>
      </c>
    </row>
    <row r="712" spans="1:16" x14ac:dyDescent="0.25">
      <c r="A712" t="s">
        <v>11496</v>
      </c>
      <c r="B712">
        <v>890</v>
      </c>
      <c r="C712" t="s">
        <v>13875</v>
      </c>
      <c r="D712" s="27">
        <v>8.9250000000000007</v>
      </c>
      <c r="E712" t="s">
        <v>13710</v>
      </c>
      <c r="F712" s="28">
        <v>42032</v>
      </c>
      <c r="I712" s="23" t="s">
        <v>11422</v>
      </c>
      <c r="L712" s="23" t="s">
        <v>11422</v>
      </c>
      <c r="O712" s="30" t="s">
        <v>11422</v>
      </c>
      <c r="P712" t="s">
        <v>11422</v>
      </c>
    </row>
    <row r="713" spans="1:16" x14ac:dyDescent="0.25">
      <c r="A713" t="s">
        <v>2252</v>
      </c>
      <c r="B713">
        <v>28</v>
      </c>
      <c r="C713" t="s">
        <v>13824</v>
      </c>
      <c r="D713" s="27">
        <v>6.76</v>
      </c>
      <c r="E713" t="s">
        <v>13719</v>
      </c>
      <c r="F713" s="28">
        <v>42032</v>
      </c>
      <c r="I713" s="23" t="s">
        <v>11422</v>
      </c>
      <c r="L713" s="23" t="s">
        <v>11422</v>
      </c>
      <c r="O713" s="30" t="s">
        <v>11422</v>
      </c>
      <c r="P713" t="s">
        <v>11422</v>
      </c>
    </row>
    <row r="714" spans="1:16" x14ac:dyDescent="0.25">
      <c r="A714" t="s">
        <v>2814</v>
      </c>
      <c r="B714">
        <v>326</v>
      </c>
      <c r="C714" t="s">
        <v>13828</v>
      </c>
      <c r="D714" s="27">
        <v>13.5</v>
      </c>
      <c r="E714" t="s">
        <v>13721</v>
      </c>
      <c r="F714" s="28">
        <v>42032</v>
      </c>
      <c r="I714" s="23" t="s">
        <v>11422</v>
      </c>
      <c r="L714" s="23" t="s">
        <v>11422</v>
      </c>
      <c r="O714" s="30" t="s">
        <v>11422</v>
      </c>
      <c r="P714" t="s">
        <v>11422</v>
      </c>
    </row>
    <row r="715" spans="1:16" x14ac:dyDescent="0.25">
      <c r="A715" t="s">
        <v>11428</v>
      </c>
      <c r="B715">
        <v>860</v>
      </c>
      <c r="C715" t="s">
        <v>13830</v>
      </c>
      <c r="D715" s="27">
        <v>11</v>
      </c>
      <c r="E715" t="s">
        <v>13734</v>
      </c>
      <c r="F715" s="28">
        <v>42032</v>
      </c>
      <c r="I715" s="23" t="s">
        <v>11422</v>
      </c>
      <c r="L715" s="23" t="s">
        <v>11422</v>
      </c>
      <c r="O715" s="30" t="s">
        <v>11422</v>
      </c>
      <c r="P715" t="s">
        <v>11422</v>
      </c>
    </row>
    <row r="716" spans="1:16" x14ac:dyDescent="0.25">
      <c r="A716" t="s">
        <v>2825</v>
      </c>
      <c r="B716">
        <v>332</v>
      </c>
      <c r="C716" t="s">
        <v>13876</v>
      </c>
      <c r="D716" s="27">
        <v>5</v>
      </c>
      <c r="E716" t="s">
        <v>13744</v>
      </c>
      <c r="F716" s="28">
        <v>42032</v>
      </c>
      <c r="I716" s="23" t="s">
        <v>11422</v>
      </c>
      <c r="L716" s="23" t="s">
        <v>11422</v>
      </c>
      <c r="O716" s="30" t="s">
        <v>11422</v>
      </c>
      <c r="P716" t="s">
        <v>11422</v>
      </c>
    </row>
    <row r="717" spans="1:16" x14ac:dyDescent="0.25">
      <c r="A717" t="s">
        <v>3255</v>
      </c>
      <c r="B717">
        <v>551</v>
      </c>
      <c r="C717" t="s">
        <v>13825</v>
      </c>
      <c r="D717" s="27">
        <v>12.5</v>
      </c>
      <c r="E717" t="s">
        <v>13746</v>
      </c>
      <c r="F717" s="28">
        <v>42032</v>
      </c>
      <c r="I717" s="23" t="s">
        <v>11422</v>
      </c>
      <c r="L717" s="23" t="s">
        <v>11422</v>
      </c>
      <c r="O717" s="30" t="s">
        <v>11422</v>
      </c>
      <c r="P717" t="s">
        <v>11422</v>
      </c>
    </row>
    <row r="718" spans="1:16" x14ac:dyDescent="0.25">
      <c r="A718" t="s">
        <v>13471</v>
      </c>
      <c r="B718">
        <v>1024</v>
      </c>
      <c r="C718" t="s">
        <v>13877</v>
      </c>
      <c r="D718" s="27">
        <v>8.67</v>
      </c>
      <c r="E718" t="s">
        <v>13748</v>
      </c>
      <c r="F718" s="28">
        <v>42032</v>
      </c>
      <c r="I718" s="23" t="s">
        <v>11422</v>
      </c>
      <c r="L718" s="23" t="s">
        <v>11422</v>
      </c>
      <c r="O718" s="30" t="s">
        <v>11422</v>
      </c>
      <c r="P718" t="s">
        <v>11422</v>
      </c>
    </row>
    <row r="719" spans="1:16" x14ac:dyDescent="0.25">
      <c r="A719" t="s">
        <v>2592</v>
      </c>
      <c r="B719">
        <v>205</v>
      </c>
      <c r="C719" t="s">
        <v>13806</v>
      </c>
      <c r="D719" s="27">
        <v>10</v>
      </c>
      <c r="E719" t="s">
        <v>13659</v>
      </c>
      <c r="F719" s="28">
        <v>42031</v>
      </c>
      <c r="I719" s="23" t="s">
        <v>11422</v>
      </c>
      <c r="L719" s="23" t="s">
        <v>11422</v>
      </c>
      <c r="O719" s="30" t="s">
        <v>11422</v>
      </c>
      <c r="P719" t="s">
        <v>11422</v>
      </c>
    </row>
    <row r="720" spans="1:16" x14ac:dyDescent="0.25">
      <c r="A720" t="s">
        <v>2592</v>
      </c>
      <c r="B720">
        <v>205</v>
      </c>
      <c r="C720" t="s">
        <v>13878</v>
      </c>
      <c r="D720" s="27">
        <v>5.3550000000000004</v>
      </c>
      <c r="E720" t="s">
        <v>13673</v>
      </c>
      <c r="F720" s="28">
        <v>42031</v>
      </c>
      <c r="I720" s="23" t="s">
        <v>11422</v>
      </c>
      <c r="L720" s="23" t="s">
        <v>11422</v>
      </c>
      <c r="O720" s="30" t="s">
        <v>11422</v>
      </c>
      <c r="P720" t="s">
        <v>11422</v>
      </c>
    </row>
    <row r="721" spans="1:16" x14ac:dyDescent="0.25">
      <c r="A721" t="s">
        <v>3460</v>
      </c>
      <c r="B721">
        <v>659</v>
      </c>
      <c r="C721" t="s">
        <v>13879</v>
      </c>
      <c r="D721" s="27">
        <v>8.16</v>
      </c>
      <c r="E721" t="s">
        <v>13675</v>
      </c>
      <c r="F721" s="28">
        <v>42031</v>
      </c>
      <c r="I721" s="23" t="s">
        <v>11422</v>
      </c>
      <c r="L721" s="23" t="s">
        <v>11422</v>
      </c>
      <c r="O721" s="30" t="s">
        <v>11422</v>
      </c>
      <c r="P721" t="s">
        <v>11422</v>
      </c>
    </row>
    <row r="722" spans="1:16" x14ac:dyDescent="0.25">
      <c r="A722" t="s">
        <v>3567</v>
      </c>
      <c r="B722">
        <v>714</v>
      </c>
      <c r="C722" t="s">
        <v>13880</v>
      </c>
      <c r="D722" s="27">
        <v>6.76</v>
      </c>
      <c r="E722" t="s">
        <v>13704</v>
      </c>
      <c r="F722" s="28">
        <v>42031</v>
      </c>
      <c r="I722" s="23" t="s">
        <v>11422</v>
      </c>
      <c r="L722" s="23" t="s">
        <v>11422</v>
      </c>
      <c r="O722" s="30" t="s">
        <v>11422</v>
      </c>
      <c r="P722" t="s">
        <v>11422</v>
      </c>
    </row>
    <row r="723" spans="1:16" x14ac:dyDescent="0.25">
      <c r="A723" t="s">
        <v>3255</v>
      </c>
      <c r="B723">
        <v>551</v>
      </c>
      <c r="C723" t="s">
        <v>13818</v>
      </c>
      <c r="D723" s="27">
        <v>7.75</v>
      </c>
      <c r="E723" t="s">
        <v>13706</v>
      </c>
      <c r="F723" s="28">
        <v>42031</v>
      </c>
      <c r="I723" s="23" t="s">
        <v>11422</v>
      </c>
      <c r="L723" s="23" t="s">
        <v>11422</v>
      </c>
      <c r="O723" s="30" t="s">
        <v>11422</v>
      </c>
      <c r="P723" t="s">
        <v>11422</v>
      </c>
    </row>
    <row r="724" spans="1:16" x14ac:dyDescent="0.25">
      <c r="A724" t="s">
        <v>2938</v>
      </c>
      <c r="B724">
        <v>389</v>
      </c>
      <c r="C724" t="s">
        <v>13881</v>
      </c>
      <c r="D724" s="27">
        <v>6.5</v>
      </c>
      <c r="E724" t="s">
        <v>13728</v>
      </c>
      <c r="F724" s="28">
        <v>42031</v>
      </c>
      <c r="I724" s="23" t="s">
        <v>11422</v>
      </c>
      <c r="L724" s="23" t="s">
        <v>11422</v>
      </c>
      <c r="O724" s="30" t="s">
        <v>11422</v>
      </c>
      <c r="P724" t="s">
        <v>11422</v>
      </c>
    </row>
    <row r="725" spans="1:16" x14ac:dyDescent="0.25">
      <c r="A725" t="s">
        <v>12574</v>
      </c>
      <c r="B725">
        <v>974</v>
      </c>
      <c r="C725" t="s">
        <v>13882</v>
      </c>
      <c r="D725" s="27">
        <v>8.67</v>
      </c>
      <c r="E725" t="s">
        <v>13751</v>
      </c>
      <c r="F725" s="28">
        <v>42031</v>
      </c>
      <c r="I725" s="23" t="s">
        <v>11422</v>
      </c>
      <c r="L725" s="23" t="s">
        <v>11422</v>
      </c>
      <c r="O725" s="30" t="s">
        <v>11422</v>
      </c>
      <c r="P725" t="s">
        <v>11422</v>
      </c>
    </row>
    <row r="726" spans="1:16" x14ac:dyDescent="0.25">
      <c r="A726" t="s">
        <v>3651</v>
      </c>
      <c r="B726">
        <v>758</v>
      </c>
      <c r="C726" t="s">
        <v>13819</v>
      </c>
      <c r="D726" s="27">
        <v>7</v>
      </c>
      <c r="E726" t="s">
        <v>13755</v>
      </c>
      <c r="F726" s="28">
        <v>42031</v>
      </c>
      <c r="I726" s="23" t="s">
        <v>11422</v>
      </c>
      <c r="L726" s="23" t="s">
        <v>11422</v>
      </c>
      <c r="O726" s="30" t="s">
        <v>11422</v>
      </c>
      <c r="P726" t="s">
        <v>11422</v>
      </c>
    </row>
    <row r="727" spans="1:16" x14ac:dyDescent="0.25">
      <c r="A727" t="s">
        <v>2944</v>
      </c>
      <c r="B727">
        <v>392</v>
      </c>
      <c r="C727" t="s">
        <v>13820</v>
      </c>
      <c r="D727" s="27">
        <v>5</v>
      </c>
      <c r="E727" t="s">
        <v>13764</v>
      </c>
      <c r="F727" s="28">
        <v>42031</v>
      </c>
      <c r="I727" s="23" t="s">
        <v>11422</v>
      </c>
      <c r="L727" s="23" t="s">
        <v>11422</v>
      </c>
      <c r="O727" s="30" t="s">
        <v>11422</v>
      </c>
      <c r="P727" t="s">
        <v>11422</v>
      </c>
    </row>
    <row r="728" spans="1:16" x14ac:dyDescent="0.25">
      <c r="A728" t="s">
        <v>12274</v>
      </c>
      <c r="B728">
        <v>945</v>
      </c>
      <c r="C728" t="s">
        <v>13821</v>
      </c>
      <c r="D728" s="27">
        <v>6.75</v>
      </c>
      <c r="E728" t="s">
        <v>13771</v>
      </c>
      <c r="F728" s="28">
        <v>42031</v>
      </c>
      <c r="I728" s="23" t="s">
        <v>11422</v>
      </c>
      <c r="L728" s="23" t="s">
        <v>11422</v>
      </c>
      <c r="O728" s="30" t="s">
        <v>11422</v>
      </c>
      <c r="P728" t="s">
        <v>11422</v>
      </c>
    </row>
    <row r="729" spans="1:16" x14ac:dyDescent="0.25">
      <c r="A729" t="s">
        <v>11428</v>
      </c>
      <c r="B729">
        <v>860</v>
      </c>
      <c r="C729" t="s">
        <v>13822</v>
      </c>
      <c r="D729" s="27">
        <v>10</v>
      </c>
      <c r="E729" t="s">
        <v>13775</v>
      </c>
      <c r="F729" s="28">
        <v>42031</v>
      </c>
      <c r="I729" s="23" t="s">
        <v>11422</v>
      </c>
      <c r="L729" s="23" t="s">
        <v>11422</v>
      </c>
      <c r="O729" s="30" t="s">
        <v>11422</v>
      </c>
      <c r="P729" t="s">
        <v>11422</v>
      </c>
    </row>
    <row r="730" spans="1:16" x14ac:dyDescent="0.25">
      <c r="A730" t="s">
        <v>2554</v>
      </c>
      <c r="B730">
        <v>185</v>
      </c>
      <c r="C730" t="s">
        <v>13883</v>
      </c>
      <c r="D730" s="27">
        <v>10.92</v>
      </c>
      <c r="E730" t="s">
        <v>13618</v>
      </c>
      <c r="F730" s="28">
        <v>42030</v>
      </c>
      <c r="I730" s="23" t="s">
        <v>11422</v>
      </c>
      <c r="L730" s="23" t="s">
        <v>11422</v>
      </c>
      <c r="O730" s="30" t="s">
        <v>11422</v>
      </c>
      <c r="P730" t="s">
        <v>11422</v>
      </c>
    </row>
    <row r="731" spans="1:16" x14ac:dyDescent="0.25">
      <c r="A731" t="s">
        <v>3490</v>
      </c>
      <c r="B731">
        <v>674</v>
      </c>
      <c r="C731" t="s">
        <v>13812</v>
      </c>
      <c r="D731" s="27">
        <v>5.75</v>
      </c>
      <c r="E731" t="s">
        <v>13665</v>
      </c>
      <c r="F731" s="28">
        <v>42030</v>
      </c>
      <c r="I731" s="23" t="s">
        <v>11422</v>
      </c>
      <c r="L731" s="23" t="s">
        <v>11422</v>
      </c>
      <c r="O731" s="30" t="s">
        <v>11422</v>
      </c>
      <c r="P731" t="s">
        <v>11422</v>
      </c>
    </row>
    <row r="732" spans="1:16" x14ac:dyDescent="0.25">
      <c r="A732" t="s">
        <v>11502</v>
      </c>
      <c r="B732">
        <v>893</v>
      </c>
      <c r="C732" t="s">
        <v>13884</v>
      </c>
      <c r="D732" s="27">
        <v>3.06</v>
      </c>
      <c r="E732" t="s">
        <v>13671</v>
      </c>
      <c r="F732" s="28">
        <v>42030</v>
      </c>
      <c r="I732" s="23" t="s">
        <v>11422</v>
      </c>
      <c r="L732" s="23" t="s">
        <v>11422</v>
      </c>
      <c r="O732" s="30" t="s">
        <v>11422</v>
      </c>
      <c r="P732" t="s">
        <v>11422</v>
      </c>
    </row>
    <row r="733" spans="1:16" x14ac:dyDescent="0.25">
      <c r="A733" t="s">
        <v>3532</v>
      </c>
      <c r="B733">
        <v>695</v>
      </c>
      <c r="C733" t="s">
        <v>13807</v>
      </c>
      <c r="D733" s="27">
        <v>6.12</v>
      </c>
      <c r="E733" t="s">
        <v>13682</v>
      </c>
      <c r="F733" s="28">
        <v>42030</v>
      </c>
      <c r="I733" s="23" t="s">
        <v>11422</v>
      </c>
      <c r="L733" s="23" t="s">
        <v>11422</v>
      </c>
      <c r="O733" s="30" t="s">
        <v>11422</v>
      </c>
      <c r="P733" t="s">
        <v>11422</v>
      </c>
    </row>
    <row r="734" spans="1:16" x14ac:dyDescent="0.25">
      <c r="A734" t="s">
        <v>2890</v>
      </c>
      <c r="B734">
        <v>365</v>
      </c>
      <c r="C734" t="s">
        <v>13809</v>
      </c>
      <c r="D734" s="27">
        <v>15.6</v>
      </c>
      <c r="E734" t="s">
        <v>13691</v>
      </c>
      <c r="F734" s="28">
        <v>42030</v>
      </c>
      <c r="I734" s="23" t="s">
        <v>11422</v>
      </c>
      <c r="L734" s="23" t="s">
        <v>11422</v>
      </c>
      <c r="O734" s="30" t="s">
        <v>11422</v>
      </c>
      <c r="P734" t="s">
        <v>11422</v>
      </c>
    </row>
    <row r="735" spans="1:16" x14ac:dyDescent="0.25">
      <c r="A735" t="s">
        <v>8673</v>
      </c>
      <c r="B735">
        <v>856</v>
      </c>
      <c r="C735" t="s">
        <v>13885</v>
      </c>
      <c r="D735" s="27">
        <v>11</v>
      </c>
      <c r="E735" t="s">
        <v>13700</v>
      </c>
      <c r="F735" s="28">
        <v>42030</v>
      </c>
      <c r="I735" s="23" t="s">
        <v>11422</v>
      </c>
      <c r="L735" s="23" t="s">
        <v>11422</v>
      </c>
      <c r="O735" s="30" t="s">
        <v>11422</v>
      </c>
      <c r="P735" t="s">
        <v>11422</v>
      </c>
    </row>
    <row r="736" spans="1:16" x14ac:dyDescent="0.25">
      <c r="A736" t="s">
        <v>2704</v>
      </c>
      <c r="B736">
        <v>268</v>
      </c>
      <c r="C736" t="s">
        <v>13808</v>
      </c>
      <c r="D736" s="27">
        <v>7.54</v>
      </c>
      <c r="E736" t="s">
        <v>13730</v>
      </c>
      <c r="F736" s="28">
        <v>42030</v>
      </c>
      <c r="I736" s="23" t="s">
        <v>11422</v>
      </c>
      <c r="L736" s="23" t="s">
        <v>11422</v>
      </c>
      <c r="O736" s="30" t="s">
        <v>11422</v>
      </c>
      <c r="P736" t="s">
        <v>11422</v>
      </c>
    </row>
    <row r="737" spans="1:16" x14ac:dyDescent="0.25">
      <c r="A737" t="s">
        <v>3407</v>
      </c>
      <c r="B737">
        <v>632</v>
      </c>
      <c r="C737" t="s">
        <v>13886</v>
      </c>
      <c r="D737" s="27">
        <v>7.65</v>
      </c>
      <c r="E737" t="s">
        <v>13739</v>
      </c>
      <c r="F737" s="28">
        <v>42030</v>
      </c>
      <c r="I737" s="23" t="s">
        <v>11422</v>
      </c>
      <c r="L737" s="23" t="s">
        <v>11422</v>
      </c>
      <c r="O737" s="30" t="s">
        <v>11422</v>
      </c>
      <c r="P737" t="s">
        <v>11422</v>
      </c>
    </row>
    <row r="738" spans="1:16" x14ac:dyDescent="0.25">
      <c r="A738" t="s">
        <v>12235</v>
      </c>
      <c r="B738">
        <v>922</v>
      </c>
      <c r="C738" t="s">
        <v>13811</v>
      </c>
      <c r="D738" s="27">
        <v>5</v>
      </c>
      <c r="E738" t="s">
        <v>13766</v>
      </c>
      <c r="F738" s="28">
        <v>42030</v>
      </c>
      <c r="I738" s="23" t="s">
        <v>11422</v>
      </c>
      <c r="L738" s="23" t="s">
        <v>11422</v>
      </c>
      <c r="O738" s="30" t="s">
        <v>11422</v>
      </c>
      <c r="P738" t="s">
        <v>11422</v>
      </c>
    </row>
    <row r="739" spans="1:16" x14ac:dyDescent="0.25">
      <c r="A739" t="s">
        <v>12201</v>
      </c>
      <c r="B739">
        <v>907</v>
      </c>
      <c r="C739" t="s">
        <v>13810</v>
      </c>
      <c r="D739" s="27">
        <v>9</v>
      </c>
      <c r="E739" t="s">
        <v>13769</v>
      </c>
      <c r="F739" s="28">
        <v>42030</v>
      </c>
      <c r="I739" s="23" t="s">
        <v>11422</v>
      </c>
      <c r="L739" s="23" t="s">
        <v>11422</v>
      </c>
      <c r="O739" s="30"/>
      <c r="P739" t="s">
        <v>11422</v>
      </c>
    </row>
    <row r="740" spans="1:16" x14ac:dyDescent="0.25">
      <c r="A740" t="s">
        <v>2944</v>
      </c>
      <c r="B740">
        <v>392</v>
      </c>
      <c r="C740" t="s">
        <v>13813</v>
      </c>
      <c r="D740" s="27">
        <v>5.25</v>
      </c>
      <c r="E740" t="s">
        <v>13789</v>
      </c>
      <c r="F740" s="28">
        <v>42030</v>
      </c>
      <c r="I740" s="23" t="s">
        <v>11422</v>
      </c>
      <c r="L740" s="23" t="s">
        <v>11422</v>
      </c>
      <c r="O740" s="30"/>
      <c r="P740" t="s">
        <v>11422</v>
      </c>
    </row>
    <row r="741" spans="1:16" x14ac:dyDescent="0.25">
      <c r="A741" t="s">
        <v>11504</v>
      </c>
      <c r="B741">
        <v>894</v>
      </c>
      <c r="C741" t="s">
        <v>12831</v>
      </c>
      <c r="D741" s="27">
        <v>5.46</v>
      </c>
      <c r="E741" t="s">
        <v>12578</v>
      </c>
      <c r="F741" s="28">
        <v>42014</v>
      </c>
      <c r="G741" s="34">
        <v>350</v>
      </c>
      <c r="H741" s="18">
        <v>42034</v>
      </c>
      <c r="I741" s="23" t="s">
        <v>11422</v>
      </c>
      <c r="J741" s="23">
        <v>273</v>
      </c>
      <c r="K741" s="18">
        <v>42034</v>
      </c>
      <c r="L741" s="23" t="s">
        <v>11422</v>
      </c>
      <c r="M741" s="42">
        <v>469</v>
      </c>
      <c r="N741" s="18">
        <v>42041</v>
      </c>
      <c r="O741" s="30"/>
      <c r="P741" s="42"/>
    </row>
    <row r="742" spans="1:16" x14ac:dyDescent="0.25">
      <c r="A742" t="s">
        <v>12264</v>
      </c>
      <c r="B742">
        <v>940</v>
      </c>
      <c r="C742" t="s">
        <v>13116</v>
      </c>
      <c r="D742" s="27">
        <v>4.42</v>
      </c>
      <c r="E742" t="s">
        <v>12961</v>
      </c>
      <c r="F742" s="28">
        <v>42017</v>
      </c>
      <c r="I742" s="23" t="s">
        <v>11422</v>
      </c>
      <c r="J742" s="23">
        <v>221</v>
      </c>
      <c r="K742" s="18">
        <v>42034</v>
      </c>
      <c r="L742" s="23" t="s">
        <v>11422</v>
      </c>
      <c r="M742" s="42">
        <v>663</v>
      </c>
      <c r="N742" s="18">
        <v>42041</v>
      </c>
      <c r="O742" s="30"/>
      <c r="P742" s="42"/>
    </row>
    <row r="743" spans="1:16" x14ac:dyDescent="0.25">
      <c r="A743" t="s">
        <v>12499</v>
      </c>
      <c r="B743">
        <v>966</v>
      </c>
      <c r="C743" t="s">
        <v>13117</v>
      </c>
      <c r="D743" s="27">
        <v>4.335</v>
      </c>
      <c r="E743" t="s">
        <v>12964</v>
      </c>
      <c r="F743" s="28">
        <v>42016</v>
      </c>
      <c r="I743" s="23" t="s">
        <v>11422</v>
      </c>
      <c r="L743" s="23" t="s">
        <v>11422</v>
      </c>
      <c r="M743" s="42">
        <v>867</v>
      </c>
      <c r="N743" s="18">
        <v>42041</v>
      </c>
      <c r="O743" s="30"/>
      <c r="P743" s="19"/>
    </row>
  </sheetData>
  <sortState ref="E3:V745">
    <sortCondition ref="I3:I745"/>
    <sortCondition ref="L3:L745"/>
    <sortCondition ref="P3:P745"/>
    <sortCondition ref="O3:O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743"/>
  <sheetViews>
    <sheetView workbookViewId="0">
      <selection activeCell="D3" sqref="D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53" t="s">
        <v>13914</v>
      </c>
      <c r="B1" s="53" t="s">
        <v>13915</v>
      </c>
      <c r="C1" s="53" t="s">
        <v>5</v>
      </c>
      <c r="D1" s="53" t="s">
        <v>3870</v>
      </c>
      <c r="E1" s="53" t="s">
        <v>3871</v>
      </c>
    </row>
    <row r="2" spans="1:5" x14ac:dyDescent="0.25">
      <c r="A2" t="s">
        <v>11496</v>
      </c>
      <c r="B2">
        <v>890</v>
      </c>
      <c r="C2" t="s">
        <v>13109</v>
      </c>
      <c r="D2" t="s">
        <v>12950</v>
      </c>
      <c r="E2">
        <v>5.0999999999999996</v>
      </c>
    </row>
    <row r="3" spans="1:5" x14ac:dyDescent="0.25">
      <c r="A3" t="s">
        <v>2841</v>
      </c>
      <c r="B3">
        <v>340</v>
      </c>
      <c r="C3" t="s">
        <v>11908</v>
      </c>
      <c r="D3" t="s">
        <v>11621</v>
      </c>
      <c r="E3">
        <v>6.375</v>
      </c>
    </row>
    <row r="4" spans="1:5" x14ac:dyDescent="0.25">
      <c r="A4" t="s">
        <v>11466</v>
      </c>
      <c r="B4">
        <v>867</v>
      </c>
      <c r="C4" t="s">
        <v>12787</v>
      </c>
      <c r="D4" t="s">
        <v>12655</v>
      </c>
      <c r="E4">
        <v>7.75</v>
      </c>
    </row>
    <row r="5" spans="1:5" x14ac:dyDescent="0.25">
      <c r="A5" t="s">
        <v>3861</v>
      </c>
      <c r="B5">
        <v>690</v>
      </c>
      <c r="C5" t="s">
        <v>13398</v>
      </c>
      <c r="D5" t="s">
        <v>13375</v>
      </c>
      <c r="E5">
        <v>13</v>
      </c>
    </row>
    <row r="6" spans="1:5" x14ac:dyDescent="0.25">
      <c r="A6" t="s">
        <v>2619</v>
      </c>
      <c r="B6">
        <v>222</v>
      </c>
      <c r="C6" t="s">
        <v>12186</v>
      </c>
      <c r="D6" t="s">
        <v>12076</v>
      </c>
      <c r="E6">
        <v>5.75</v>
      </c>
    </row>
    <row r="7" spans="1:5" x14ac:dyDescent="0.25">
      <c r="A7" t="s">
        <v>2592</v>
      </c>
      <c r="B7">
        <v>205</v>
      </c>
      <c r="C7" t="s">
        <v>12835</v>
      </c>
      <c r="D7" t="s">
        <v>12582</v>
      </c>
      <c r="E7">
        <v>6.375</v>
      </c>
    </row>
    <row r="8" spans="1:5" x14ac:dyDescent="0.25">
      <c r="A8" t="s">
        <v>3767</v>
      </c>
      <c r="B8">
        <v>817</v>
      </c>
      <c r="C8" t="s">
        <v>13095</v>
      </c>
      <c r="D8" t="s">
        <v>12932</v>
      </c>
      <c r="E8">
        <v>2.8050000000000002</v>
      </c>
    </row>
    <row r="9" spans="1:5" x14ac:dyDescent="0.25">
      <c r="A9" t="s">
        <v>3751</v>
      </c>
      <c r="B9">
        <v>809</v>
      </c>
      <c r="C9" t="s">
        <v>12849</v>
      </c>
      <c r="D9" t="s">
        <v>12596</v>
      </c>
      <c r="E9">
        <v>7</v>
      </c>
    </row>
    <row r="10" spans="1:5" x14ac:dyDescent="0.25">
      <c r="A10" t="s">
        <v>3361</v>
      </c>
      <c r="B10">
        <v>607</v>
      </c>
      <c r="C10" t="s">
        <v>12879</v>
      </c>
      <c r="D10" t="s">
        <v>12627</v>
      </c>
      <c r="E10">
        <v>3</v>
      </c>
    </row>
    <row r="11" spans="1:5" x14ac:dyDescent="0.25">
      <c r="A11" t="s">
        <v>2244</v>
      </c>
      <c r="B11">
        <v>23</v>
      </c>
      <c r="C11" t="s">
        <v>12889</v>
      </c>
      <c r="D11" t="s">
        <v>12639</v>
      </c>
      <c r="E11">
        <v>3.57</v>
      </c>
    </row>
    <row r="12" spans="1:5" x14ac:dyDescent="0.25">
      <c r="A12" t="s">
        <v>2599</v>
      </c>
      <c r="B12">
        <v>211</v>
      </c>
      <c r="C12" t="s">
        <v>12060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12851</v>
      </c>
      <c r="D13" t="s">
        <v>12598</v>
      </c>
      <c r="E13">
        <v>8.16</v>
      </c>
    </row>
    <row r="14" spans="1:5" x14ac:dyDescent="0.25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25">
      <c r="A15" t="s">
        <v>2728</v>
      </c>
      <c r="B15">
        <v>282</v>
      </c>
      <c r="C15" t="s">
        <v>12195</v>
      </c>
      <c r="D15" t="s">
        <v>12098</v>
      </c>
      <c r="E15">
        <v>10.5</v>
      </c>
    </row>
    <row r="16" spans="1:5" x14ac:dyDescent="0.25">
      <c r="A16" t="s">
        <v>12282</v>
      </c>
      <c r="B16">
        <v>949</v>
      </c>
      <c r="C16" t="s">
        <v>12877</v>
      </c>
      <c r="D16" t="s">
        <v>12625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12457</v>
      </c>
      <c r="D17" t="s">
        <v>12408</v>
      </c>
      <c r="E17">
        <v>7.3949999999999996</v>
      </c>
    </row>
    <row r="18" spans="1:5" x14ac:dyDescent="0.25">
      <c r="A18" t="s">
        <v>12206</v>
      </c>
      <c r="B18">
        <v>908</v>
      </c>
      <c r="C18" t="s">
        <v>13058</v>
      </c>
      <c r="D18" t="s">
        <v>12946</v>
      </c>
      <c r="E18">
        <v>5.0999999999999996</v>
      </c>
    </row>
    <row r="19" spans="1:5" x14ac:dyDescent="0.25">
      <c r="A19" t="s">
        <v>12241</v>
      </c>
      <c r="B19">
        <v>930</v>
      </c>
      <c r="C19" t="s">
        <v>13122</v>
      </c>
      <c r="D19" t="s">
        <v>12971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13517</v>
      </c>
      <c r="D20" t="s">
        <v>13348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13535</v>
      </c>
      <c r="D21" t="s">
        <v>13269</v>
      </c>
      <c r="E21">
        <v>8.06</v>
      </c>
    </row>
    <row r="22" spans="1:5" x14ac:dyDescent="0.25">
      <c r="A22" t="s">
        <v>3353</v>
      </c>
      <c r="B22">
        <v>603</v>
      </c>
      <c r="C22" t="s">
        <v>13383</v>
      </c>
      <c r="D22" t="s">
        <v>13202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13382</v>
      </c>
      <c r="D23" t="s">
        <v>13209</v>
      </c>
      <c r="E23">
        <v>5.72</v>
      </c>
    </row>
    <row r="24" spans="1:5" x14ac:dyDescent="0.25">
      <c r="A24" t="s">
        <v>12574</v>
      </c>
      <c r="B24">
        <v>974</v>
      </c>
      <c r="C24" t="s">
        <v>13577</v>
      </c>
      <c r="D24" t="s">
        <v>13205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13066</v>
      </c>
      <c r="D25" t="s">
        <v>13065</v>
      </c>
      <c r="E25">
        <v>10.5</v>
      </c>
    </row>
    <row r="26" spans="1:5" x14ac:dyDescent="0.25">
      <c r="A26" t="s">
        <v>12491</v>
      </c>
      <c r="B26">
        <v>962</v>
      </c>
      <c r="C26" t="s">
        <v>13413</v>
      </c>
      <c r="D26" t="s">
        <v>13274</v>
      </c>
      <c r="E26">
        <v>9.18</v>
      </c>
    </row>
    <row r="27" spans="1:5" x14ac:dyDescent="0.25">
      <c r="A27" t="s">
        <v>2890</v>
      </c>
      <c r="B27">
        <v>365</v>
      </c>
      <c r="C27" t="s">
        <v>13816</v>
      </c>
      <c r="D27" t="s">
        <v>13637</v>
      </c>
      <c r="E27">
        <v>6.5</v>
      </c>
    </row>
    <row r="28" spans="1:5" x14ac:dyDescent="0.25">
      <c r="A28" t="s">
        <v>2890</v>
      </c>
      <c r="B28">
        <v>365</v>
      </c>
      <c r="C28" t="s">
        <v>13815</v>
      </c>
      <c r="D28" t="s">
        <v>13641</v>
      </c>
      <c r="E28">
        <v>7.54</v>
      </c>
    </row>
    <row r="29" spans="1:5" x14ac:dyDescent="0.25">
      <c r="A29" t="s">
        <v>3590</v>
      </c>
      <c r="B29">
        <v>726</v>
      </c>
      <c r="C29" t="s">
        <v>12893</v>
      </c>
      <c r="D29" t="s">
        <v>12643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11970</v>
      </c>
      <c r="D30" t="s">
        <v>11751</v>
      </c>
      <c r="E30">
        <v>4.75</v>
      </c>
    </row>
    <row r="31" spans="1:5" x14ac:dyDescent="0.25">
      <c r="A31" t="s">
        <v>3651</v>
      </c>
      <c r="B31">
        <v>758</v>
      </c>
      <c r="C31" t="s">
        <v>13565</v>
      </c>
      <c r="D31" t="s">
        <v>13154</v>
      </c>
      <c r="E31">
        <v>5.5</v>
      </c>
    </row>
    <row r="32" spans="1:5" x14ac:dyDescent="0.25">
      <c r="A32" t="s">
        <v>2619</v>
      </c>
      <c r="B32">
        <v>222</v>
      </c>
      <c r="C32" t="s">
        <v>12197</v>
      </c>
      <c r="D32" t="s">
        <v>12104</v>
      </c>
      <c r="E32">
        <v>5.25</v>
      </c>
    </row>
    <row r="33" spans="1:5" x14ac:dyDescent="0.25">
      <c r="A33" t="s">
        <v>11502</v>
      </c>
      <c r="B33">
        <v>893</v>
      </c>
      <c r="C33" t="s">
        <v>12883</v>
      </c>
      <c r="D33" t="s">
        <v>12631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12049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13064</v>
      </c>
      <c r="D35" t="s">
        <v>13063</v>
      </c>
      <c r="E35">
        <v>5.5</v>
      </c>
    </row>
    <row r="36" spans="1:5" x14ac:dyDescent="0.25">
      <c r="A36" t="s">
        <v>11502</v>
      </c>
      <c r="B36">
        <v>893</v>
      </c>
      <c r="C36" t="s">
        <v>13120</v>
      </c>
      <c r="D36" t="s">
        <v>12968</v>
      </c>
      <c r="E36">
        <v>5.8650000000000002</v>
      </c>
    </row>
    <row r="37" spans="1:5" x14ac:dyDescent="0.25">
      <c r="A37" t="s">
        <v>11502</v>
      </c>
      <c r="B37">
        <v>893</v>
      </c>
      <c r="C37" t="s">
        <v>12547</v>
      </c>
      <c r="D37" t="s">
        <v>12410</v>
      </c>
      <c r="E37">
        <v>6.12</v>
      </c>
    </row>
    <row r="38" spans="1:5" x14ac:dyDescent="0.25">
      <c r="A38" t="s">
        <v>12574</v>
      </c>
      <c r="B38">
        <v>974</v>
      </c>
      <c r="C38" t="s">
        <v>13576</v>
      </c>
      <c r="D38" t="s">
        <v>13191</v>
      </c>
      <c r="E38">
        <v>6.12</v>
      </c>
    </row>
    <row r="39" spans="1:5" x14ac:dyDescent="0.25">
      <c r="A39" t="s">
        <v>11510</v>
      </c>
      <c r="B39">
        <v>897</v>
      </c>
      <c r="C39" t="s">
        <v>13385</v>
      </c>
      <c r="D39" t="s">
        <v>13185</v>
      </c>
      <c r="E39">
        <v>6.5</v>
      </c>
    </row>
    <row r="40" spans="1:5" x14ac:dyDescent="0.25">
      <c r="A40" t="s">
        <v>12274</v>
      </c>
      <c r="B40">
        <v>945</v>
      </c>
      <c r="C40" t="s">
        <v>13564</v>
      </c>
      <c r="D40" t="s">
        <v>13290</v>
      </c>
      <c r="E40">
        <v>6.25</v>
      </c>
    </row>
    <row r="41" spans="1:5" x14ac:dyDescent="0.25">
      <c r="A41" t="s">
        <v>3651</v>
      </c>
      <c r="B41">
        <v>758</v>
      </c>
      <c r="C41" t="s">
        <v>12844</v>
      </c>
      <c r="D41" t="s">
        <v>13722</v>
      </c>
      <c r="E41">
        <v>6.5</v>
      </c>
    </row>
    <row r="42" spans="1:5" x14ac:dyDescent="0.25">
      <c r="A42" t="s">
        <v>11428</v>
      </c>
      <c r="B42">
        <v>860</v>
      </c>
      <c r="C42" t="s">
        <v>11988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13555</v>
      </c>
      <c r="D43" t="s">
        <v>13134</v>
      </c>
      <c r="E43">
        <v>7.5</v>
      </c>
    </row>
    <row r="44" spans="1:5" x14ac:dyDescent="0.25">
      <c r="A44" t="s">
        <v>3830</v>
      </c>
      <c r="B44">
        <v>261</v>
      </c>
      <c r="C44" t="s">
        <v>12853</v>
      </c>
      <c r="D44" t="s">
        <v>12601</v>
      </c>
      <c r="E44">
        <v>7.54</v>
      </c>
    </row>
    <row r="45" spans="1:5" x14ac:dyDescent="0.25">
      <c r="A45" t="s">
        <v>8673</v>
      </c>
      <c r="B45">
        <v>856</v>
      </c>
      <c r="C45" t="s">
        <v>13557</v>
      </c>
      <c r="D45" t="s">
        <v>13241</v>
      </c>
      <c r="E45">
        <v>8</v>
      </c>
    </row>
    <row r="46" spans="1:5" x14ac:dyDescent="0.25">
      <c r="A46" t="s">
        <v>3830</v>
      </c>
      <c r="B46">
        <v>261</v>
      </c>
      <c r="C46" t="s">
        <v>12853</v>
      </c>
      <c r="D46" t="s">
        <v>12600</v>
      </c>
      <c r="E46">
        <v>8.06</v>
      </c>
    </row>
    <row r="47" spans="1:5" x14ac:dyDescent="0.25">
      <c r="A47" t="s">
        <v>3582</v>
      </c>
      <c r="B47">
        <v>722</v>
      </c>
      <c r="C47" t="s">
        <v>13410</v>
      </c>
      <c r="D47" t="s">
        <v>13316</v>
      </c>
      <c r="E47">
        <v>8.84</v>
      </c>
    </row>
    <row r="48" spans="1:5" x14ac:dyDescent="0.25">
      <c r="A48" t="s">
        <v>3345</v>
      </c>
      <c r="B48">
        <v>599</v>
      </c>
      <c r="C48" t="s">
        <v>11994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11929</v>
      </c>
      <c r="D49" t="s">
        <v>11574</v>
      </c>
      <c r="E49">
        <v>10.4</v>
      </c>
    </row>
    <row r="50" spans="1:5" x14ac:dyDescent="0.25">
      <c r="A50" t="s">
        <v>13216</v>
      </c>
      <c r="B50">
        <v>0</v>
      </c>
      <c r="C50" t="s">
        <v>13399</v>
      </c>
      <c r="D50" t="s">
        <v>13215</v>
      </c>
      <c r="E50">
        <v>11</v>
      </c>
    </row>
    <row r="51" spans="1:5" x14ac:dyDescent="0.25">
      <c r="A51" t="s">
        <v>3107</v>
      </c>
      <c r="B51">
        <v>475</v>
      </c>
      <c r="C51" t="s">
        <v>12037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12057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12455</v>
      </c>
      <c r="D53" t="s">
        <v>12425</v>
      </c>
      <c r="E53">
        <v>3.5</v>
      </c>
    </row>
    <row r="54" spans="1:5" x14ac:dyDescent="0.25">
      <c r="A54" t="s">
        <v>11433</v>
      </c>
      <c r="B54">
        <v>832</v>
      </c>
      <c r="C54" t="s">
        <v>12020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11975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11920</v>
      </c>
      <c r="D56" t="s">
        <v>11610</v>
      </c>
      <c r="E56">
        <v>10.5</v>
      </c>
    </row>
    <row r="57" spans="1:5" x14ac:dyDescent="0.25">
      <c r="A57" t="s">
        <v>3830</v>
      </c>
      <c r="B57">
        <v>261</v>
      </c>
      <c r="C57" t="s">
        <v>11903</v>
      </c>
      <c r="D57" t="s">
        <v>11567</v>
      </c>
      <c r="E57">
        <v>8.4149999999999991</v>
      </c>
    </row>
    <row r="58" spans="1:5" x14ac:dyDescent="0.25">
      <c r="A58" t="s">
        <v>11428</v>
      </c>
      <c r="B58">
        <v>860</v>
      </c>
      <c r="C58" t="s">
        <v>12043</v>
      </c>
      <c r="D58" t="s">
        <v>6305</v>
      </c>
      <c r="E58">
        <v>7.5</v>
      </c>
    </row>
    <row r="59" spans="1:5" x14ac:dyDescent="0.25">
      <c r="A59" t="s">
        <v>11512</v>
      </c>
      <c r="B59">
        <v>898</v>
      </c>
      <c r="C59" t="s">
        <v>11924</v>
      </c>
      <c r="D59" t="s">
        <v>11725</v>
      </c>
      <c r="E59">
        <v>3.8250000000000002</v>
      </c>
    </row>
    <row r="60" spans="1:5" x14ac:dyDescent="0.25">
      <c r="A60" t="s">
        <v>12228</v>
      </c>
      <c r="B60">
        <v>927</v>
      </c>
      <c r="C60" t="s">
        <v>12450</v>
      </c>
      <c r="D60" t="s">
        <v>12394</v>
      </c>
      <c r="E60">
        <v>6.375</v>
      </c>
    </row>
    <row r="61" spans="1:5" x14ac:dyDescent="0.25">
      <c r="A61" t="s">
        <v>3701</v>
      </c>
      <c r="B61">
        <v>784</v>
      </c>
      <c r="C61" t="s">
        <v>12549</v>
      </c>
      <c r="D61" t="s">
        <v>12387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12041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12040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12550</v>
      </c>
      <c r="D64" t="s">
        <v>12423</v>
      </c>
      <c r="E64">
        <v>4.08</v>
      </c>
    </row>
    <row r="65" spans="1:5" x14ac:dyDescent="0.25">
      <c r="A65" t="s">
        <v>3460</v>
      </c>
      <c r="B65">
        <v>659</v>
      </c>
      <c r="C65" t="s">
        <v>12843</v>
      </c>
      <c r="D65" t="s">
        <v>12590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12909</v>
      </c>
      <c r="D66" t="s">
        <v>12664</v>
      </c>
      <c r="E66">
        <v>8</v>
      </c>
    </row>
    <row r="67" spans="1:5" x14ac:dyDescent="0.25">
      <c r="A67" t="s">
        <v>12499</v>
      </c>
      <c r="B67">
        <v>966</v>
      </c>
      <c r="C67" t="s">
        <v>12875</v>
      </c>
      <c r="D67" t="s">
        <v>12623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25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25">
      <c r="A76" t="s">
        <v>1007</v>
      </c>
      <c r="B76">
        <v>703</v>
      </c>
      <c r="C76" t="s">
        <v>11969</v>
      </c>
      <c r="D76" t="s">
        <v>11677</v>
      </c>
      <c r="E76">
        <v>2.5</v>
      </c>
    </row>
    <row r="77" spans="1:5" x14ac:dyDescent="0.25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25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25">
      <c r="A79" t="s">
        <v>3460</v>
      </c>
      <c r="B79">
        <v>659</v>
      </c>
      <c r="C79" t="s">
        <v>11916</v>
      </c>
      <c r="D79" t="s">
        <v>11762</v>
      </c>
      <c r="E79">
        <v>6.63</v>
      </c>
    </row>
    <row r="80" spans="1:5" x14ac:dyDescent="0.25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12198</v>
      </c>
      <c r="D81" t="s">
        <v>12106</v>
      </c>
      <c r="E81">
        <v>7.25</v>
      </c>
    </row>
    <row r="82" spans="1:5" x14ac:dyDescent="0.25">
      <c r="A82" t="s">
        <v>3486</v>
      </c>
      <c r="B82">
        <v>672</v>
      </c>
      <c r="C82" t="s">
        <v>12073</v>
      </c>
      <c r="D82" t="s">
        <v>12072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11907</v>
      </c>
      <c r="D84" t="s">
        <v>11619</v>
      </c>
      <c r="E84">
        <v>4.59</v>
      </c>
    </row>
    <row r="85" spans="1:5" x14ac:dyDescent="0.25">
      <c r="A85" t="s">
        <v>3590</v>
      </c>
      <c r="B85">
        <v>726</v>
      </c>
      <c r="C85" t="s">
        <v>12516</v>
      </c>
      <c r="D85" t="s">
        <v>12301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12518</v>
      </c>
      <c r="D86" t="s">
        <v>12333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12546</v>
      </c>
      <c r="D87" t="s">
        <v>12406</v>
      </c>
      <c r="E87">
        <v>4.8449999999999998</v>
      </c>
    </row>
    <row r="88" spans="1:5" x14ac:dyDescent="0.25">
      <c r="A88" t="s">
        <v>12575</v>
      </c>
      <c r="B88">
        <v>975</v>
      </c>
      <c r="C88" t="s">
        <v>13088</v>
      </c>
      <c r="D88" t="s">
        <v>12924</v>
      </c>
      <c r="E88">
        <v>12.75</v>
      </c>
    </row>
    <row r="89" spans="1:5" x14ac:dyDescent="0.25">
      <c r="A89" t="s">
        <v>3651</v>
      </c>
      <c r="B89">
        <v>758</v>
      </c>
      <c r="C89" t="s">
        <v>12852</v>
      </c>
      <c r="D89" t="s">
        <v>12599</v>
      </c>
      <c r="E89">
        <v>5.61</v>
      </c>
    </row>
    <row r="90" spans="1:5" x14ac:dyDescent="0.25">
      <c r="A90" t="s">
        <v>12499</v>
      </c>
      <c r="B90">
        <v>966</v>
      </c>
      <c r="C90" t="s">
        <v>12867</v>
      </c>
      <c r="D90" t="s">
        <v>12615</v>
      </c>
      <c r="E90">
        <v>3.8250000000000002</v>
      </c>
    </row>
    <row r="91" spans="1:5" x14ac:dyDescent="0.25">
      <c r="A91" t="s">
        <v>11496</v>
      </c>
      <c r="B91">
        <v>890</v>
      </c>
      <c r="C91" t="s">
        <v>12907</v>
      </c>
      <c r="D91" t="s">
        <v>12438</v>
      </c>
      <c r="E91">
        <v>5.61</v>
      </c>
    </row>
    <row r="92" spans="1:5" x14ac:dyDescent="0.25">
      <c r="A92" t="s">
        <v>3582</v>
      </c>
      <c r="B92">
        <v>722</v>
      </c>
      <c r="C92" t="s">
        <v>12345</v>
      </c>
      <c r="D92" t="s">
        <v>12293</v>
      </c>
      <c r="E92">
        <v>4.68</v>
      </c>
    </row>
    <row r="93" spans="1:5" x14ac:dyDescent="0.25">
      <c r="A93" t="s">
        <v>3582</v>
      </c>
      <c r="B93">
        <v>722</v>
      </c>
      <c r="C93" t="s">
        <v>12527</v>
      </c>
      <c r="D93" t="s">
        <v>12154</v>
      </c>
      <c r="E93">
        <v>5.46</v>
      </c>
    </row>
    <row r="94" spans="1:5" x14ac:dyDescent="0.25">
      <c r="A94" t="s">
        <v>11496</v>
      </c>
      <c r="B94">
        <v>890</v>
      </c>
      <c r="C94" t="s">
        <v>13089</v>
      </c>
      <c r="D94" t="s">
        <v>12925</v>
      </c>
      <c r="E94">
        <v>7.3949999999999996</v>
      </c>
    </row>
    <row r="95" spans="1:5" x14ac:dyDescent="0.25">
      <c r="A95" t="s">
        <v>12495</v>
      </c>
      <c r="B95">
        <v>964</v>
      </c>
      <c r="C95" t="s">
        <v>13511</v>
      </c>
      <c r="D95" t="s">
        <v>13161</v>
      </c>
      <c r="E95">
        <v>12.24</v>
      </c>
    </row>
    <row r="96" spans="1:5" x14ac:dyDescent="0.25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25">
      <c r="A97" t="s">
        <v>3015</v>
      </c>
      <c r="B97">
        <v>428</v>
      </c>
      <c r="C97" t="s">
        <v>12512</v>
      </c>
      <c r="D97" t="s">
        <v>12339</v>
      </c>
      <c r="E97">
        <v>5.8650000000000002</v>
      </c>
    </row>
    <row r="98" spans="1:5" x14ac:dyDescent="0.25">
      <c r="A98" t="s">
        <v>12499</v>
      </c>
      <c r="B98">
        <v>966</v>
      </c>
      <c r="C98" t="s">
        <v>13105</v>
      </c>
      <c r="D98" t="s">
        <v>12943</v>
      </c>
      <c r="E98">
        <v>8.16</v>
      </c>
    </row>
    <row r="99" spans="1:5" x14ac:dyDescent="0.25">
      <c r="A99" t="s">
        <v>12204</v>
      </c>
      <c r="B99">
        <v>938</v>
      </c>
      <c r="C99" t="s">
        <v>13578</v>
      </c>
      <c r="D99" t="s">
        <v>13225</v>
      </c>
      <c r="E99">
        <v>8.67</v>
      </c>
    </row>
    <row r="100" spans="1:5" x14ac:dyDescent="0.25">
      <c r="A100" t="s">
        <v>3460</v>
      </c>
      <c r="B100">
        <v>659</v>
      </c>
      <c r="C100" t="s">
        <v>12894</v>
      </c>
      <c r="D100" t="s">
        <v>12646</v>
      </c>
      <c r="E100">
        <v>4.59</v>
      </c>
    </row>
    <row r="101" spans="1:5" x14ac:dyDescent="0.25">
      <c r="A101" t="s">
        <v>2592</v>
      </c>
      <c r="B101">
        <v>205</v>
      </c>
      <c r="C101" t="s">
        <v>12896</v>
      </c>
      <c r="D101" t="s">
        <v>12650</v>
      </c>
      <c r="E101">
        <v>8.67</v>
      </c>
    </row>
    <row r="102" spans="1:5" x14ac:dyDescent="0.25">
      <c r="A102" t="s">
        <v>3697</v>
      </c>
      <c r="B102">
        <v>782</v>
      </c>
      <c r="C102" t="s">
        <v>11898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12544</v>
      </c>
      <c r="D103" t="s">
        <v>12383</v>
      </c>
      <c r="E103">
        <v>7.8</v>
      </c>
    </row>
    <row r="104" spans="1:5" x14ac:dyDescent="0.25">
      <c r="A104" t="s">
        <v>3767</v>
      </c>
      <c r="B104">
        <v>817</v>
      </c>
      <c r="C104" t="s">
        <v>12458</v>
      </c>
      <c r="D104" t="s">
        <v>12392</v>
      </c>
      <c r="E104">
        <v>8.16</v>
      </c>
    </row>
    <row r="105" spans="1:5" x14ac:dyDescent="0.25">
      <c r="A105" t="s">
        <v>2252</v>
      </c>
      <c r="B105">
        <v>28</v>
      </c>
      <c r="C105" t="s">
        <v>12844</v>
      </c>
      <c r="D105" t="s">
        <v>12591</v>
      </c>
      <c r="E105">
        <v>3.64</v>
      </c>
    </row>
    <row r="106" spans="1:5" x14ac:dyDescent="0.25">
      <c r="A106" t="s">
        <v>3651</v>
      </c>
      <c r="B106">
        <v>758</v>
      </c>
      <c r="C106" t="s">
        <v>12864</v>
      </c>
      <c r="D106" t="s">
        <v>12612</v>
      </c>
      <c r="E106">
        <v>4.08</v>
      </c>
    </row>
    <row r="107" spans="1:5" x14ac:dyDescent="0.25">
      <c r="A107" t="s">
        <v>11428</v>
      </c>
      <c r="B107">
        <v>860</v>
      </c>
      <c r="C107" t="s">
        <v>12874</v>
      </c>
      <c r="D107" t="s">
        <v>12622</v>
      </c>
      <c r="E107">
        <v>8.5</v>
      </c>
    </row>
    <row r="108" spans="1:5" x14ac:dyDescent="0.25">
      <c r="A108" t="s">
        <v>2704</v>
      </c>
      <c r="B108">
        <v>268</v>
      </c>
      <c r="C108" t="s">
        <v>12433</v>
      </c>
      <c r="D108" t="s">
        <v>12432</v>
      </c>
      <c r="E108">
        <v>12.75</v>
      </c>
    </row>
    <row r="109" spans="1:5" x14ac:dyDescent="0.25">
      <c r="A109" t="s">
        <v>2925</v>
      </c>
      <c r="B109">
        <v>382</v>
      </c>
      <c r="C109" t="s">
        <v>12008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12086</v>
      </c>
      <c r="D110" t="s">
        <v>12085</v>
      </c>
      <c r="E110">
        <v>9.18</v>
      </c>
    </row>
    <row r="111" spans="1:5" x14ac:dyDescent="0.25">
      <c r="A111" t="s">
        <v>2250</v>
      </c>
      <c r="B111">
        <v>27</v>
      </c>
      <c r="C111" t="s">
        <v>12348</v>
      </c>
      <c r="D111" t="s">
        <v>12326</v>
      </c>
      <c r="E111">
        <v>11.22</v>
      </c>
    </row>
    <row r="112" spans="1:5" x14ac:dyDescent="0.25">
      <c r="A112" t="s">
        <v>2704</v>
      </c>
      <c r="B112">
        <v>268</v>
      </c>
      <c r="C112" t="s">
        <v>13046</v>
      </c>
      <c r="D112" t="s">
        <v>12963</v>
      </c>
      <c r="E112">
        <v>9.18</v>
      </c>
    </row>
    <row r="113" spans="1:5" x14ac:dyDescent="0.25">
      <c r="A113" t="s">
        <v>3333</v>
      </c>
      <c r="B113">
        <v>593</v>
      </c>
      <c r="C113" t="s">
        <v>11936</v>
      </c>
      <c r="D113" t="s">
        <v>11727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12863</v>
      </c>
      <c r="D114" t="s">
        <v>12611</v>
      </c>
      <c r="E114">
        <v>5</v>
      </c>
    </row>
    <row r="115" spans="1:5" x14ac:dyDescent="0.25">
      <c r="A115" t="s">
        <v>11438</v>
      </c>
      <c r="B115">
        <v>859</v>
      </c>
      <c r="C115" t="s">
        <v>12876</v>
      </c>
      <c r="D115" t="s">
        <v>12624</v>
      </c>
      <c r="E115">
        <v>8</v>
      </c>
    </row>
    <row r="116" spans="1:5" x14ac:dyDescent="0.25">
      <c r="A116" t="s">
        <v>2278</v>
      </c>
      <c r="B116">
        <v>41</v>
      </c>
      <c r="C116" t="s">
        <v>12782</v>
      </c>
      <c r="D116" t="s">
        <v>12636</v>
      </c>
      <c r="E116">
        <v>9.25</v>
      </c>
    </row>
    <row r="117" spans="1:5" x14ac:dyDescent="0.25">
      <c r="A117" t="s">
        <v>2278</v>
      </c>
      <c r="B117">
        <v>41</v>
      </c>
      <c r="C117" t="s">
        <v>12900</v>
      </c>
      <c r="D117" t="s">
        <v>12654</v>
      </c>
      <c r="E117">
        <v>15.75</v>
      </c>
    </row>
    <row r="118" spans="1:5" x14ac:dyDescent="0.25">
      <c r="A118" t="s">
        <v>3413</v>
      </c>
      <c r="B118">
        <v>635</v>
      </c>
      <c r="C118" t="s">
        <v>12905</v>
      </c>
      <c r="D118" t="s">
        <v>12661</v>
      </c>
      <c r="E118">
        <v>5.46</v>
      </c>
    </row>
    <row r="119" spans="1:5" x14ac:dyDescent="0.25">
      <c r="A119" t="s">
        <v>3635</v>
      </c>
      <c r="B119">
        <v>750</v>
      </c>
      <c r="C119" t="s">
        <v>11992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12002</v>
      </c>
      <c r="D120" t="s">
        <v>10647</v>
      </c>
      <c r="E120">
        <v>4.9400000000000004</v>
      </c>
    </row>
    <row r="121" spans="1:5" x14ac:dyDescent="0.25">
      <c r="A121" t="s">
        <v>12206</v>
      </c>
      <c r="B121">
        <v>908</v>
      </c>
      <c r="C121" t="s">
        <v>12206</v>
      </c>
      <c r="D121" t="s">
        <v>12389</v>
      </c>
      <c r="E121">
        <v>6.375</v>
      </c>
    </row>
    <row r="122" spans="1:5" x14ac:dyDescent="0.25">
      <c r="A122" t="s">
        <v>2264</v>
      </c>
      <c r="B122">
        <v>34</v>
      </c>
      <c r="C122" t="s">
        <v>12206</v>
      </c>
      <c r="D122" t="s">
        <v>12390</v>
      </c>
      <c r="E122">
        <v>2.04</v>
      </c>
    </row>
    <row r="123" spans="1:5" x14ac:dyDescent="0.25">
      <c r="A123" t="s">
        <v>12266</v>
      </c>
      <c r="B123">
        <v>941</v>
      </c>
      <c r="C123" t="s">
        <v>12556</v>
      </c>
      <c r="D123" t="s">
        <v>12412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13055</v>
      </c>
      <c r="D124" t="s">
        <v>12941</v>
      </c>
      <c r="E124">
        <v>7.14</v>
      </c>
    </row>
    <row r="125" spans="1:5" x14ac:dyDescent="0.25">
      <c r="A125" t="s">
        <v>12495</v>
      </c>
      <c r="B125">
        <v>964</v>
      </c>
      <c r="C125" t="s">
        <v>13051</v>
      </c>
      <c r="D125" t="s">
        <v>12951</v>
      </c>
      <c r="E125">
        <v>5.61</v>
      </c>
    </row>
    <row r="126" spans="1:5" x14ac:dyDescent="0.25">
      <c r="A126" t="s">
        <v>3313</v>
      </c>
      <c r="B126">
        <v>582</v>
      </c>
      <c r="C126" t="s">
        <v>13115</v>
      </c>
      <c r="D126" t="s">
        <v>12960</v>
      </c>
      <c r="E126">
        <v>5.98</v>
      </c>
    </row>
    <row r="127" spans="1:5" x14ac:dyDescent="0.25">
      <c r="A127" t="s">
        <v>12270</v>
      </c>
      <c r="B127">
        <v>943</v>
      </c>
      <c r="C127" t="s">
        <v>13390</v>
      </c>
      <c r="D127" t="s">
        <v>13178</v>
      </c>
      <c r="E127">
        <v>6.375</v>
      </c>
    </row>
    <row r="128" spans="1:5" x14ac:dyDescent="0.25">
      <c r="A128" t="s">
        <v>3582</v>
      </c>
      <c r="B128">
        <v>722</v>
      </c>
      <c r="C128" t="s">
        <v>12543</v>
      </c>
      <c r="D128" t="s">
        <v>12361</v>
      </c>
      <c r="E128">
        <v>5.2</v>
      </c>
    </row>
    <row r="129" spans="1:5" x14ac:dyDescent="0.25">
      <c r="A129" t="s">
        <v>2890</v>
      </c>
      <c r="B129">
        <v>365</v>
      </c>
      <c r="C129" t="s">
        <v>12830</v>
      </c>
      <c r="D129" t="s">
        <v>12577</v>
      </c>
      <c r="E129">
        <v>5.46</v>
      </c>
    </row>
    <row r="130" spans="1:5" x14ac:dyDescent="0.25">
      <c r="A130" t="s">
        <v>3582</v>
      </c>
      <c r="B130">
        <v>722</v>
      </c>
      <c r="C130" t="s">
        <v>13404</v>
      </c>
      <c r="D130" t="s">
        <v>13342</v>
      </c>
      <c r="E130">
        <v>6.76</v>
      </c>
    </row>
    <row r="131" spans="1:5" x14ac:dyDescent="0.25">
      <c r="A131" t="s">
        <v>3582</v>
      </c>
      <c r="B131">
        <v>722</v>
      </c>
      <c r="C131" t="s">
        <v>12858</v>
      </c>
      <c r="D131" t="s">
        <v>12606</v>
      </c>
      <c r="E131">
        <v>4.42</v>
      </c>
    </row>
    <row r="132" spans="1:5" x14ac:dyDescent="0.25">
      <c r="A132" t="s">
        <v>2890</v>
      </c>
      <c r="B132">
        <v>365</v>
      </c>
      <c r="C132" t="s">
        <v>13104</v>
      </c>
      <c r="D132" t="s">
        <v>12942</v>
      </c>
      <c r="E132">
        <v>4.16</v>
      </c>
    </row>
    <row r="133" spans="1:5" x14ac:dyDescent="0.25">
      <c r="A133" t="s">
        <v>2890</v>
      </c>
      <c r="B133">
        <v>365</v>
      </c>
      <c r="C133" t="s">
        <v>13384</v>
      </c>
      <c r="D133" t="s">
        <v>13263</v>
      </c>
      <c r="E133">
        <v>4.42</v>
      </c>
    </row>
    <row r="134" spans="1:5" x14ac:dyDescent="0.25">
      <c r="A134" t="s">
        <v>11504</v>
      </c>
      <c r="B134">
        <v>894</v>
      </c>
      <c r="C134" t="s">
        <v>11940</v>
      </c>
      <c r="D134" t="s">
        <v>11795</v>
      </c>
      <c r="E134">
        <v>5.72</v>
      </c>
    </row>
    <row r="135" spans="1:5" x14ac:dyDescent="0.25">
      <c r="A135" t="s">
        <v>11504</v>
      </c>
      <c r="B135">
        <v>894</v>
      </c>
      <c r="C135" t="s">
        <v>13408</v>
      </c>
      <c r="D135" t="s">
        <v>13243</v>
      </c>
      <c r="E135">
        <v>4.16</v>
      </c>
    </row>
    <row r="136" spans="1:5" x14ac:dyDescent="0.25">
      <c r="A136" t="s">
        <v>3486</v>
      </c>
      <c r="B136">
        <v>672</v>
      </c>
      <c r="C136" t="s">
        <v>13048</v>
      </c>
      <c r="D136" t="s">
        <v>12974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13416</v>
      </c>
      <c r="D137" t="s">
        <v>13307</v>
      </c>
      <c r="E137">
        <v>2.6</v>
      </c>
    </row>
    <row r="138" spans="1:5" x14ac:dyDescent="0.25">
      <c r="A138" t="s">
        <v>3555</v>
      </c>
      <c r="B138">
        <v>707</v>
      </c>
      <c r="C138" t="s">
        <v>12051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12880</v>
      </c>
      <c r="D139" t="s">
        <v>12628</v>
      </c>
      <c r="E139">
        <v>4.42</v>
      </c>
    </row>
    <row r="140" spans="1:5" x14ac:dyDescent="0.25">
      <c r="A140" t="s">
        <v>3590</v>
      </c>
      <c r="B140">
        <v>726</v>
      </c>
      <c r="C140" t="s">
        <v>13056</v>
      </c>
      <c r="D140" t="s">
        <v>12949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12886</v>
      </c>
      <c r="D141" t="s">
        <v>12634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12869</v>
      </c>
      <c r="D142" t="s">
        <v>12617</v>
      </c>
      <c r="E142">
        <v>6.12</v>
      </c>
    </row>
    <row r="143" spans="1:5" x14ac:dyDescent="0.25">
      <c r="A143" t="s">
        <v>3641</v>
      </c>
      <c r="B143">
        <v>753</v>
      </c>
      <c r="C143" t="s">
        <v>12046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12892</v>
      </c>
      <c r="D144" t="s">
        <v>12642</v>
      </c>
      <c r="E144">
        <v>6.375</v>
      </c>
    </row>
    <row r="145" spans="1:5" x14ac:dyDescent="0.25">
      <c r="A145" t="s">
        <v>3830</v>
      </c>
      <c r="B145">
        <v>261</v>
      </c>
      <c r="C145" t="s">
        <v>12786</v>
      </c>
      <c r="D145" t="s">
        <v>12644</v>
      </c>
      <c r="E145">
        <v>6.375</v>
      </c>
    </row>
    <row r="146" spans="1:5" x14ac:dyDescent="0.25">
      <c r="A146" t="s">
        <v>12200</v>
      </c>
      <c r="B146">
        <v>906</v>
      </c>
      <c r="C146" t="s">
        <v>12910</v>
      </c>
      <c r="D146" t="s">
        <v>12666</v>
      </c>
      <c r="E146">
        <v>7</v>
      </c>
    </row>
    <row r="147" spans="1:5" x14ac:dyDescent="0.25">
      <c r="A147" t="s">
        <v>2401</v>
      </c>
      <c r="B147">
        <v>107</v>
      </c>
      <c r="C147" t="s">
        <v>13102</v>
      </c>
      <c r="D147" t="s">
        <v>12939</v>
      </c>
      <c r="E147">
        <v>7</v>
      </c>
    </row>
    <row r="148" spans="1:5" x14ac:dyDescent="0.25">
      <c r="A148" t="s">
        <v>2993</v>
      </c>
      <c r="B148">
        <v>417</v>
      </c>
      <c r="C148" t="s">
        <v>12454</v>
      </c>
      <c r="D148" t="s">
        <v>12363</v>
      </c>
      <c r="E148">
        <v>7.14</v>
      </c>
    </row>
    <row r="149" spans="1:5" x14ac:dyDescent="0.25">
      <c r="A149" t="s">
        <v>2252</v>
      </c>
      <c r="B149">
        <v>28</v>
      </c>
      <c r="C149" t="s">
        <v>12854</v>
      </c>
      <c r="D149" t="s">
        <v>12602</v>
      </c>
      <c r="E149">
        <v>7.28</v>
      </c>
    </row>
    <row r="150" spans="1:5" x14ac:dyDescent="0.25">
      <c r="A150" t="s">
        <v>3767</v>
      </c>
      <c r="B150">
        <v>817</v>
      </c>
      <c r="C150" t="s">
        <v>12781</v>
      </c>
      <c r="D150" t="s">
        <v>12638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12011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12346</v>
      </c>
      <c r="D152" t="s">
        <v>12291</v>
      </c>
      <c r="E152">
        <v>4.59</v>
      </c>
    </row>
    <row r="153" spans="1:5" x14ac:dyDescent="0.25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12351</v>
      </c>
      <c r="D154" t="s">
        <v>12159</v>
      </c>
      <c r="E154">
        <v>6</v>
      </c>
    </row>
    <row r="155" spans="1:5" x14ac:dyDescent="0.25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25">
      <c r="A156" t="s">
        <v>3767</v>
      </c>
      <c r="B156">
        <v>817</v>
      </c>
      <c r="C156" t="s">
        <v>11945</v>
      </c>
      <c r="D156" t="s">
        <v>11631</v>
      </c>
      <c r="E156">
        <v>9.18</v>
      </c>
    </row>
    <row r="157" spans="1:5" x14ac:dyDescent="0.25">
      <c r="A157" t="s">
        <v>3486</v>
      </c>
      <c r="B157">
        <v>672</v>
      </c>
      <c r="C157" t="s">
        <v>12509</v>
      </c>
      <c r="D157" t="s">
        <v>12305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11949</v>
      </c>
      <c r="D158" t="s">
        <v>11799</v>
      </c>
      <c r="E158">
        <v>2.86</v>
      </c>
    </row>
    <row r="159" spans="1:5" x14ac:dyDescent="0.25">
      <c r="A159" t="s">
        <v>2611</v>
      </c>
      <c r="B159">
        <v>218</v>
      </c>
      <c r="C159" t="s">
        <v>12064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12196</v>
      </c>
      <c r="D160" t="s">
        <v>12100</v>
      </c>
      <c r="E160">
        <v>5.75</v>
      </c>
    </row>
    <row r="161" spans="1:5" x14ac:dyDescent="0.25">
      <c r="A161" t="s">
        <v>2250</v>
      </c>
      <c r="B161">
        <v>27</v>
      </c>
      <c r="C161" t="s">
        <v>12540</v>
      </c>
      <c r="D161" t="s">
        <v>12135</v>
      </c>
      <c r="E161">
        <v>6.375</v>
      </c>
    </row>
    <row r="162" spans="1:5" x14ac:dyDescent="0.25">
      <c r="A162" t="s">
        <v>2890</v>
      </c>
      <c r="B162">
        <v>365</v>
      </c>
      <c r="C162" t="s">
        <v>13119</v>
      </c>
      <c r="D162" t="s">
        <v>12967</v>
      </c>
      <c r="E162">
        <v>7.28</v>
      </c>
    </row>
    <row r="163" spans="1:5" x14ac:dyDescent="0.25">
      <c r="A163" t="s">
        <v>3582</v>
      </c>
      <c r="B163">
        <v>722</v>
      </c>
      <c r="C163" t="s">
        <v>11984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12448</v>
      </c>
      <c r="D164" t="s">
        <v>12403</v>
      </c>
      <c r="E164">
        <v>12.5</v>
      </c>
    </row>
    <row r="165" spans="1:5" x14ac:dyDescent="0.25">
      <c r="A165" t="s">
        <v>2250</v>
      </c>
      <c r="B165">
        <v>27</v>
      </c>
      <c r="C165" t="s">
        <v>12541</v>
      </c>
      <c r="D165" t="s">
        <v>12148</v>
      </c>
      <c r="E165">
        <v>13.78</v>
      </c>
    </row>
    <row r="166" spans="1:5" x14ac:dyDescent="0.25">
      <c r="A166" t="s">
        <v>2430</v>
      </c>
      <c r="B166">
        <v>121</v>
      </c>
      <c r="C166" t="s">
        <v>12467</v>
      </c>
      <c r="D166" t="s">
        <v>12328</v>
      </c>
      <c r="E166">
        <v>5.25</v>
      </c>
    </row>
    <row r="167" spans="1:5" x14ac:dyDescent="0.25">
      <c r="A167" t="s">
        <v>2814</v>
      </c>
      <c r="B167">
        <v>326</v>
      </c>
      <c r="C167" t="s">
        <v>12783</v>
      </c>
      <c r="D167" t="s">
        <v>12647</v>
      </c>
      <c r="E167">
        <v>8.25</v>
      </c>
    </row>
    <row r="168" spans="1:5" x14ac:dyDescent="0.25">
      <c r="A168" t="s">
        <v>23</v>
      </c>
      <c r="B168">
        <v>255</v>
      </c>
      <c r="C168" t="s">
        <v>12788</v>
      </c>
      <c r="D168" t="s">
        <v>12657</v>
      </c>
      <c r="E168">
        <v>3</v>
      </c>
    </row>
    <row r="169" spans="1:5" x14ac:dyDescent="0.25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25">
      <c r="A170" t="s">
        <v>2592</v>
      </c>
      <c r="B170">
        <v>205</v>
      </c>
      <c r="C170" t="s">
        <v>12067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12065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11981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11985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11995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11996</v>
      </c>
      <c r="D175" t="s">
        <v>8956</v>
      </c>
      <c r="E175">
        <v>13.5</v>
      </c>
    </row>
    <row r="176" spans="1:5" x14ac:dyDescent="0.25">
      <c r="A176" t="s">
        <v>11502</v>
      </c>
      <c r="B176">
        <v>893</v>
      </c>
      <c r="C176" t="s">
        <v>12871</v>
      </c>
      <c r="D176" t="s">
        <v>12619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12882</v>
      </c>
      <c r="D177" t="s">
        <v>12630</v>
      </c>
      <c r="E177">
        <v>2.5</v>
      </c>
    </row>
    <row r="178" spans="1:5" x14ac:dyDescent="0.25">
      <c r="A178" t="s">
        <v>3590</v>
      </c>
      <c r="B178">
        <v>726</v>
      </c>
      <c r="C178" t="s">
        <v>12537</v>
      </c>
      <c r="D178" t="s">
        <v>12164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12024</v>
      </c>
      <c r="D179" t="s">
        <v>5944</v>
      </c>
      <c r="E179">
        <v>3.06</v>
      </c>
    </row>
    <row r="180" spans="1:5" x14ac:dyDescent="0.25">
      <c r="A180" t="s">
        <v>11496</v>
      </c>
      <c r="B180">
        <v>890</v>
      </c>
      <c r="C180" t="s">
        <v>12884</v>
      </c>
      <c r="D180" t="s">
        <v>12632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12885</v>
      </c>
      <c r="D181" t="s">
        <v>12633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12465</v>
      </c>
      <c r="D182" t="s">
        <v>12373</v>
      </c>
      <c r="E182">
        <v>3.3149999999999999</v>
      </c>
    </row>
    <row r="183" spans="1:5" x14ac:dyDescent="0.25">
      <c r="A183" t="s">
        <v>11502</v>
      </c>
      <c r="B183">
        <v>893</v>
      </c>
      <c r="C183" t="s">
        <v>12548</v>
      </c>
      <c r="D183" t="s">
        <v>12414</v>
      </c>
      <c r="E183">
        <v>5.61</v>
      </c>
    </row>
    <row r="184" spans="1:5" x14ac:dyDescent="0.25">
      <c r="A184" t="s">
        <v>12266</v>
      </c>
      <c r="B184">
        <v>941</v>
      </c>
      <c r="C184" t="s">
        <v>12895</v>
      </c>
      <c r="D184" t="s">
        <v>12649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12848</v>
      </c>
      <c r="D185" t="s">
        <v>12595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12001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11913</v>
      </c>
      <c r="D187" t="s">
        <v>11713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12188</v>
      </c>
      <c r="D190" t="s">
        <v>12080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11921</v>
      </c>
      <c r="D191" t="s">
        <v>11629</v>
      </c>
      <c r="E191">
        <v>8.58</v>
      </c>
    </row>
    <row r="192" spans="1:5" x14ac:dyDescent="0.25">
      <c r="A192" t="s">
        <v>2592</v>
      </c>
      <c r="B192">
        <v>205</v>
      </c>
      <c r="C192" t="s">
        <v>11978</v>
      </c>
      <c r="D192" t="s">
        <v>4594</v>
      </c>
      <c r="E192">
        <v>10</v>
      </c>
    </row>
    <row r="193" spans="1:5" x14ac:dyDescent="0.25">
      <c r="A193" t="s">
        <v>11510</v>
      </c>
      <c r="B193">
        <v>897</v>
      </c>
      <c r="C193" t="s">
        <v>12524</v>
      </c>
      <c r="D193" t="s">
        <v>12142</v>
      </c>
      <c r="E193">
        <v>10.455</v>
      </c>
    </row>
    <row r="194" spans="1:5" x14ac:dyDescent="0.25">
      <c r="A194" t="s">
        <v>3582</v>
      </c>
      <c r="B194">
        <v>722</v>
      </c>
      <c r="C194" t="s">
        <v>11932</v>
      </c>
      <c r="D194" t="s">
        <v>11612</v>
      </c>
      <c r="E194">
        <v>11.44</v>
      </c>
    </row>
    <row r="195" spans="1:5" x14ac:dyDescent="0.25">
      <c r="A195" t="s">
        <v>3582</v>
      </c>
      <c r="B195">
        <v>722</v>
      </c>
      <c r="C195" t="s">
        <v>12519</v>
      </c>
      <c r="D195" t="s">
        <v>12343</v>
      </c>
      <c r="E195">
        <v>11.96</v>
      </c>
    </row>
    <row r="196" spans="1:5" x14ac:dyDescent="0.25">
      <c r="A196" t="s">
        <v>2250</v>
      </c>
      <c r="B196">
        <v>27</v>
      </c>
      <c r="C196" t="s">
        <v>12348</v>
      </c>
      <c r="D196" t="s">
        <v>12325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12014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12006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11980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25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25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25">
      <c r="A203" t="s">
        <v>2401</v>
      </c>
      <c r="B203">
        <v>107</v>
      </c>
      <c r="C203" t="s">
        <v>12190</v>
      </c>
      <c r="D203" t="s">
        <v>12089</v>
      </c>
      <c r="E203">
        <v>13</v>
      </c>
    </row>
    <row r="204" spans="1:5" x14ac:dyDescent="0.25">
      <c r="A204" t="s">
        <v>2728</v>
      </c>
      <c r="B204">
        <v>282</v>
      </c>
      <c r="C204" t="s">
        <v>11956</v>
      </c>
      <c r="D204" t="s">
        <v>11781</v>
      </c>
      <c r="E204">
        <v>12.5</v>
      </c>
    </row>
    <row r="205" spans="1:5" x14ac:dyDescent="0.25">
      <c r="A205" t="s">
        <v>3460</v>
      </c>
      <c r="B205">
        <v>659</v>
      </c>
      <c r="C205" t="s">
        <v>12445</v>
      </c>
      <c r="D205" t="s">
        <v>12444</v>
      </c>
      <c r="E205">
        <v>5.61</v>
      </c>
    </row>
    <row r="206" spans="1:5" x14ac:dyDescent="0.25">
      <c r="A206" t="s">
        <v>3526</v>
      </c>
      <c r="B206">
        <v>692</v>
      </c>
      <c r="C206" t="s">
        <v>12061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11906</v>
      </c>
      <c r="D207" t="s">
        <v>11605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11998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11961</v>
      </c>
      <c r="D209" t="s">
        <v>11747</v>
      </c>
      <c r="E209">
        <v>5.25</v>
      </c>
    </row>
    <row r="210" spans="1:5" x14ac:dyDescent="0.25">
      <c r="A210" t="s">
        <v>2592</v>
      </c>
      <c r="B210">
        <v>205</v>
      </c>
      <c r="C210" t="s">
        <v>12036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11982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11966</v>
      </c>
      <c r="D212" t="s">
        <v>11540</v>
      </c>
      <c r="E212">
        <v>7.25</v>
      </c>
    </row>
    <row r="213" spans="1:5" x14ac:dyDescent="0.25">
      <c r="A213" t="s">
        <v>2938</v>
      </c>
      <c r="B213">
        <v>389</v>
      </c>
      <c r="C213" t="s">
        <v>11989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11912</v>
      </c>
      <c r="D214" t="s">
        <v>11704</v>
      </c>
      <c r="E214">
        <v>9</v>
      </c>
    </row>
    <row r="215" spans="1:5" x14ac:dyDescent="0.25">
      <c r="A215" t="s">
        <v>3361</v>
      </c>
      <c r="B215">
        <v>607</v>
      </c>
      <c r="C215" t="s">
        <v>12192</v>
      </c>
      <c r="D215" t="s">
        <v>12093</v>
      </c>
      <c r="E215">
        <v>9</v>
      </c>
    </row>
    <row r="216" spans="1:5" x14ac:dyDescent="0.25">
      <c r="A216" t="s">
        <v>11428</v>
      </c>
      <c r="B216">
        <v>860</v>
      </c>
      <c r="C216" t="s">
        <v>12012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11947</v>
      </c>
      <c r="D218" t="s">
        <v>11789</v>
      </c>
      <c r="E218">
        <v>7</v>
      </c>
    </row>
    <row r="219" spans="1:5" x14ac:dyDescent="0.25">
      <c r="A219" t="s">
        <v>2814</v>
      </c>
      <c r="B219">
        <v>326</v>
      </c>
      <c r="C219" t="s">
        <v>12194</v>
      </c>
      <c r="D219" t="s">
        <v>12097</v>
      </c>
      <c r="E219">
        <v>13.75</v>
      </c>
    </row>
    <row r="220" spans="1:5" x14ac:dyDescent="0.25">
      <c r="A220" t="s">
        <v>2430</v>
      </c>
      <c r="B220">
        <v>121</v>
      </c>
      <c r="C220" t="s">
        <v>12185</v>
      </c>
      <c r="D220" t="s">
        <v>12074</v>
      </c>
      <c r="E220">
        <v>11.25</v>
      </c>
    </row>
    <row r="221" spans="1:5" x14ac:dyDescent="0.25">
      <c r="A221" t="s">
        <v>12282</v>
      </c>
      <c r="B221">
        <v>949</v>
      </c>
      <c r="C221" t="s">
        <v>12829</v>
      </c>
      <c r="D221" t="s">
        <v>12576</v>
      </c>
      <c r="E221">
        <v>14</v>
      </c>
    </row>
    <row r="222" spans="1:5" x14ac:dyDescent="0.25">
      <c r="A222" t="s">
        <v>2592</v>
      </c>
      <c r="B222">
        <v>205</v>
      </c>
      <c r="C222" t="s">
        <v>12832</v>
      </c>
      <c r="D222" t="s">
        <v>12579</v>
      </c>
      <c r="E222">
        <v>4.08</v>
      </c>
    </row>
    <row r="223" spans="1:5" x14ac:dyDescent="0.25">
      <c r="A223" t="s">
        <v>2244</v>
      </c>
      <c r="B223">
        <v>23</v>
      </c>
      <c r="C223" t="s">
        <v>12833</v>
      </c>
      <c r="D223" t="s">
        <v>12580</v>
      </c>
      <c r="E223">
        <v>10.455</v>
      </c>
    </row>
    <row r="224" spans="1:5" x14ac:dyDescent="0.25">
      <c r="A224" t="s">
        <v>2592</v>
      </c>
      <c r="B224">
        <v>205</v>
      </c>
      <c r="C224" t="s">
        <v>12834</v>
      </c>
      <c r="D224" t="s">
        <v>12581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12836</v>
      </c>
      <c r="D225" t="s">
        <v>12583</v>
      </c>
      <c r="E225">
        <v>5.2</v>
      </c>
    </row>
    <row r="226" spans="1:5" x14ac:dyDescent="0.25">
      <c r="A226" t="s">
        <v>3590</v>
      </c>
      <c r="B226">
        <v>726</v>
      </c>
      <c r="C226" t="s">
        <v>12837</v>
      </c>
      <c r="D226" t="s">
        <v>12584</v>
      </c>
      <c r="E226">
        <v>6.8849999999999998</v>
      </c>
    </row>
    <row r="227" spans="1:5" x14ac:dyDescent="0.25">
      <c r="A227" t="s">
        <v>11510</v>
      </c>
      <c r="B227">
        <v>897</v>
      </c>
      <c r="C227" t="s">
        <v>12838</v>
      </c>
      <c r="D227" t="s">
        <v>12585</v>
      </c>
      <c r="E227">
        <v>13.52</v>
      </c>
    </row>
    <row r="228" spans="1:5" x14ac:dyDescent="0.25">
      <c r="A228" t="s">
        <v>3454</v>
      </c>
      <c r="B228">
        <v>656</v>
      </c>
      <c r="C228" t="s">
        <v>12839</v>
      </c>
      <c r="D228" t="s">
        <v>12586</v>
      </c>
      <c r="E228">
        <v>7.8</v>
      </c>
    </row>
    <row r="229" spans="1:5" x14ac:dyDescent="0.25">
      <c r="A229" t="s">
        <v>12495</v>
      </c>
      <c r="B229">
        <v>964</v>
      </c>
      <c r="C229" t="s">
        <v>12840</v>
      </c>
      <c r="D229" t="s">
        <v>12587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12841</v>
      </c>
      <c r="D230" t="s">
        <v>12588</v>
      </c>
      <c r="E230">
        <v>7.65</v>
      </c>
    </row>
    <row r="231" spans="1:5" x14ac:dyDescent="0.25">
      <c r="A231" t="s">
        <v>3767</v>
      </c>
      <c r="B231">
        <v>817</v>
      </c>
      <c r="C231" t="s">
        <v>12842</v>
      </c>
      <c r="D231" t="s">
        <v>12589</v>
      </c>
      <c r="E231">
        <v>6.63</v>
      </c>
    </row>
    <row r="232" spans="1:5" x14ac:dyDescent="0.25">
      <c r="A232" t="s">
        <v>3349</v>
      </c>
      <c r="B232">
        <v>601</v>
      </c>
      <c r="C232" t="s">
        <v>12845</v>
      </c>
      <c r="D232" t="s">
        <v>12592</v>
      </c>
      <c r="E232">
        <v>7.14</v>
      </c>
    </row>
    <row r="233" spans="1:5" x14ac:dyDescent="0.25">
      <c r="A233" t="s">
        <v>2588</v>
      </c>
      <c r="B233">
        <v>203</v>
      </c>
      <c r="C233" t="s">
        <v>12846</v>
      </c>
      <c r="D233" t="s">
        <v>12593</v>
      </c>
      <c r="E233">
        <v>4</v>
      </c>
    </row>
    <row r="234" spans="1:5" x14ac:dyDescent="0.25">
      <c r="A234" t="s">
        <v>3661</v>
      </c>
      <c r="B234">
        <v>764</v>
      </c>
      <c r="C234" t="s">
        <v>12847</v>
      </c>
      <c r="D234" t="s">
        <v>12594</v>
      </c>
      <c r="E234">
        <v>4</v>
      </c>
    </row>
    <row r="235" spans="1:5" x14ac:dyDescent="0.25">
      <c r="A235" t="s">
        <v>3635</v>
      </c>
      <c r="B235">
        <v>750</v>
      </c>
      <c r="C235" t="s">
        <v>12850</v>
      </c>
      <c r="D235" t="s">
        <v>12597</v>
      </c>
      <c r="E235">
        <v>3.64</v>
      </c>
    </row>
    <row r="236" spans="1:5" x14ac:dyDescent="0.25">
      <c r="A236" t="s">
        <v>3590</v>
      </c>
      <c r="B236">
        <v>726</v>
      </c>
      <c r="C236" t="s">
        <v>12855</v>
      </c>
      <c r="D236" t="s">
        <v>12603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12856</v>
      </c>
      <c r="D237" t="s">
        <v>12604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12857</v>
      </c>
      <c r="D238" t="s">
        <v>12605</v>
      </c>
      <c r="E238">
        <v>8.5</v>
      </c>
    </row>
    <row r="239" spans="1:5" x14ac:dyDescent="0.25">
      <c r="A239" t="s">
        <v>3830</v>
      </c>
      <c r="B239">
        <v>261</v>
      </c>
      <c r="C239" t="s">
        <v>12859</v>
      </c>
      <c r="D239" t="s">
        <v>12607</v>
      </c>
      <c r="E239">
        <v>8.58</v>
      </c>
    </row>
    <row r="240" spans="1:5" x14ac:dyDescent="0.25">
      <c r="A240" t="s">
        <v>3635</v>
      </c>
      <c r="B240">
        <v>750</v>
      </c>
      <c r="C240" t="s">
        <v>12860</v>
      </c>
      <c r="D240" t="s">
        <v>12608</v>
      </c>
      <c r="E240">
        <v>10.4</v>
      </c>
    </row>
    <row r="241" spans="1:5" x14ac:dyDescent="0.25">
      <c r="A241" t="s">
        <v>11502</v>
      </c>
      <c r="B241">
        <v>893</v>
      </c>
      <c r="C241" t="s">
        <v>12861</v>
      </c>
      <c r="D241" t="s">
        <v>12609</v>
      </c>
      <c r="E241">
        <v>4.08</v>
      </c>
    </row>
    <row r="242" spans="1:5" x14ac:dyDescent="0.25">
      <c r="A242" t="s">
        <v>3582</v>
      </c>
      <c r="B242">
        <v>722</v>
      </c>
      <c r="C242" t="s">
        <v>12862</v>
      </c>
      <c r="D242" t="s">
        <v>12610</v>
      </c>
      <c r="E242">
        <v>4.9400000000000004</v>
      </c>
    </row>
    <row r="243" spans="1:5" x14ac:dyDescent="0.25">
      <c r="A243" t="s">
        <v>12499</v>
      </c>
      <c r="B243">
        <v>966</v>
      </c>
      <c r="C243" t="s">
        <v>12865</v>
      </c>
      <c r="D243" t="s">
        <v>12613</v>
      </c>
      <c r="E243">
        <v>19.38</v>
      </c>
    </row>
    <row r="244" spans="1:5" x14ac:dyDescent="0.25">
      <c r="A244" t="s">
        <v>12499</v>
      </c>
      <c r="B244">
        <v>966</v>
      </c>
      <c r="C244" t="s">
        <v>12866</v>
      </c>
      <c r="D244" t="s">
        <v>12614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12868</v>
      </c>
      <c r="D245" t="s">
        <v>12616</v>
      </c>
      <c r="E245">
        <v>4.08</v>
      </c>
    </row>
    <row r="246" spans="1:5" x14ac:dyDescent="0.25">
      <c r="A246" t="s">
        <v>12495</v>
      </c>
      <c r="B246">
        <v>964</v>
      </c>
      <c r="C246" t="s">
        <v>12870</v>
      </c>
      <c r="D246" t="s">
        <v>12618</v>
      </c>
      <c r="E246">
        <v>4.08</v>
      </c>
    </row>
    <row r="247" spans="1:5" x14ac:dyDescent="0.25">
      <c r="A247" t="s">
        <v>12282</v>
      </c>
      <c r="B247">
        <v>949</v>
      </c>
      <c r="C247" t="s">
        <v>12872</v>
      </c>
      <c r="D247" t="s">
        <v>12620</v>
      </c>
      <c r="E247">
        <v>3</v>
      </c>
    </row>
    <row r="248" spans="1:5" x14ac:dyDescent="0.25">
      <c r="A248" t="s">
        <v>12201</v>
      </c>
      <c r="B248">
        <v>907</v>
      </c>
      <c r="C248" t="s">
        <v>12873</v>
      </c>
      <c r="D248" t="s">
        <v>12621</v>
      </c>
      <c r="E248">
        <v>2.5</v>
      </c>
    </row>
    <row r="249" spans="1:5" x14ac:dyDescent="0.25">
      <c r="A249" t="s">
        <v>3486</v>
      </c>
      <c r="B249">
        <v>672</v>
      </c>
      <c r="C249" t="s">
        <v>12878</v>
      </c>
      <c r="D249" t="s">
        <v>12626</v>
      </c>
      <c r="E249">
        <v>5.61</v>
      </c>
    </row>
    <row r="250" spans="1:5" x14ac:dyDescent="0.25">
      <c r="A250" t="s">
        <v>11496</v>
      </c>
      <c r="B250">
        <v>890</v>
      </c>
      <c r="C250" t="s">
        <v>12881</v>
      </c>
      <c r="D250" t="s">
        <v>12629</v>
      </c>
      <c r="E250">
        <v>5.0999999999999996</v>
      </c>
    </row>
    <row r="251" spans="1:5" x14ac:dyDescent="0.25">
      <c r="A251" t="s">
        <v>12495</v>
      </c>
      <c r="B251">
        <v>964</v>
      </c>
      <c r="C251" t="s">
        <v>12887</v>
      </c>
      <c r="D251" t="s">
        <v>12635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12888</v>
      </c>
      <c r="D252" t="s">
        <v>12637</v>
      </c>
      <c r="E252">
        <v>8.5</v>
      </c>
    </row>
    <row r="253" spans="1:5" x14ac:dyDescent="0.25">
      <c r="A253" t="s">
        <v>3173</v>
      </c>
      <c r="B253">
        <v>508</v>
      </c>
      <c r="C253" t="s">
        <v>12890</v>
      </c>
      <c r="D253" t="s">
        <v>12640</v>
      </c>
      <c r="E253">
        <v>12.75</v>
      </c>
    </row>
    <row r="254" spans="1:5" x14ac:dyDescent="0.25">
      <c r="A254" t="s">
        <v>8673</v>
      </c>
      <c r="B254">
        <v>856</v>
      </c>
      <c r="C254" t="s">
        <v>12891</v>
      </c>
      <c r="D254" t="s">
        <v>12641</v>
      </c>
      <c r="E254">
        <v>4.08</v>
      </c>
    </row>
    <row r="255" spans="1:5" x14ac:dyDescent="0.25">
      <c r="A255" t="s">
        <v>2252</v>
      </c>
      <c r="B255">
        <v>28</v>
      </c>
      <c r="C255" t="s">
        <v>12784</v>
      </c>
      <c r="D255" t="s">
        <v>12645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12785</v>
      </c>
      <c r="D256" t="s">
        <v>12648</v>
      </c>
      <c r="E256">
        <v>6.24</v>
      </c>
    </row>
    <row r="257" spans="1:5" x14ac:dyDescent="0.25">
      <c r="A257" t="s">
        <v>2870</v>
      </c>
      <c r="B257">
        <v>355</v>
      </c>
      <c r="C257" t="s">
        <v>12897</v>
      </c>
      <c r="D257" t="s">
        <v>12651</v>
      </c>
      <c r="E257">
        <v>14.28</v>
      </c>
    </row>
    <row r="258" spans="1:5" x14ac:dyDescent="0.25">
      <c r="A258" t="s">
        <v>3460</v>
      </c>
      <c r="B258">
        <v>659</v>
      </c>
      <c r="C258" t="s">
        <v>12898</v>
      </c>
      <c r="D258" t="s">
        <v>12652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12899</v>
      </c>
      <c r="D259" t="s">
        <v>12653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12901</v>
      </c>
      <c r="D260" t="s">
        <v>12656</v>
      </c>
      <c r="E260">
        <v>3.75</v>
      </c>
    </row>
    <row r="261" spans="1:5" x14ac:dyDescent="0.25">
      <c r="A261" t="s">
        <v>3486</v>
      </c>
      <c r="B261">
        <v>672</v>
      </c>
      <c r="C261" t="s">
        <v>12902</v>
      </c>
      <c r="D261" t="s">
        <v>12658</v>
      </c>
      <c r="E261">
        <v>3.8250000000000002</v>
      </c>
    </row>
    <row r="262" spans="1:5" x14ac:dyDescent="0.25">
      <c r="A262" t="s">
        <v>11502</v>
      </c>
      <c r="B262">
        <v>893</v>
      </c>
      <c r="C262" t="s">
        <v>12903</v>
      </c>
      <c r="D262" t="s">
        <v>12659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12904</v>
      </c>
      <c r="D263" t="s">
        <v>12660</v>
      </c>
      <c r="E263">
        <v>9.5</v>
      </c>
    </row>
    <row r="264" spans="1:5" x14ac:dyDescent="0.25">
      <c r="A264" t="s">
        <v>3460</v>
      </c>
      <c r="B264">
        <v>659</v>
      </c>
      <c r="C264" t="s">
        <v>12906</v>
      </c>
      <c r="D264" t="s">
        <v>12662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12790</v>
      </c>
      <c r="D265" t="s">
        <v>12663</v>
      </c>
      <c r="E265">
        <v>16.25</v>
      </c>
    </row>
    <row r="266" spans="1:5" x14ac:dyDescent="0.25">
      <c r="A266" t="s">
        <v>3767</v>
      </c>
      <c r="B266">
        <v>817</v>
      </c>
      <c r="C266" t="s">
        <v>12435</v>
      </c>
      <c r="D266" t="s">
        <v>12434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12431</v>
      </c>
      <c r="D267" t="s">
        <v>12430</v>
      </c>
      <c r="E267">
        <v>6.375</v>
      </c>
    </row>
    <row r="268" spans="1:5" x14ac:dyDescent="0.25">
      <c r="A268" t="s">
        <v>11502</v>
      </c>
      <c r="B268">
        <v>893</v>
      </c>
      <c r="C268" t="s">
        <v>12908</v>
      </c>
      <c r="D268" t="s">
        <v>12440</v>
      </c>
      <c r="E268">
        <v>3.3149999999999999</v>
      </c>
    </row>
    <row r="269" spans="1:5" x14ac:dyDescent="0.25">
      <c r="A269" t="s">
        <v>12228</v>
      </c>
      <c r="B269">
        <v>927</v>
      </c>
      <c r="C269" t="s">
        <v>12443</v>
      </c>
      <c r="D269" t="s">
        <v>12442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12791</v>
      </c>
      <c r="D270" t="s">
        <v>12665</v>
      </c>
      <c r="E270">
        <v>9</v>
      </c>
    </row>
    <row r="271" spans="1:5" x14ac:dyDescent="0.25">
      <c r="A271" t="s">
        <v>137</v>
      </c>
      <c r="B271">
        <v>648</v>
      </c>
      <c r="C271" t="s">
        <v>12789</v>
      </c>
      <c r="D271" t="s">
        <v>12667</v>
      </c>
      <c r="E271">
        <v>3.5</v>
      </c>
    </row>
    <row r="272" spans="1:5" x14ac:dyDescent="0.25">
      <c r="A272" t="s">
        <v>12228</v>
      </c>
      <c r="B272">
        <v>927</v>
      </c>
      <c r="C272" t="s">
        <v>12447</v>
      </c>
      <c r="D272" t="s">
        <v>12446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12911</v>
      </c>
      <c r="D273" t="s">
        <v>12668</v>
      </c>
      <c r="E273">
        <v>9</v>
      </c>
    </row>
    <row r="274" spans="1:5" x14ac:dyDescent="0.25">
      <c r="A274" t="s">
        <v>3003</v>
      </c>
      <c r="B274">
        <v>422</v>
      </c>
      <c r="C274" t="s">
        <v>12912</v>
      </c>
      <c r="D274" t="s">
        <v>12471</v>
      </c>
      <c r="E274">
        <v>5</v>
      </c>
    </row>
    <row r="275" spans="1:5" x14ac:dyDescent="0.25">
      <c r="A275" t="s">
        <v>2704</v>
      </c>
      <c r="B275">
        <v>268</v>
      </c>
      <c r="C275" t="s">
        <v>12913</v>
      </c>
      <c r="D275" t="s">
        <v>12669</v>
      </c>
      <c r="E275">
        <v>6.8849999999999998</v>
      </c>
    </row>
    <row r="276" spans="1:5" x14ac:dyDescent="0.25">
      <c r="A276" t="s">
        <v>12228</v>
      </c>
      <c r="B276">
        <v>927</v>
      </c>
      <c r="C276" t="s">
        <v>12357</v>
      </c>
      <c r="D276" t="s">
        <v>12170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12063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11934</v>
      </c>
      <c r="D278" t="s">
        <v>11680</v>
      </c>
      <c r="E278">
        <v>5.75</v>
      </c>
    </row>
    <row r="279" spans="1:5" x14ac:dyDescent="0.25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25">
      <c r="A280" t="s">
        <v>3641</v>
      </c>
      <c r="B280">
        <v>753</v>
      </c>
      <c r="C280" t="s">
        <v>11948</v>
      </c>
      <c r="D280" t="s">
        <v>11797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12535</v>
      </c>
      <c r="D281" t="s">
        <v>12160</v>
      </c>
      <c r="E281">
        <v>7.25</v>
      </c>
    </row>
    <row r="282" spans="1:5" x14ac:dyDescent="0.25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25">
      <c r="A283" t="s">
        <v>2970</v>
      </c>
      <c r="B283">
        <v>405</v>
      </c>
      <c r="C283" t="s">
        <v>12054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12044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25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25">
      <c r="A287" t="s">
        <v>2819</v>
      </c>
      <c r="B287">
        <v>329</v>
      </c>
      <c r="C287" t="s">
        <v>12032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11901</v>
      </c>
      <c r="D288" t="s">
        <v>11558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25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25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12056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11974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11960</v>
      </c>
      <c r="D298" t="s">
        <v>11735</v>
      </c>
      <c r="E298">
        <v>6.25</v>
      </c>
    </row>
    <row r="299" spans="1:5" x14ac:dyDescent="0.25">
      <c r="A299" t="s">
        <v>137</v>
      </c>
      <c r="B299">
        <v>648</v>
      </c>
      <c r="C299" t="s">
        <v>11927</v>
      </c>
      <c r="D299" t="s">
        <v>11529</v>
      </c>
      <c r="E299">
        <v>3</v>
      </c>
    </row>
    <row r="300" spans="1:5" x14ac:dyDescent="0.25">
      <c r="A300" t="s">
        <v>11454</v>
      </c>
      <c r="B300">
        <v>857</v>
      </c>
      <c r="C300" t="s">
        <v>11933</v>
      </c>
      <c r="D300" t="s">
        <v>11625</v>
      </c>
      <c r="E300">
        <v>7</v>
      </c>
    </row>
    <row r="301" spans="1:5" x14ac:dyDescent="0.25">
      <c r="A301" t="s">
        <v>3407</v>
      </c>
      <c r="B301">
        <v>632</v>
      </c>
      <c r="C301" t="s">
        <v>11911</v>
      </c>
      <c r="D301" t="s">
        <v>11691</v>
      </c>
      <c r="E301">
        <v>4</v>
      </c>
    </row>
    <row r="302" spans="1:5" x14ac:dyDescent="0.25">
      <c r="A302" t="s">
        <v>137</v>
      </c>
      <c r="B302">
        <v>648</v>
      </c>
      <c r="C302" t="s">
        <v>11962</v>
      </c>
      <c r="D302" t="s">
        <v>11785</v>
      </c>
      <c r="E302">
        <v>4.25</v>
      </c>
    </row>
    <row r="303" spans="1:5" x14ac:dyDescent="0.25">
      <c r="A303" t="s">
        <v>11454</v>
      </c>
      <c r="B303">
        <v>857</v>
      </c>
      <c r="C303" t="s">
        <v>12184</v>
      </c>
      <c r="D303" t="s">
        <v>12070</v>
      </c>
      <c r="E303">
        <v>4.5</v>
      </c>
    </row>
    <row r="304" spans="1:5" x14ac:dyDescent="0.25">
      <c r="A304" t="s">
        <v>137</v>
      </c>
      <c r="B304">
        <v>648</v>
      </c>
      <c r="C304" t="s">
        <v>12513</v>
      </c>
      <c r="D304" t="s">
        <v>12341</v>
      </c>
      <c r="E304">
        <v>5</v>
      </c>
    </row>
    <row r="305" spans="1:5" x14ac:dyDescent="0.25">
      <c r="A305" t="s">
        <v>11454</v>
      </c>
      <c r="B305">
        <v>857</v>
      </c>
      <c r="C305" t="s">
        <v>12532</v>
      </c>
      <c r="D305" t="s">
        <v>12125</v>
      </c>
      <c r="E305">
        <v>5.25</v>
      </c>
    </row>
    <row r="306" spans="1:5" x14ac:dyDescent="0.25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25">
      <c r="A311" t="s">
        <v>2401</v>
      </c>
      <c r="B311">
        <v>107</v>
      </c>
      <c r="C311" t="s">
        <v>11977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11972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11965</v>
      </c>
      <c r="D313" t="s">
        <v>11538</v>
      </c>
      <c r="E313">
        <v>6.12</v>
      </c>
    </row>
    <row r="314" spans="1:5" x14ac:dyDescent="0.25">
      <c r="A314" t="s">
        <v>11428</v>
      </c>
      <c r="B314">
        <v>860</v>
      </c>
      <c r="C314" t="s">
        <v>12018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11917</v>
      </c>
      <c r="D315" t="s">
        <v>11801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25">
      <c r="A317" t="s">
        <v>11428</v>
      </c>
      <c r="B317">
        <v>860</v>
      </c>
      <c r="C317" t="s">
        <v>12031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11955</v>
      </c>
      <c r="D318" t="s">
        <v>11779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12027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11991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25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12059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12062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12066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12045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12042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12058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12038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12039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12047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12048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12050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12052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12053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12055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12026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12029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12034</v>
      </c>
      <c r="D344" t="s">
        <v>8229</v>
      </c>
      <c r="E344">
        <v>2.75</v>
      </c>
    </row>
    <row r="345" spans="1:5" x14ac:dyDescent="0.25">
      <c r="A345" t="s">
        <v>11428</v>
      </c>
      <c r="B345">
        <v>860</v>
      </c>
      <c r="C345" t="s">
        <v>12023</v>
      </c>
      <c r="D345" t="s">
        <v>5101</v>
      </c>
      <c r="E345">
        <v>7.25</v>
      </c>
    </row>
    <row r="346" spans="1:5" x14ac:dyDescent="0.25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12022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12019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12021</v>
      </c>
      <c r="D349" t="s">
        <v>4572</v>
      </c>
      <c r="E349">
        <v>7.75</v>
      </c>
    </row>
    <row r="350" spans="1:5" x14ac:dyDescent="0.25">
      <c r="A350" t="s">
        <v>11428</v>
      </c>
      <c r="B350">
        <v>860</v>
      </c>
      <c r="C350" t="s">
        <v>12023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12025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12028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12030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12033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12035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12017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12005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12007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12010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12013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12015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11983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11993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11987</v>
      </c>
      <c r="D368" t="s">
        <v>6477</v>
      </c>
      <c r="E368">
        <v>5.5</v>
      </c>
    </row>
    <row r="369" spans="1:5" x14ac:dyDescent="0.25">
      <c r="A369" t="s">
        <v>11428</v>
      </c>
      <c r="B369">
        <v>860</v>
      </c>
      <c r="C369" t="s">
        <v>11979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11986</v>
      </c>
      <c r="D370" t="s">
        <v>6472</v>
      </c>
      <c r="E370">
        <v>7.75</v>
      </c>
    </row>
    <row r="371" spans="1:5" x14ac:dyDescent="0.25">
      <c r="A371" t="s">
        <v>11427</v>
      </c>
      <c r="B371">
        <v>831</v>
      </c>
      <c r="C371" t="s">
        <v>11990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11997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11999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12000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12003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12004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11973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25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25">
      <c r="A382" t="s">
        <v>3003</v>
      </c>
      <c r="B382">
        <v>422</v>
      </c>
      <c r="C382" t="s">
        <v>11967</v>
      </c>
      <c r="D382" t="s">
        <v>11552</v>
      </c>
      <c r="E382">
        <v>11.25</v>
      </c>
    </row>
    <row r="383" spans="1:5" x14ac:dyDescent="0.25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25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25">
      <c r="A385" t="s">
        <v>1007</v>
      </c>
      <c r="B385">
        <v>703</v>
      </c>
      <c r="C385" t="s">
        <v>11968</v>
      </c>
      <c r="D385" t="s">
        <v>11675</v>
      </c>
      <c r="E385">
        <v>6.12</v>
      </c>
    </row>
    <row r="386" spans="1:5" x14ac:dyDescent="0.25">
      <c r="A386" t="s">
        <v>1007</v>
      </c>
      <c r="B386">
        <v>703</v>
      </c>
      <c r="C386" t="s">
        <v>11969</v>
      </c>
      <c r="D386" t="s">
        <v>11678</v>
      </c>
      <c r="E386">
        <v>4.335</v>
      </c>
    </row>
    <row r="387" spans="1:5" x14ac:dyDescent="0.25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25">
      <c r="A388" t="s">
        <v>3830</v>
      </c>
      <c r="B388">
        <v>261</v>
      </c>
      <c r="C388" t="s">
        <v>11971</v>
      </c>
      <c r="D388" t="s">
        <v>11757</v>
      </c>
      <c r="E388">
        <v>7.5</v>
      </c>
    </row>
    <row r="389" spans="1:5" x14ac:dyDescent="0.25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25">
      <c r="A390" t="s">
        <v>3435</v>
      </c>
      <c r="B390">
        <v>646</v>
      </c>
      <c r="C390" t="s">
        <v>11963</v>
      </c>
      <c r="D390" t="s">
        <v>11591</v>
      </c>
      <c r="E390">
        <v>2</v>
      </c>
    </row>
    <row r="391" spans="1:5" x14ac:dyDescent="0.25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25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25">
      <c r="A393" t="s">
        <v>11492</v>
      </c>
      <c r="B393">
        <v>887</v>
      </c>
      <c r="C393" t="s">
        <v>11964</v>
      </c>
      <c r="D393" t="s">
        <v>11645</v>
      </c>
      <c r="E393">
        <v>5.5</v>
      </c>
    </row>
    <row r="394" spans="1:5" x14ac:dyDescent="0.25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25">
      <c r="A395" t="s">
        <v>3571</v>
      </c>
      <c r="B395">
        <v>716</v>
      </c>
      <c r="C395" t="s">
        <v>11958</v>
      </c>
      <c r="D395" t="s">
        <v>11554</v>
      </c>
      <c r="E395">
        <v>8.25</v>
      </c>
    </row>
    <row r="396" spans="1:5" x14ac:dyDescent="0.25">
      <c r="A396" t="s">
        <v>3003</v>
      </c>
      <c r="B396">
        <v>422</v>
      </c>
      <c r="C396" t="s">
        <v>11959</v>
      </c>
      <c r="D396" t="s">
        <v>11603</v>
      </c>
      <c r="E396">
        <v>8</v>
      </c>
    </row>
    <row r="397" spans="1:5" x14ac:dyDescent="0.25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25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25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25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25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25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25">
      <c r="A403" t="s">
        <v>2318</v>
      </c>
      <c r="B403">
        <v>63</v>
      </c>
      <c r="C403" t="s">
        <v>11950</v>
      </c>
      <c r="D403" t="s">
        <v>11589</v>
      </c>
      <c r="E403">
        <v>1.53</v>
      </c>
    </row>
    <row r="404" spans="1:5" x14ac:dyDescent="0.25">
      <c r="A404" t="s">
        <v>11502</v>
      </c>
      <c r="B404">
        <v>893</v>
      </c>
      <c r="C404" t="s">
        <v>11951</v>
      </c>
      <c r="D404" t="s">
        <v>11684</v>
      </c>
      <c r="E404">
        <v>2.75</v>
      </c>
    </row>
    <row r="405" spans="1:5" x14ac:dyDescent="0.25">
      <c r="A405" t="s">
        <v>3512</v>
      </c>
      <c r="B405">
        <v>685</v>
      </c>
      <c r="C405" t="s">
        <v>11952</v>
      </c>
      <c r="D405" t="s">
        <v>11702</v>
      </c>
      <c r="E405">
        <v>2.04</v>
      </c>
    </row>
    <row r="406" spans="1:5" x14ac:dyDescent="0.25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25">
      <c r="A407" t="s">
        <v>3697</v>
      </c>
      <c r="B407">
        <v>782</v>
      </c>
      <c r="C407" t="s">
        <v>11954</v>
      </c>
      <c r="D407" t="s">
        <v>11729</v>
      </c>
      <c r="E407">
        <v>3.64</v>
      </c>
    </row>
    <row r="408" spans="1:5" x14ac:dyDescent="0.25">
      <c r="A408" t="s">
        <v>3569</v>
      </c>
      <c r="B408">
        <v>715</v>
      </c>
      <c r="C408" t="s">
        <v>11957</v>
      </c>
      <c r="D408" t="s">
        <v>11783</v>
      </c>
      <c r="E408">
        <v>6</v>
      </c>
    </row>
    <row r="409" spans="1:5" x14ac:dyDescent="0.25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25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11942</v>
      </c>
      <c r="D411" t="s">
        <v>11565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25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25">
      <c r="A414" t="s">
        <v>2342</v>
      </c>
      <c r="B414">
        <v>77</v>
      </c>
      <c r="C414" t="s">
        <v>11943</v>
      </c>
      <c r="D414" t="s">
        <v>11576</v>
      </c>
      <c r="E414">
        <v>5</v>
      </c>
    </row>
    <row r="415" spans="1:5" x14ac:dyDescent="0.25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25">
      <c r="A416" t="s">
        <v>3641</v>
      </c>
      <c r="B416">
        <v>753</v>
      </c>
      <c r="C416" t="s">
        <v>11944</v>
      </c>
      <c r="D416" t="s">
        <v>11595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11946</v>
      </c>
      <c r="D417" t="s">
        <v>11673</v>
      </c>
      <c r="E417">
        <v>3</v>
      </c>
    </row>
    <row r="418" spans="1:5" x14ac:dyDescent="0.25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25">
      <c r="A419" t="s">
        <v>3361</v>
      </c>
      <c r="B419">
        <v>607</v>
      </c>
      <c r="C419" t="s">
        <v>11928</v>
      </c>
      <c r="D419" t="s">
        <v>11556</v>
      </c>
      <c r="E419">
        <v>10.5</v>
      </c>
    </row>
    <row r="420" spans="1:5" x14ac:dyDescent="0.25">
      <c r="A420" t="s">
        <v>3747</v>
      </c>
      <c r="B420">
        <v>807</v>
      </c>
      <c r="C420" t="s">
        <v>11930</v>
      </c>
      <c r="D420" t="s">
        <v>11580</v>
      </c>
      <c r="E420">
        <v>8.67</v>
      </c>
    </row>
    <row r="421" spans="1:5" x14ac:dyDescent="0.25">
      <c r="A421" t="s">
        <v>2704</v>
      </c>
      <c r="B421">
        <v>268</v>
      </c>
      <c r="C421" t="s">
        <v>11931</v>
      </c>
      <c r="D421" t="s">
        <v>11601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25">
      <c r="A424" t="s">
        <v>2252</v>
      </c>
      <c r="B424">
        <v>28</v>
      </c>
      <c r="C424" t="s">
        <v>11935</v>
      </c>
      <c r="D424" t="s">
        <v>11715</v>
      </c>
      <c r="E424">
        <v>5.25</v>
      </c>
    </row>
    <row r="425" spans="1:5" x14ac:dyDescent="0.25">
      <c r="A425" t="s">
        <v>3524</v>
      </c>
      <c r="B425">
        <v>691</v>
      </c>
      <c r="C425" t="s">
        <v>11937</v>
      </c>
      <c r="D425" t="s">
        <v>11733</v>
      </c>
      <c r="E425">
        <v>3.5</v>
      </c>
    </row>
    <row r="426" spans="1:5" x14ac:dyDescent="0.25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25">
      <c r="A427" t="s">
        <v>3641</v>
      </c>
      <c r="B427">
        <v>753</v>
      </c>
      <c r="C427" t="s">
        <v>11938</v>
      </c>
      <c r="D427" t="s">
        <v>11745</v>
      </c>
      <c r="E427">
        <v>6.25</v>
      </c>
    </row>
    <row r="428" spans="1:5" x14ac:dyDescent="0.25">
      <c r="A428" t="s">
        <v>11496</v>
      </c>
      <c r="B428">
        <v>890</v>
      </c>
      <c r="C428" t="s">
        <v>11939</v>
      </c>
      <c r="D428" t="s">
        <v>11753</v>
      </c>
      <c r="E428">
        <v>7.14</v>
      </c>
    </row>
    <row r="429" spans="1:5" x14ac:dyDescent="0.25">
      <c r="A429" t="s">
        <v>3635</v>
      </c>
      <c r="B429">
        <v>750</v>
      </c>
      <c r="C429" t="s">
        <v>11918</v>
      </c>
      <c r="D429" t="s">
        <v>11531</v>
      </c>
      <c r="E429">
        <v>5.2</v>
      </c>
    </row>
    <row r="430" spans="1:5" x14ac:dyDescent="0.25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25">
      <c r="A431" t="s">
        <v>3413</v>
      </c>
      <c r="B431">
        <v>635</v>
      </c>
      <c r="C431" t="s">
        <v>11919</v>
      </c>
      <c r="D431" t="s">
        <v>11544</v>
      </c>
      <c r="E431">
        <v>11.25</v>
      </c>
    </row>
    <row r="432" spans="1:5" x14ac:dyDescent="0.25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25">
      <c r="A433" t="s">
        <v>2252</v>
      </c>
      <c r="B433">
        <v>28</v>
      </c>
      <c r="C433" t="s">
        <v>11922</v>
      </c>
      <c r="D433" t="s">
        <v>11633</v>
      </c>
      <c r="E433">
        <v>9.18</v>
      </c>
    </row>
    <row r="434" spans="1:5" x14ac:dyDescent="0.25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25">
      <c r="A435" t="s">
        <v>3571</v>
      </c>
      <c r="B435">
        <v>716</v>
      </c>
      <c r="C435" t="s">
        <v>11923</v>
      </c>
      <c r="D435" t="s">
        <v>11664</v>
      </c>
      <c r="E435">
        <v>8.75</v>
      </c>
    </row>
    <row r="436" spans="1:5" x14ac:dyDescent="0.25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25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25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25">
      <c r="A439" t="s">
        <v>2430</v>
      </c>
      <c r="B439">
        <v>121</v>
      </c>
      <c r="C439" t="s">
        <v>11925</v>
      </c>
      <c r="D439" t="s">
        <v>11741</v>
      </c>
      <c r="E439">
        <v>12</v>
      </c>
    </row>
    <row r="440" spans="1:5" x14ac:dyDescent="0.25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25">
      <c r="A441" t="s">
        <v>2430</v>
      </c>
      <c r="B441">
        <v>121</v>
      </c>
      <c r="C441" t="s">
        <v>11902</v>
      </c>
      <c r="D441" t="s">
        <v>11560</v>
      </c>
      <c r="E441">
        <v>13.5</v>
      </c>
    </row>
    <row r="442" spans="1:5" x14ac:dyDescent="0.25">
      <c r="A442" t="s">
        <v>1007</v>
      </c>
      <c r="B442">
        <v>703</v>
      </c>
      <c r="C442" t="s">
        <v>11904</v>
      </c>
      <c r="D442" t="s">
        <v>11583</v>
      </c>
      <c r="E442">
        <v>11.5</v>
      </c>
    </row>
    <row r="443" spans="1:5" x14ac:dyDescent="0.25">
      <c r="A443" t="s">
        <v>3526</v>
      </c>
      <c r="B443">
        <v>692</v>
      </c>
      <c r="C443" t="s">
        <v>11905</v>
      </c>
      <c r="D443" t="s">
        <v>11593</v>
      </c>
      <c r="E443">
        <v>15</v>
      </c>
    </row>
    <row r="444" spans="1:5" x14ac:dyDescent="0.25">
      <c r="A444" t="s">
        <v>137</v>
      </c>
      <c r="B444">
        <v>648</v>
      </c>
      <c r="C444" t="s">
        <v>11909</v>
      </c>
      <c r="D444" t="s">
        <v>11627</v>
      </c>
      <c r="E444">
        <v>7.25</v>
      </c>
    </row>
    <row r="445" spans="1:5" x14ac:dyDescent="0.25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25">
      <c r="A446" t="s">
        <v>3524</v>
      </c>
      <c r="B446">
        <v>691</v>
      </c>
      <c r="C446" t="s">
        <v>11910</v>
      </c>
      <c r="D446" t="s">
        <v>11662</v>
      </c>
      <c r="E446">
        <v>11.25</v>
      </c>
    </row>
    <row r="447" spans="1:5" x14ac:dyDescent="0.25">
      <c r="A447" t="s">
        <v>3460</v>
      </c>
      <c r="B447">
        <v>659</v>
      </c>
      <c r="C447" t="s">
        <v>11915</v>
      </c>
      <c r="D447" t="s">
        <v>11749</v>
      </c>
      <c r="E447">
        <v>7.65</v>
      </c>
    </row>
    <row r="448" spans="1:5" x14ac:dyDescent="0.25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25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11900</v>
      </c>
      <c r="D450" t="s">
        <v>11550</v>
      </c>
      <c r="E450">
        <v>6.12</v>
      </c>
    </row>
    <row r="451" spans="1:5" x14ac:dyDescent="0.25">
      <c r="A451" t="s">
        <v>11454</v>
      </c>
      <c r="B451">
        <v>857</v>
      </c>
      <c r="C451" t="s">
        <v>12193</v>
      </c>
      <c r="D451" t="s">
        <v>12095</v>
      </c>
      <c r="E451">
        <v>6.75</v>
      </c>
    </row>
    <row r="452" spans="1:5" x14ac:dyDescent="0.25">
      <c r="A452" t="s">
        <v>11502</v>
      </c>
      <c r="B452">
        <v>893</v>
      </c>
      <c r="C452" t="s">
        <v>12109</v>
      </c>
      <c r="D452" t="s">
        <v>12108</v>
      </c>
      <c r="E452">
        <v>4</v>
      </c>
    </row>
    <row r="453" spans="1:5" x14ac:dyDescent="0.25">
      <c r="A453" t="s">
        <v>1007</v>
      </c>
      <c r="B453">
        <v>703</v>
      </c>
      <c r="C453" t="s">
        <v>12111</v>
      </c>
      <c r="D453" t="s">
        <v>12110</v>
      </c>
      <c r="E453">
        <v>4.08</v>
      </c>
    </row>
    <row r="454" spans="1:5" x14ac:dyDescent="0.25">
      <c r="A454" t="s">
        <v>2260</v>
      </c>
      <c r="B454">
        <v>32</v>
      </c>
      <c r="C454" t="s">
        <v>12113</v>
      </c>
      <c r="D454" t="s">
        <v>12112</v>
      </c>
      <c r="E454">
        <v>7</v>
      </c>
    </row>
    <row r="455" spans="1:5" x14ac:dyDescent="0.25">
      <c r="A455" t="s">
        <v>3546</v>
      </c>
      <c r="B455">
        <v>702</v>
      </c>
      <c r="C455" t="s">
        <v>12187</v>
      </c>
      <c r="D455" t="s">
        <v>12078</v>
      </c>
      <c r="E455">
        <v>10</v>
      </c>
    </row>
    <row r="456" spans="1:5" x14ac:dyDescent="0.25">
      <c r="A456" t="s">
        <v>2704</v>
      </c>
      <c r="B456">
        <v>268</v>
      </c>
      <c r="C456" t="s">
        <v>12082</v>
      </c>
      <c r="D456" t="s">
        <v>12081</v>
      </c>
      <c r="E456">
        <v>6.12</v>
      </c>
    </row>
    <row r="457" spans="1:5" x14ac:dyDescent="0.25">
      <c r="A457" t="s">
        <v>2260</v>
      </c>
      <c r="B457">
        <v>32</v>
      </c>
      <c r="C457" t="s">
        <v>12189</v>
      </c>
      <c r="D457" t="s">
        <v>12083</v>
      </c>
      <c r="E457">
        <v>5.61</v>
      </c>
    </row>
    <row r="458" spans="1:5" x14ac:dyDescent="0.25">
      <c r="A458" t="s">
        <v>2993</v>
      </c>
      <c r="B458">
        <v>417</v>
      </c>
      <c r="C458" t="s">
        <v>12115</v>
      </c>
      <c r="D458" t="s">
        <v>12114</v>
      </c>
      <c r="E458">
        <v>10.199999999999999</v>
      </c>
    </row>
    <row r="459" spans="1:5" x14ac:dyDescent="0.25">
      <c r="A459" t="s">
        <v>12209</v>
      </c>
      <c r="B459">
        <v>912</v>
      </c>
      <c r="C459" t="s">
        <v>12344</v>
      </c>
      <c r="D459" t="s">
        <v>12320</v>
      </c>
      <c r="E459">
        <v>6.63</v>
      </c>
    </row>
    <row r="460" spans="1:5" x14ac:dyDescent="0.25">
      <c r="A460" t="s">
        <v>11454</v>
      </c>
      <c r="B460">
        <v>857</v>
      </c>
      <c r="C460" t="s">
        <v>12466</v>
      </c>
      <c r="D460" t="s">
        <v>12315</v>
      </c>
      <c r="E460">
        <v>8.5</v>
      </c>
    </row>
    <row r="461" spans="1:5" x14ac:dyDescent="0.25">
      <c r="A461" t="s">
        <v>3015</v>
      </c>
      <c r="B461">
        <v>428</v>
      </c>
      <c r="C461" t="s">
        <v>12511</v>
      </c>
      <c r="D461" t="s">
        <v>12322</v>
      </c>
      <c r="E461">
        <v>6.63</v>
      </c>
    </row>
    <row r="462" spans="1:5" x14ac:dyDescent="0.25">
      <c r="A462" t="s">
        <v>3015</v>
      </c>
      <c r="B462">
        <v>428</v>
      </c>
      <c r="C462" t="s">
        <v>12514</v>
      </c>
      <c r="D462" t="s">
        <v>12307</v>
      </c>
      <c r="E462">
        <v>8.9250000000000007</v>
      </c>
    </row>
    <row r="463" spans="1:5" x14ac:dyDescent="0.25">
      <c r="A463" t="s">
        <v>11512</v>
      </c>
      <c r="B463">
        <v>898</v>
      </c>
      <c r="C463" t="s">
        <v>12515</v>
      </c>
      <c r="D463" t="s">
        <v>12330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12347</v>
      </c>
      <c r="D464" t="s">
        <v>12289</v>
      </c>
      <c r="E464">
        <v>4.335</v>
      </c>
    </row>
    <row r="465" spans="1:5" x14ac:dyDescent="0.25">
      <c r="A465" t="s">
        <v>3490</v>
      </c>
      <c r="B465">
        <v>674</v>
      </c>
      <c r="C465" t="s">
        <v>12468</v>
      </c>
      <c r="D465" t="s">
        <v>12295</v>
      </c>
      <c r="E465">
        <v>7</v>
      </c>
    </row>
    <row r="466" spans="1:5" x14ac:dyDescent="0.25">
      <c r="A466" t="s">
        <v>3713</v>
      </c>
      <c r="B466">
        <v>790</v>
      </c>
      <c r="C466" t="s">
        <v>12517</v>
      </c>
      <c r="D466" t="s">
        <v>12311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12520</v>
      </c>
      <c r="D467" t="s">
        <v>12297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12349</v>
      </c>
      <c r="D468" t="s">
        <v>12299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12521</v>
      </c>
      <c r="D469" t="s">
        <v>12303</v>
      </c>
      <c r="E469">
        <v>8.16</v>
      </c>
    </row>
    <row r="470" spans="1:5" x14ac:dyDescent="0.25">
      <c r="A470" t="s">
        <v>2592</v>
      </c>
      <c r="B470">
        <v>205</v>
      </c>
      <c r="C470" t="s">
        <v>12522</v>
      </c>
      <c r="D470" t="s">
        <v>12313</v>
      </c>
      <c r="E470">
        <v>7.5</v>
      </c>
    </row>
    <row r="471" spans="1:5" x14ac:dyDescent="0.25">
      <c r="A471" t="s">
        <v>3460</v>
      </c>
      <c r="B471">
        <v>659</v>
      </c>
      <c r="C471" t="s">
        <v>12350</v>
      </c>
      <c r="D471" t="s">
        <v>12337</v>
      </c>
      <c r="E471">
        <v>3.06</v>
      </c>
    </row>
    <row r="472" spans="1:5" x14ac:dyDescent="0.25">
      <c r="A472" t="s">
        <v>11510</v>
      </c>
      <c r="B472">
        <v>897</v>
      </c>
      <c r="C472" t="s">
        <v>12524</v>
      </c>
      <c r="D472" t="s">
        <v>12141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12525</v>
      </c>
      <c r="D473" t="s">
        <v>12144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12526</v>
      </c>
      <c r="D474" t="s">
        <v>12150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12528</v>
      </c>
      <c r="D475" t="s">
        <v>12157</v>
      </c>
      <c r="E475">
        <v>2.5</v>
      </c>
    </row>
    <row r="476" spans="1:5" x14ac:dyDescent="0.25">
      <c r="A476" t="s">
        <v>2260</v>
      </c>
      <c r="B476">
        <v>32</v>
      </c>
      <c r="C476" t="s">
        <v>12529</v>
      </c>
      <c r="D476" t="s">
        <v>12175</v>
      </c>
      <c r="E476">
        <v>5.75</v>
      </c>
    </row>
    <row r="477" spans="1:5" x14ac:dyDescent="0.25">
      <c r="A477" t="s">
        <v>12208</v>
      </c>
      <c r="B477">
        <v>911</v>
      </c>
      <c r="C477" t="s">
        <v>12353</v>
      </c>
      <c r="D477" t="s">
        <v>12177</v>
      </c>
      <c r="E477">
        <v>5.0999999999999996</v>
      </c>
    </row>
    <row r="478" spans="1:5" x14ac:dyDescent="0.25">
      <c r="A478" t="s">
        <v>11454</v>
      </c>
      <c r="B478">
        <v>857</v>
      </c>
      <c r="C478" t="s">
        <v>12530</v>
      </c>
      <c r="D478" t="s">
        <v>12179</v>
      </c>
      <c r="E478">
        <v>7</v>
      </c>
    </row>
    <row r="479" spans="1:5" x14ac:dyDescent="0.25">
      <c r="A479" t="s">
        <v>2240</v>
      </c>
      <c r="B479">
        <v>879</v>
      </c>
      <c r="C479" t="s">
        <v>12533</v>
      </c>
      <c r="D479" t="s">
        <v>12138</v>
      </c>
      <c r="E479">
        <v>11.25</v>
      </c>
    </row>
    <row r="480" spans="1:5" x14ac:dyDescent="0.25">
      <c r="A480" t="s">
        <v>3590</v>
      </c>
      <c r="B480">
        <v>726</v>
      </c>
      <c r="C480" t="s">
        <v>12534</v>
      </c>
      <c r="D480" t="s">
        <v>12146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12536</v>
      </c>
      <c r="D481" t="s">
        <v>12162</v>
      </c>
      <c r="E481">
        <v>9.5</v>
      </c>
    </row>
    <row r="482" spans="1:5" x14ac:dyDescent="0.25">
      <c r="A482" t="s">
        <v>3470</v>
      </c>
      <c r="B482">
        <v>664</v>
      </c>
      <c r="C482" t="s">
        <v>12354</v>
      </c>
      <c r="D482" t="s">
        <v>12166</v>
      </c>
      <c r="E482">
        <v>7.14</v>
      </c>
    </row>
    <row r="483" spans="1:5" x14ac:dyDescent="0.25">
      <c r="A483" t="s">
        <v>2993</v>
      </c>
      <c r="B483">
        <v>417</v>
      </c>
      <c r="C483" t="s">
        <v>12538</v>
      </c>
      <c r="D483" t="s">
        <v>12168</v>
      </c>
      <c r="E483">
        <v>4.335</v>
      </c>
    </row>
    <row r="484" spans="1:5" x14ac:dyDescent="0.25">
      <c r="A484" t="s">
        <v>11496</v>
      </c>
      <c r="B484">
        <v>890</v>
      </c>
      <c r="C484" t="s">
        <v>12539</v>
      </c>
      <c r="D484" t="s">
        <v>12173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12116</v>
      </c>
      <c r="D485" t="s">
        <v>12102</v>
      </c>
      <c r="E485">
        <v>14.5</v>
      </c>
    </row>
    <row r="486" spans="1:5" x14ac:dyDescent="0.25">
      <c r="A486" t="s">
        <v>12249</v>
      </c>
      <c r="B486">
        <v>918</v>
      </c>
      <c r="C486" t="s">
        <v>12542</v>
      </c>
      <c r="D486" t="s">
        <v>12152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12088</v>
      </c>
      <c r="D487" t="s">
        <v>12087</v>
      </c>
      <c r="E487">
        <v>8.5</v>
      </c>
    </row>
    <row r="488" spans="1:5" x14ac:dyDescent="0.25">
      <c r="A488" t="s">
        <v>12209</v>
      </c>
      <c r="B488">
        <v>912</v>
      </c>
      <c r="C488" t="s">
        <v>12469</v>
      </c>
      <c r="D488" t="s">
        <v>12369</v>
      </c>
      <c r="E488">
        <v>3.06</v>
      </c>
    </row>
    <row r="489" spans="1:5" x14ac:dyDescent="0.25">
      <c r="A489" t="s">
        <v>12214</v>
      </c>
      <c r="B489">
        <v>915</v>
      </c>
      <c r="C489" t="s">
        <v>12545</v>
      </c>
      <c r="D489" t="s">
        <v>12385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12451</v>
      </c>
      <c r="D490" t="s">
        <v>12418</v>
      </c>
      <c r="E490">
        <v>12.75</v>
      </c>
    </row>
    <row r="491" spans="1:5" x14ac:dyDescent="0.25">
      <c r="A491" t="s">
        <v>11454</v>
      </c>
      <c r="B491">
        <v>857</v>
      </c>
      <c r="C491" t="s">
        <v>12452</v>
      </c>
      <c r="D491" t="s">
        <v>12367</v>
      </c>
      <c r="E491">
        <v>8.25</v>
      </c>
    </row>
    <row r="492" spans="1:5" x14ac:dyDescent="0.25">
      <c r="A492" t="s">
        <v>3767</v>
      </c>
      <c r="B492">
        <v>817</v>
      </c>
      <c r="C492" t="s">
        <v>12459</v>
      </c>
      <c r="D492" t="s">
        <v>12365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12551</v>
      </c>
      <c r="D493" t="s">
        <v>12371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12552</v>
      </c>
      <c r="D494" t="s">
        <v>12379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12553</v>
      </c>
      <c r="D495" t="s">
        <v>12381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12456</v>
      </c>
      <c r="D496" t="s">
        <v>12401</v>
      </c>
      <c r="E496">
        <v>4.08</v>
      </c>
    </row>
    <row r="497" spans="1:5" x14ac:dyDescent="0.25">
      <c r="A497" t="s">
        <v>3567</v>
      </c>
      <c r="B497">
        <v>714</v>
      </c>
      <c r="C497" t="s">
        <v>12554</v>
      </c>
      <c r="D497" t="s">
        <v>12420</v>
      </c>
      <c r="E497">
        <v>4.335</v>
      </c>
    </row>
    <row r="498" spans="1:5" x14ac:dyDescent="0.25">
      <c r="A498" t="s">
        <v>3486</v>
      </c>
      <c r="B498">
        <v>672</v>
      </c>
      <c r="C498" t="s">
        <v>12460</v>
      </c>
      <c r="D498" t="s">
        <v>12427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12555</v>
      </c>
      <c r="D499" t="s">
        <v>12377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12464</v>
      </c>
      <c r="D500" t="s">
        <v>12399</v>
      </c>
      <c r="E500">
        <v>3.3149999999999999</v>
      </c>
    </row>
    <row r="501" spans="1:5" x14ac:dyDescent="0.25">
      <c r="A501" t="s">
        <v>12228</v>
      </c>
      <c r="B501">
        <v>927</v>
      </c>
      <c r="C501" t="s">
        <v>12557</v>
      </c>
      <c r="D501" t="s">
        <v>12416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12558</v>
      </c>
      <c r="D502" t="s">
        <v>12429</v>
      </c>
      <c r="E502">
        <v>2.86</v>
      </c>
    </row>
    <row r="503" spans="1:5" x14ac:dyDescent="0.25">
      <c r="A503" t="s">
        <v>2342</v>
      </c>
      <c r="B503">
        <v>77</v>
      </c>
      <c r="C503" t="s">
        <v>12191</v>
      </c>
      <c r="D503" t="s">
        <v>12091</v>
      </c>
      <c r="E503">
        <v>5</v>
      </c>
    </row>
    <row r="504" spans="1:5" x14ac:dyDescent="0.25">
      <c r="A504" t="s">
        <v>2318</v>
      </c>
      <c r="B504">
        <v>63</v>
      </c>
      <c r="C504" t="s">
        <v>11953</v>
      </c>
      <c r="D504" t="s">
        <v>11706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12009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11941</v>
      </c>
      <c r="D506" t="s">
        <v>11536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12355</v>
      </c>
      <c r="D507" t="s">
        <v>12140</v>
      </c>
      <c r="E507">
        <v>3.57</v>
      </c>
    </row>
    <row r="508" spans="1:5" x14ac:dyDescent="0.25">
      <c r="A508" t="s">
        <v>11428</v>
      </c>
      <c r="B508">
        <v>860</v>
      </c>
      <c r="C508" t="s">
        <v>12510</v>
      </c>
      <c r="D508" t="s">
        <v>12317</v>
      </c>
      <c r="E508">
        <v>4</v>
      </c>
    </row>
    <row r="509" spans="1:5" x14ac:dyDescent="0.25">
      <c r="A509" t="s">
        <v>3645</v>
      </c>
      <c r="B509">
        <v>755</v>
      </c>
      <c r="C509" t="s">
        <v>12356</v>
      </c>
      <c r="D509" t="s">
        <v>12133</v>
      </c>
      <c r="E509">
        <v>4.08</v>
      </c>
    </row>
    <row r="510" spans="1:5" x14ac:dyDescent="0.25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25">
      <c r="A512" t="s">
        <v>3557</v>
      </c>
      <c r="B512">
        <v>708</v>
      </c>
      <c r="C512" t="s">
        <v>12523</v>
      </c>
      <c r="D512" t="s">
        <v>12131</v>
      </c>
      <c r="E512">
        <v>4.59</v>
      </c>
    </row>
    <row r="513" spans="1:5" x14ac:dyDescent="0.25">
      <c r="A513" t="s">
        <v>3526</v>
      </c>
      <c r="B513">
        <v>692</v>
      </c>
      <c r="C513" t="s">
        <v>11976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11914</v>
      </c>
      <c r="D514" t="s">
        <v>11743</v>
      </c>
      <c r="E514">
        <v>5.25</v>
      </c>
    </row>
    <row r="515" spans="1:5" x14ac:dyDescent="0.25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12437</v>
      </c>
      <c r="D517" t="s">
        <v>12436</v>
      </c>
      <c r="E517">
        <v>4.59</v>
      </c>
    </row>
    <row r="518" spans="1:5" x14ac:dyDescent="0.25">
      <c r="A518" t="s">
        <v>23</v>
      </c>
      <c r="B518">
        <v>255</v>
      </c>
      <c r="C518" t="s">
        <v>13078</v>
      </c>
      <c r="D518" t="s">
        <v>12914</v>
      </c>
      <c r="E518">
        <v>7</v>
      </c>
    </row>
    <row r="519" spans="1:5" x14ac:dyDescent="0.25">
      <c r="A519" t="s">
        <v>137</v>
      </c>
      <c r="B519">
        <v>648</v>
      </c>
      <c r="C519" t="s">
        <v>13079</v>
      </c>
      <c r="D519" t="s">
        <v>12915</v>
      </c>
      <c r="E519">
        <v>11.25</v>
      </c>
    </row>
    <row r="520" spans="1:5" x14ac:dyDescent="0.25">
      <c r="A520" t="s">
        <v>11438</v>
      </c>
      <c r="B520">
        <v>859</v>
      </c>
      <c r="C520" t="s">
        <v>13080</v>
      </c>
      <c r="D520" t="s">
        <v>12916</v>
      </c>
      <c r="E520">
        <v>14.5</v>
      </c>
    </row>
    <row r="521" spans="1:5" x14ac:dyDescent="0.25">
      <c r="A521" t="s">
        <v>12501</v>
      </c>
      <c r="B521">
        <v>967</v>
      </c>
      <c r="C521" t="s">
        <v>13081</v>
      </c>
      <c r="D521" t="s">
        <v>12917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13082</v>
      </c>
      <c r="D522" t="s">
        <v>12918</v>
      </c>
      <c r="E522">
        <v>5.0999999999999996</v>
      </c>
    </row>
    <row r="523" spans="1:5" x14ac:dyDescent="0.25">
      <c r="A523" t="s">
        <v>11428</v>
      </c>
      <c r="B523">
        <v>860</v>
      </c>
      <c r="C523" t="s">
        <v>13083</v>
      </c>
      <c r="D523" t="s">
        <v>12919</v>
      </c>
      <c r="E523">
        <v>4.5</v>
      </c>
    </row>
    <row r="524" spans="1:5" x14ac:dyDescent="0.25">
      <c r="A524" t="s">
        <v>12228</v>
      </c>
      <c r="B524">
        <v>927</v>
      </c>
      <c r="C524" t="s">
        <v>13084</v>
      </c>
      <c r="D524" t="s">
        <v>12920</v>
      </c>
      <c r="E524">
        <v>4.59</v>
      </c>
    </row>
    <row r="525" spans="1:5" x14ac:dyDescent="0.25">
      <c r="A525" t="s">
        <v>3454</v>
      </c>
      <c r="B525">
        <v>656</v>
      </c>
      <c r="C525" t="s">
        <v>13085</v>
      </c>
      <c r="D525" t="s">
        <v>12921</v>
      </c>
      <c r="E525">
        <v>9.36</v>
      </c>
    </row>
    <row r="526" spans="1:5" x14ac:dyDescent="0.25">
      <c r="A526" t="s">
        <v>11502</v>
      </c>
      <c r="B526">
        <v>893</v>
      </c>
      <c r="C526" t="s">
        <v>13086</v>
      </c>
      <c r="D526" t="s">
        <v>12922</v>
      </c>
      <c r="E526">
        <v>7.65</v>
      </c>
    </row>
    <row r="527" spans="1:5" x14ac:dyDescent="0.25">
      <c r="A527" t="s">
        <v>3567</v>
      </c>
      <c r="B527">
        <v>714</v>
      </c>
      <c r="C527" t="s">
        <v>13087</v>
      </c>
      <c r="D527" t="s">
        <v>12923</v>
      </c>
      <c r="E527">
        <v>4.08</v>
      </c>
    </row>
    <row r="528" spans="1:5" x14ac:dyDescent="0.25">
      <c r="A528" t="s">
        <v>3590</v>
      </c>
      <c r="B528">
        <v>726</v>
      </c>
      <c r="C528" t="s">
        <v>13060</v>
      </c>
      <c r="D528" t="s">
        <v>12926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13090</v>
      </c>
      <c r="D529" t="s">
        <v>12927</v>
      </c>
      <c r="E529">
        <v>4.335</v>
      </c>
    </row>
    <row r="530" spans="1:5" x14ac:dyDescent="0.25">
      <c r="A530" t="s">
        <v>3590</v>
      </c>
      <c r="B530">
        <v>726</v>
      </c>
      <c r="C530" t="s">
        <v>13091</v>
      </c>
      <c r="D530" t="s">
        <v>12928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13092</v>
      </c>
      <c r="D531" t="s">
        <v>12929</v>
      </c>
      <c r="E531">
        <v>6.8849999999999998</v>
      </c>
    </row>
    <row r="532" spans="1:5" x14ac:dyDescent="0.25">
      <c r="A532" t="s">
        <v>12481</v>
      </c>
      <c r="B532">
        <v>957</v>
      </c>
      <c r="C532" t="s">
        <v>13093</v>
      </c>
      <c r="D532" t="s">
        <v>12930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13094</v>
      </c>
      <c r="D533" t="s">
        <v>12931</v>
      </c>
      <c r="E533">
        <v>8.75</v>
      </c>
    </row>
    <row r="534" spans="1:5" x14ac:dyDescent="0.25">
      <c r="A534" t="s">
        <v>12495</v>
      </c>
      <c r="B534">
        <v>964</v>
      </c>
      <c r="C534" t="s">
        <v>13096</v>
      </c>
      <c r="D534" t="s">
        <v>12933</v>
      </c>
      <c r="E534">
        <v>4.59</v>
      </c>
    </row>
    <row r="535" spans="1:5" x14ac:dyDescent="0.25">
      <c r="A535" t="s">
        <v>12820</v>
      </c>
      <c r="B535">
        <v>991</v>
      </c>
      <c r="C535" t="s">
        <v>13097</v>
      </c>
      <c r="D535" t="s">
        <v>12934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13098</v>
      </c>
      <c r="D536" t="s">
        <v>12935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13099</v>
      </c>
      <c r="D537" t="s">
        <v>12936</v>
      </c>
      <c r="E537">
        <v>9.75</v>
      </c>
    </row>
    <row r="538" spans="1:5" x14ac:dyDescent="0.25">
      <c r="A538" t="s">
        <v>3830</v>
      </c>
      <c r="B538">
        <v>261</v>
      </c>
      <c r="C538" t="s">
        <v>13100</v>
      </c>
      <c r="D538" t="s">
        <v>12937</v>
      </c>
      <c r="E538">
        <v>6.24</v>
      </c>
    </row>
    <row r="539" spans="1:5" x14ac:dyDescent="0.25">
      <c r="A539" t="s">
        <v>3861</v>
      </c>
      <c r="B539">
        <v>690</v>
      </c>
      <c r="C539" t="s">
        <v>13101</v>
      </c>
      <c r="D539" t="s">
        <v>12938</v>
      </c>
      <c r="E539">
        <v>8</v>
      </c>
    </row>
    <row r="540" spans="1:5" x14ac:dyDescent="0.25">
      <c r="A540" t="s">
        <v>12505</v>
      </c>
      <c r="B540">
        <v>969</v>
      </c>
      <c r="C540" t="s">
        <v>13103</v>
      </c>
      <c r="D540" t="s">
        <v>12940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13057</v>
      </c>
      <c r="D541" t="s">
        <v>12944</v>
      </c>
      <c r="E541">
        <v>6</v>
      </c>
    </row>
    <row r="542" spans="1:5" x14ac:dyDescent="0.25">
      <c r="A542" t="s">
        <v>12204</v>
      </c>
      <c r="B542">
        <v>938</v>
      </c>
      <c r="C542" t="s">
        <v>13106</v>
      </c>
      <c r="D542" t="s">
        <v>12945</v>
      </c>
      <c r="E542">
        <v>4.59</v>
      </c>
    </row>
    <row r="543" spans="1:5" x14ac:dyDescent="0.25">
      <c r="A543" t="s">
        <v>11496</v>
      </c>
      <c r="B543">
        <v>890</v>
      </c>
      <c r="C543" t="s">
        <v>13107</v>
      </c>
      <c r="D543" t="s">
        <v>12947</v>
      </c>
      <c r="E543">
        <v>3.3149999999999999</v>
      </c>
    </row>
    <row r="544" spans="1:5" x14ac:dyDescent="0.25">
      <c r="A544" t="s">
        <v>12204</v>
      </c>
      <c r="B544">
        <v>938</v>
      </c>
      <c r="C544" t="s">
        <v>13108</v>
      </c>
      <c r="D544" t="s">
        <v>12948</v>
      </c>
      <c r="E544">
        <v>7.14</v>
      </c>
    </row>
    <row r="545" spans="1:5" x14ac:dyDescent="0.25">
      <c r="A545" t="s">
        <v>12575</v>
      </c>
      <c r="B545">
        <v>975</v>
      </c>
      <c r="C545" t="s">
        <v>13110</v>
      </c>
      <c r="D545" t="s">
        <v>12952</v>
      </c>
      <c r="E545">
        <v>6.375</v>
      </c>
    </row>
    <row r="546" spans="1:5" x14ac:dyDescent="0.25">
      <c r="A546" t="s">
        <v>3407</v>
      </c>
      <c r="B546">
        <v>632</v>
      </c>
      <c r="C546" t="s">
        <v>13053</v>
      </c>
      <c r="D546" t="s">
        <v>12953</v>
      </c>
      <c r="E546">
        <v>7.65</v>
      </c>
    </row>
    <row r="547" spans="1:5" x14ac:dyDescent="0.25">
      <c r="A547" t="s">
        <v>3460</v>
      </c>
      <c r="B547">
        <v>659</v>
      </c>
      <c r="C547" t="s">
        <v>13050</v>
      </c>
      <c r="D547" t="s">
        <v>12955</v>
      </c>
      <c r="E547">
        <v>5.0999999999999996</v>
      </c>
    </row>
    <row r="548" spans="1:5" x14ac:dyDescent="0.25">
      <c r="A548" t="s">
        <v>12264</v>
      </c>
      <c r="B548">
        <v>940</v>
      </c>
      <c r="C548" t="s">
        <v>13112</v>
      </c>
      <c r="D548" t="s">
        <v>12956</v>
      </c>
      <c r="E548">
        <v>7.8</v>
      </c>
    </row>
    <row r="549" spans="1:5" x14ac:dyDescent="0.25">
      <c r="A549" t="s">
        <v>12499</v>
      </c>
      <c r="B549">
        <v>966</v>
      </c>
      <c r="C549" t="s">
        <v>13052</v>
      </c>
      <c r="D549" t="s">
        <v>12957</v>
      </c>
      <c r="E549">
        <v>11.475</v>
      </c>
    </row>
    <row r="550" spans="1:5" x14ac:dyDescent="0.25">
      <c r="A550" t="s">
        <v>2592</v>
      </c>
      <c r="B550">
        <v>205</v>
      </c>
      <c r="C550" t="s">
        <v>13113</v>
      </c>
      <c r="D550" t="s">
        <v>12958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13114</v>
      </c>
      <c r="D551" t="s">
        <v>12959</v>
      </c>
      <c r="E551">
        <v>5.3550000000000004</v>
      </c>
    </row>
    <row r="552" spans="1:5" x14ac:dyDescent="0.25">
      <c r="A552" t="s">
        <v>12505</v>
      </c>
      <c r="B552">
        <v>969</v>
      </c>
      <c r="C552" t="s">
        <v>13054</v>
      </c>
      <c r="D552" t="s">
        <v>12962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13047</v>
      </c>
      <c r="D553" t="s">
        <v>12965</v>
      </c>
      <c r="E553">
        <v>8.16</v>
      </c>
    </row>
    <row r="554" spans="1:5" x14ac:dyDescent="0.25">
      <c r="A554" t="s">
        <v>3651</v>
      </c>
      <c r="B554">
        <v>758</v>
      </c>
      <c r="C554" t="s">
        <v>13118</v>
      </c>
      <c r="D554" t="s">
        <v>12966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13121</v>
      </c>
      <c r="D555" t="s">
        <v>12969</v>
      </c>
      <c r="E555">
        <v>8.16</v>
      </c>
    </row>
    <row r="556" spans="1:5" x14ac:dyDescent="0.25">
      <c r="A556" t="s">
        <v>3590</v>
      </c>
      <c r="B556">
        <v>726</v>
      </c>
      <c r="C556" t="s">
        <v>13049</v>
      </c>
      <c r="D556" t="s">
        <v>12970</v>
      </c>
      <c r="E556">
        <v>6.12</v>
      </c>
    </row>
    <row r="557" spans="1:5" x14ac:dyDescent="0.25">
      <c r="A557" t="s">
        <v>12241</v>
      </c>
      <c r="B557">
        <v>930</v>
      </c>
      <c r="C557" t="s">
        <v>13123</v>
      </c>
      <c r="D557" t="s">
        <v>12972</v>
      </c>
      <c r="E557">
        <v>6.12</v>
      </c>
    </row>
    <row r="558" spans="1:5" x14ac:dyDescent="0.25">
      <c r="A558" t="s">
        <v>2592</v>
      </c>
      <c r="B558">
        <v>205</v>
      </c>
      <c r="C558" t="s">
        <v>13124</v>
      </c>
      <c r="D558" t="s">
        <v>12973</v>
      </c>
      <c r="E558">
        <v>8.16</v>
      </c>
    </row>
    <row r="559" spans="1:5" x14ac:dyDescent="0.25">
      <c r="A559" t="s">
        <v>2250</v>
      </c>
      <c r="B559">
        <v>27</v>
      </c>
      <c r="C559" t="s">
        <v>12348</v>
      </c>
      <c r="D559" t="s">
        <v>12324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11926</v>
      </c>
      <c r="D560" t="s">
        <v>11771</v>
      </c>
      <c r="E560">
        <v>7.5</v>
      </c>
    </row>
    <row r="561" spans="1:5" x14ac:dyDescent="0.25">
      <c r="A561" t="s">
        <v>11428</v>
      </c>
      <c r="B561">
        <v>860</v>
      </c>
      <c r="C561" t="s">
        <v>12463</v>
      </c>
      <c r="D561" t="s">
        <v>12359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12462</v>
      </c>
      <c r="D562" t="s">
        <v>12397</v>
      </c>
      <c r="E562">
        <v>3.25</v>
      </c>
    </row>
    <row r="563" spans="1:5" x14ac:dyDescent="0.25">
      <c r="A563" t="s">
        <v>2993</v>
      </c>
      <c r="B563">
        <v>417</v>
      </c>
      <c r="C563" t="s">
        <v>12016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12531</v>
      </c>
      <c r="D564" t="s">
        <v>12182</v>
      </c>
      <c r="E564">
        <v>8.5</v>
      </c>
    </row>
    <row r="565" spans="1:5" x14ac:dyDescent="0.25">
      <c r="A565" t="s">
        <v>3590</v>
      </c>
      <c r="B565">
        <v>726</v>
      </c>
      <c r="C565" t="s">
        <v>13376</v>
      </c>
      <c r="D565" t="s">
        <v>13309</v>
      </c>
      <c r="E565">
        <v>8.9250000000000007</v>
      </c>
    </row>
    <row r="566" spans="1:5" x14ac:dyDescent="0.25">
      <c r="A566" t="s">
        <v>11496</v>
      </c>
      <c r="B566">
        <v>890</v>
      </c>
      <c r="C566" t="s">
        <v>13518</v>
      </c>
      <c r="D566" t="s">
        <v>13365</v>
      </c>
      <c r="E566">
        <v>4.08</v>
      </c>
    </row>
    <row r="567" spans="1:5" x14ac:dyDescent="0.25">
      <c r="A567" t="s">
        <v>3651</v>
      </c>
      <c r="B567">
        <v>758</v>
      </c>
      <c r="C567" t="s">
        <v>13519</v>
      </c>
      <c r="D567" t="s">
        <v>13131</v>
      </c>
      <c r="E567">
        <v>2.75</v>
      </c>
    </row>
    <row r="568" spans="1:5" x14ac:dyDescent="0.25">
      <c r="A568" t="s">
        <v>11502</v>
      </c>
      <c r="B568">
        <v>893</v>
      </c>
      <c r="C568" t="s">
        <v>13520</v>
      </c>
      <c r="D568" t="s">
        <v>13139</v>
      </c>
      <c r="E568">
        <v>8.16</v>
      </c>
    </row>
    <row r="569" spans="1:5" x14ac:dyDescent="0.25">
      <c r="A569" t="s">
        <v>12497</v>
      </c>
      <c r="B569">
        <v>965</v>
      </c>
      <c r="C569" t="s">
        <v>13521</v>
      </c>
      <c r="D569" t="s">
        <v>13145</v>
      </c>
      <c r="E569">
        <v>4.9400000000000004</v>
      </c>
    </row>
    <row r="570" spans="1:5" x14ac:dyDescent="0.25">
      <c r="A570" t="s">
        <v>12827</v>
      </c>
      <c r="B570">
        <v>995</v>
      </c>
      <c r="C570" t="s">
        <v>13522</v>
      </c>
      <c r="D570" t="s">
        <v>13150</v>
      </c>
      <c r="E570">
        <v>5.0999999999999996</v>
      </c>
    </row>
    <row r="571" spans="1:5" x14ac:dyDescent="0.25">
      <c r="A571" t="s">
        <v>12491</v>
      </c>
      <c r="B571">
        <v>962</v>
      </c>
      <c r="C571" t="s">
        <v>13381</v>
      </c>
      <c r="D571" t="s">
        <v>13159</v>
      </c>
      <c r="E571">
        <v>4.335</v>
      </c>
    </row>
    <row r="572" spans="1:5" x14ac:dyDescent="0.25">
      <c r="A572" t="s">
        <v>2592</v>
      </c>
      <c r="B572">
        <v>205</v>
      </c>
      <c r="C572" t="s">
        <v>13378</v>
      </c>
      <c r="D572" t="s">
        <v>13164</v>
      </c>
      <c r="E572">
        <v>6.75</v>
      </c>
    </row>
    <row r="573" spans="1:5" x14ac:dyDescent="0.25">
      <c r="A573" t="s">
        <v>12274</v>
      </c>
      <c r="B573">
        <v>945</v>
      </c>
      <c r="C573" t="s">
        <v>13523</v>
      </c>
      <c r="D573" t="s">
        <v>13168</v>
      </c>
      <c r="E573">
        <v>5.25</v>
      </c>
    </row>
    <row r="574" spans="1:5" x14ac:dyDescent="0.25">
      <c r="A574" t="s">
        <v>2728</v>
      </c>
      <c r="B574">
        <v>282</v>
      </c>
      <c r="C574" t="s">
        <v>13524</v>
      </c>
      <c r="D574" t="s">
        <v>13176</v>
      </c>
      <c r="E574">
        <v>9</v>
      </c>
    </row>
    <row r="575" spans="1:5" x14ac:dyDescent="0.25">
      <c r="A575" t="s">
        <v>2704</v>
      </c>
      <c r="B575">
        <v>268</v>
      </c>
      <c r="C575" t="s">
        <v>13525</v>
      </c>
      <c r="D575" t="s">
        <v>13181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13526</v>
      </c>
      <c r="D576" t="s">
        <v>13183</v>
      </c>
      <c r="E576">
        <v>8.32</v>
      </c>
    </row>
    <row r="577" spans="1:5" x14ac:dyDescent="0.25">
      <c r="A577" t="s">
        <v>2592</v>
      </c>
      <c r="B577">
        <v>205</v>
      </c>
      <c r="C577" t="s">
        <v>13527</v>
      </c>
      <c r="D577" t="s">
        <v>13187</v>
      </c>
      <c r="E577">
        <v>10.5</v>
      </c>
    </row>
    <row r="578" spans="1:5" x14ac:dyDescent="0.25">
      <c r="A578" t="s">
        <v>12793</v>
      </c>
      <c r="B578">
        <v>0</v>
      </c>
      <c r="C578" t="s">
        <v>13380</v>
      </c>
      <c r="D578" t="s">
        <v>13193</v>
      </c>
      <c r="E578">
        <v>7.65</v>
      </c>
    </row>
    <row r="579" spans="1:5" x14ac:dyDescent="0.25">
      <c r="A579" t="s">
        <v>2938</v>
      </c>
      <c r="B579">
        <v>389</v>
      </c>
      <c r="C579" t="s">
        <v>13377</v>
      </c>
      <c r="D579" t="s">
        <v>13197</v>
      </c>
      <c r="E579">
        <v>6.25</v>
      </c>
    </row>
    <row r="580" spans="1:5" x14ac:dyDescent="0.25">
      <c r="A580" t="s">
        <v>8673</v>
      </c>
      <c r="B580">
        <v>856</v>
      </c>
      <c r="C580" t="s">
        <v>13528</v>
      </c>
      <c r="D580" t="s">
        <v>13211</v>
      </c>
      <c r="E580">
        <v>11.25</v>
      </c>
    </row>
    <row r="581" spans="1:5" x14ac:dyDescent="0.25">
      <c r="A581" t="s">
        <v>11502</v>
      </c>
      <c r="B581">
        <v>893</v>
      </c>
      <c r="C581" t="s">
        <v>13529</v>
      </c>
      <c r="D581" t="s">
        <v>13213</v>
      </c>
      <c r="E581">
        <v>3.57</v>
      </c>
    </row>
    <row r="582" spans="1:5" x14ac:dyDescent="0.25">
      <c r="A582" t="s">
        <v>3675</v>
      </c>
      <c r="B582">
        <v>771</v>
      </c>
      <c r="C582" t="s">
        <v>13530</v>
      </c>
      <c r="D582" t="s">
        <v>13223</v>
      </c>
      <c r="E582">
        <v>7</v>
      </c>
    </row>
    <row r="583" spans="1:5" x14ac:dyDescent="0.25">
      <c r="A583" t="s">
        <v>12204</v>
      </c>
      <c r="B583">
        <v>938</v>
      </c>
      <c r="C583" t="s">
        <v>13531</v>
      </c>
      <c r="D583" t="s">
        <v>13227</v>
      </c>
      <c r="E583">
        <v>8.9250000000000007</v>
      </c>
    </row>
    <row r="584" spans="1:5" x14ac:dyDescent="0.25">
      <c r="A584" t="s">
        <v>12495</v>
      </c>
      <c r="B584">
        <v>964</v>
      </c>
      <c r="C584" t="s">
        <v>13532</v>
      </c>
      <c r="D584" t="s">
        <v>13234</v>
      </c>
      <c r="E584">
        <v>4.9400000000000004</v>
      </c>
    </row>
    <row r="585" spans="1:5" x14ac:dyDescent="0.25">
      <c r="A585" t="s">
        <v>11510</v>
      </c>
      <c r="B585">
        <v>897</v>
      </c>
      <c r="C585" t="s">
        <v>13533</v>
      </c>
      <c r="D585" t="s">
        <v>13236</v>
      </c>
      <c r="E585">
        <v>4.5</v>
      </c>
    </row>
    <row r="586" spans="1:5" x14ac:dyDescent="0.25">
      <c r="A586" t="s">
        <v>2592</v>
      </c>
      <c r="B586">
        <v>205</v>
      </c>
      <c r="C586" t="s">
        <v>13534</v>
      </c>
      <c r="D586" t="s">
        <v>13257</v>
      </c>
      <c r="E586">
        <v>6.5</v>
      </c>
    </row>
    <row r="587" spans="1:5" x14ac:dyDescent="0.25">
      <c r="A587" t="s">
        <v>3526</v>
      </c>
      <c r="B587">
        <v>692</v>
      </c>
      <c r="C587" t="s">
        <v>13536</v>
      </c>
      <c r="D587" t="s">
        <v>13278</v>
      </c>
      <c r="E587">
        <v>9.4350000000000005</v>
      </c>
    </row>
    <row r="588" spans="1:5" x14ac:dyDescent="0.25">
      <c r="A588" t="s">
        <v>11510</v>
      </c>
      <c r="B588">
        <v>897</v>
      </c>
      <c r="C588" t="s">
        <v>13537</v>
      </c>
      <c r="D588" t="s">
        <v>13283</v>
      </c>
      <c r="E588">
        <v>8.58</v>
      </c>
    </row>
    <row r="589" spans="1:5" x14ac:dyDescent="0.25">
      <c r="A589" t="s">
        <v>13478</v>
      </c>
      <c r="B589">
        <v>1028</v>
      </c>
      <c r="C589" t="s">
        <v>13538</v>
      </c>
      <c r="D589" t="s">
        <v>13299</v>
      </c>
      <c r="E589">
        <v>8.58</v>
      </c>
    </row>
    <row r="590" spans="1:5" x14ac:dyDescent="0.25">
      <c r="A590" t="s">
        <v>2318</v>
      </c>
      <c r="B590">
        <v>63</v>
      </c>
      <c r="C590" t="s">
        <v>13539</v>
      </c>
      <c r="D590" t="s">
        <v>13302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13540</v>
      </c>
      <c r="D591" t="s">
        <v>13314</v>
      </c>
      <c r="E591">
        <v>7</v>
      </c>
    </row>
    <row r="592" spans="1:5" x14ac:dyDescent="0.25">
      <c r="A592" t="s">
        <v>12495</v>
      </c>
      <c r="B592">
        <v>964</v>
      </c>
      <c r="C592" t="s">
        <v>13541</v>
      </c>
      <c r="D592" t="s">
        <v>13346</v>
      </c>
      <c r="E592">
        <v>11.96</v>
      </c>
    </row>
    <row r="593" spans="1:5" x14ac:dyDescent="0.25">
      <c r="A593" t="s">
        <v>2318</v>
      </c>
      <c r="B593">
        <v>63</v>
      </c>
      <c r="C593" t="s">
        <v>13542</v>
      </c>
      <c r="D593" t="s">
        <v>13166</v>
      </c>
      <c r="E593">
        <v>6.12</v>
      </c>
    </row>
    <row r="594" spans="1:5" x14ac:dyDescent="0.25">
      <c r="A594" t="s">
        <v>12282</v>
      </c>
      <c r="B594">
        <v>949</v>
      </c>
      <c r="C594" t="s">
        <v>13543</v>
      </c>
      <c r="D594" t="s">
        <v>13230</v>
      </c>
      <c r="E594">
        <v>6.25</v>
      </c>
    </row>
    <row r="595" spans="1:5" x14ac:dyDescent="0.25">
      <c r="A595" t="s">
        <v>3407</v>
      </c>
      <c r="B595">
        <v>632</v>
      </c>
      <c r="C595" t="s">
        <v>13544</v>
      </c>
      <c r="D595" t="s">
        <v>13248</v>
      </c>
      <c r="E595">
        <v>3</v>
      </c>
    </row>
    <row r="596" spans="1:5" x14ac:dyDescent="0.25">
      <c r="A596" t="s">
        <v>3490</v>
      </c>
      <c r="B596">
        <v>674</v>
      </c>
      <c r="C596" t="s">
        <v>13387</v>
      </c>
      <c r="D596" t="s">
        <v>13271</v>
      </c>
      <c r="E596">
        <v>3</v>
      </c>
    </row>
    <row r="597" spans="1:5" x14ac:dyDescent="0.25">
      <c r="A597" t="s">
        <v>3590</v>
      </c>
      <c r="B597">
        <v>726</v>
      </c>
      <c r="C597" t="s">
        <v>13386</v>
      </c>
      <c r="D597" t="s">
        <v>13280</v>
      </c>
      <c r="E597">
        <v>3.3149999999999999</v>
      </c>
    </row>
    <row r="598" spans="1:5" x14ac:dyDescent="0.25">
      <c r="A598" t="s">
        <v>11496</v>
      </c>
      <c r="B598">
        <v>890</v>
      </c>
      <c r="C598" t="s">
        <v>13545</v>
      </c>
      <c r="D598" t="s">
        <v>13352</v>
      </c>
      <c r="E598">
        <v>10.455</v>
      </c>
    </row>
    <row r="599" spans="1:5" x14ac:dyDescent="0.25">
      <c r="A599" t="s">
        <v>11428</v>
      </c>
      <c r="B599">
        <v>860</v>
      </c>
      <c r="C599" t="s">
        <v>13379</v>
      </c>
      <c r="D599" t="s">
        <v>13356</v>
      </c>
      <c r="E599">
        <v>6.25</v>
      </c>
    </row>
    <row r="600" spans="1:5" x14ac:dyDescent="0.25">
      <c r="A600" t="s">
        <v>1007</v>
      </c>
      <c r="B600">
        <v>703</v>
      </c>
      <c r="C600" t="s">
        <v>13391</v>
      </c>
      <c r="D600" t="s">
        <v>13129</v>
      </c>
      <c r="E600">
        <v>11.22</v>
      </c>
    </row>
    <row r="601" spans="1:5" x14ac:dyDescent="0.25">
      <c r="A601" t="s">
        <v>12209</v>
      </c>
      <c r="B601">
        <v>912</v>
      </c>
      <c r="C601" t="s">
        <v>13396</v>
      </c>
      <c r="D601" t="s">
        <v>13152</v>
      </c>
      <c r="E601">
        <v>6.12</v>
      </c>
    </row>
    <row r="602" spans="1:5" x14ac:dyDescent="0.25">
      <c r="A602" t="s">
        <v>11500</v>
      </c>
      <c r="B602">
        <v>892</v>
      </c>
      <c r="C602" t="s">
        <v>13546</v>
      </c>
      <c r="D602" t="s">
        <v>13170</v>
      </c>
      <c r="E602">
        <v>8.5</v>
      </c>
    </row>
    <row r="603" spans="1:5" x14ac:dyDescent="0.25">
      <c r="A603" t="s">
        <v>3590</v>
      </c>
      <c r="B603">
        <v>726</v>
      </c>
      <c r="C603" t="s">
        <v>13392</v>
      </c>
      <c r="D603" t="s">
        <v>13189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13547</v>
      </c>
      <c r="D604" t="s">
        <v>13251</v>
      </c>
      <c r="E604">
        <v>8.4149999999999991</v>
      </c>
    </row>
    <row r="605" spans="1:5" x14ac:dyDescent="0.25">
      <c r="A605" t="s">
        <v>12214</v>
      </c>
      <c r="B605">
        <v>915</v>
      </c>
      <c r="C605" t="s">
        <v>13395</v>
      </c>
      <c r="D605" t="s">
        <v>13253</v>
      </c>
      <c r="E605">
        <v>3.57</v>
      </c>
    </row>
    <row r="606" spans="1:5" x14ac:dyDescent="0.25">
      <c r="A606" t="s">
        <v>12282</v>
      </c>
      <c r="B606">
        <v>949</v>
      </c>
      <c r="C606" t="s">
        <v>13548</v>
      </c>
      <c r="D606" t="s">
        <v>13259</v>
      </c>
      <c r="E606">
        <v>10.965</v>
      </c>
    </row>
    <row r="607" spans="1:5" x14ac:dyDescent="0.25">
      <c r="A607" t="s">
        <v>3407</v>
      </c>
      <c r="B607">
        <v>632</v>
      </c>
      <c r="C607" t="s">
        <v>13394</v>
      </c>
      <c r="D607" t="s">
        <v>13261</v>
      </c>
      <c r="E607">
        <v>7.9050000000000002</v>
      </c>
    </row>
    <row r="608" spans="1:5" x14ac:dyDescent="0.25">
      <c r="A608" t="s">
        <v>11496</v>
      </c>
      <c r="B608">
        <v>890</v>
      </c>
      <c r="C608" t="s">
        <v>13393</v>
      </c>
      <c r="D608" t="s">
        <v>13267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13549</v>
      </c>
      <c r="D609" t="s">
        <v>13295</v>
      </c>
      <c r="E609">
        <v>14.25</v>
      </c>
    </row>
    <row r="610" spans="1:5" x14ac:dyDescent="0.25">
      <c r="A610" t="s">
        <v>11510</v>
      </c>
      <c r="B610">
        <v>897</v>
      </c>
      <c r="C610" t="s">
        <v>13550</v>
      </c>
      <c r="D610" t="s">
        <v>13297</v>
      </c>
      <c r="E610">
        <v>2.6</v>
      </c>
    </row>
    <row r="611" spans="1:5" x14ac:dyDescent="0.25">
      <c r="A611" t="s">
        <v>137</v>
      </c>
      <c r="B611">
        <v>648</v>
      </c>
      <c r="C611" t="s">
        <v>13551</v>
      </c>
      <c r="D611" t="s">
        <v>13304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13551</v>
      </c>
      <c r="D612" t="s">
        <v>13305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13552</v>
      </c>
      <c r="D613" t="s">
        <v>13331</v>
      </c>
      <c r="E613">
        <v>7.28</v>
      </c>
    </row>
    <row r="614" spans="1:5" x14ac:dyDescent="0.25">
      <c r="A614" t="s">
        <v>12820</v>
      </c>
      <c r="B614">
        <v>991</v>
      </c>
      <c r="C614" t="s">
        <v>13553</v>
      </c>
      <c r="D614" t="s">
        <v>13340</v>
      </c>
      <c r="E614">
        <v>2.5499999999999998</v>
      </c>
    </row>
    <row r="615" spans="1:5" x14ac:dyDescent="0.25">
      <c r="A615" t="s">
        <v>12574</v>
      </c>
      <c r="B615">
        <v>974</v>
      </c>
      <c r="C615" t="s">
        <v>13554</v>
      </c>
      <c r="D615" t="s">
        <v>13354</v>
      </c>
      <c r="E615">
        <v>4.59</v>
      </c>
    </row>
    <row r="616" spans="1:5" x14ac:dyDescent="0.25">
      <c r="A616" t="s">
        <v>3353</v>
      </c>
      <c r="B616">
        <v>603</v>
      </c>
      <c r="C616" t="s">
        <v>13389</v>
      </c>
      <c r="D616" t="s">
        <v>13373</v>
      </c>
      <c r="E616">
        <v>2.5</v>
      </c>
    </row>
    <row r="617" spans="1:5" x14ac:dyDescent="0.25">
      <c r="A617" t="s">
        <v>12820</v>
      </c>
      <c r="B617">
        <v>991</v>
      </c>
      <c r="C617" t="s">
        <v>13157</v>
      </c>
      <c r="D617" t="s">
        <v>13172</v>
      </c>
      <c r="E617">
        <v>23.46</v>
      </c>
    </row>
    <row r="618" spans="1:5" x14ac:dyDescent="0.25">
      <c r="A618" t="s">
        <v>12266</v>
      </c>
      <c r="B618">
        <v>941</v>
      </c>
      <c r="C618" t="s">
        <v>13558</v>
      </c>
      <c r="D618" t="s">
        <v>13255</v>
      </c>
      <c r="E618">
        <v>3.57</v>
      </c>
    </row>
    <row r="619" spans="1:5" x14ac:dyDescent="0.25">
      <c r="A619" t="s">
        <v>3371</v>
      </c>
      <c r="B619">
        <v>612</v>
      </c>
      <c r="C619" t="s">
        <v>13559</v>
      </c>
      <c r="D619" t="s">
        <v>13292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13397</v>
      </c>
      <c r="D620" t="s">
        <v>13324</v>
      </c>
      <c r="E620">
        <v>3.06</v>
      </c>
    </row>
    <row r="621" spans="1:5" x14ac:dyDescent="0.25">
      <c r="A621" t="s">
        <v>3651</v>
      </c>
      <c r="B621">
        <v>758</v>
      </c>
      <c r="C621" t="s">
        <v>13560</v>
      </c>
      <c r="D621" t="s">
        <v>13334</v>
      </c>
      <c r="E621">
        <v>4</v>
      </c>
    </row>
    <row r="622" spans="1:5" x14ac:dyDescent="0.25">
      <c r="A622" t="s">
        <v>11502</v>
      </c>
      <c r="B622">
        <v>893</v>
      </c>
      <c r="C622" t="s">
        <v>13561</v>
      </c>
      <c r="D622" t="s">
        <v>13350</v>
      </c>
      <c r="E622">
        <v>9.18</v>
      </c>
    </row>
    <row r="623" spans="1:5" x14ac:dyDescent="0.25">
      <c r="A623" t="s">
        <v>11502</v>
      </c>
      <c r="B623">
        <v>893</v>
      </c>
      <c r="C623" t="s">
        <v>13562</v>
      </c>
      <c r="D623" t="s">
        <v>13362</v>
      </c>
      <c r="E623">
        <v>4.59</v>
      </c>
    </row>
    <row r="624" spans="1:5" x14ac:dyDescent="0.25">
      <c r="A624" t="s">
        <v>12495</v>
      </c>
      <c r="B624">
        <v>964</v>
      </c>
      <c r="C624" t="s">
        <v>13400</v>
      </c>
      <c r="D624" t="s">
        <v>13141</v>
      </c>
      <c r="E624">
        <v>3.8250000000000002</v>
      </c>
    </row>
    <row r="625" spans="1:5" x14ac:dyDescent="0.25">
      <c r="A625" t="s">
        <v>12495</v>
      </c>
      <c r="B625">
        <v>964</v>
      </c>
      <c r="C625" t="s">
        <v>13563</v>
      </c>
      <c r="D625" t="s">
        <v>13195</v>
      </c>
      <c r="E625">
        <v>4</v>
      </c>
    </row>
    <row r="626" spans="1:5" x14ac:dyDescent="0.25">
      <c r="A626" t="s">
        <v>12495</v>
      </c>
      <c r="B626">
        <v>964</v>
      </c>
      <c r="C626" t="s">
        <v>13401</v>
      </c>
      <c r="D626" t="s">
        <v>13126</v>
      </c>
      <c r="E626">
        <v>5.8650000000000002</v>
      </c>
    </row>
    <row r="627" spans="1:5" x14ac:dyDescent="0.25">
      <c r="A627" t="s">
        <v>13157</v>
      </c>
      <c r="B627">
        <v>0</v>
      </c>
      <c r="C627" t="s">
        <v>13402</v>
      </c>
      <c r="D627" t="s">
        <v>13156</v>
      </c>
      <c r="E627">
        <v>5.8650000000000002</v>
      </c>
    </row>
    <row r="628" spans="1:5" x14ac:dyDescent="0.25">
      <c r="A628" t="s">
        <v>11502</v>
      </c>
      <c r="B628">
        <v>893</v>
      </c>
      <c r="C628" t="s">
        <v>13566</v>
      </c>
      <c r="D628" t="s">
        <v>13200</v>
      </c>
      <c r="E628">
        <v>8.9250000000000007</v>
      </c>
    </row>
    <row r="629" spans="1:5" x14ac:dyDescent="0.25">
      <c r="A629" t="s">
        <v>12282</v>
      </c>
      <c r="B629">
        <v>949</v>
      </c>
      <c r="C629" t="s">
        <v>13567</v>
      </c>
      <c r="D629" t="s">
        <v>13207</v>
      </c>
      <c r="E629">
        <v>14.025</v>
      </c>
    </row>
    <row r="630" spans="1:5" x14ac:dyDescent="0.25">
      <c r="A630" t="s">
        <v>3215</v>
      </c>
      <c r="B630">
        <v>530</v>
      </c>
      <c r="C630" t="s">
        <v>13568</v>
      </c>
      <c r="D630" t="s">
        <v>13218</v>
      </c>
      <c r="E630">
        <v>8</v>
      </c>
    </row>
    <row r="631" spans="1:5" x14ac:dyDescent="0.25">
      <c r="A631" t="s">
        <v>12274</v>
      </c>
      <c r="B631">
        <v>945</v>
      </c>
      <c r="C631" t="s">
        <v>13569</v>
      </c>
      <c r="D631" t="s">
        <v>13245</v>
      </c>
      <c r="E631">
        <v>6.75</v>
      </c>
    </row>
    <row r="632" spans="1:5" x14ac:dyDescent="0.25">
      <c r="A632" t="s">
        <v>12820</v>
      </c>
      <c r="B632">
        <v>991</v>
      </c>
      <c r="C632" t="s">
        <v>13570</v>
      </c>
      <c r="D632" t="s">
        <v>13276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13571</v>
      </c>
      <c r="D633" t="s">
        <v>13288</v>
      </c>
      <c r="E633">
        <v>3.8250000000000002</v>
      </c>
    </row>
    <row r="634" spans="1:5" x14ac:dyDescent="0.25">
      <c r="A634" t="s">
        <v>12266</v>
      </c>
      <c r="B634">
        <v>941</v>
      </c>
      <c r="C634" t="s">
        <v>13572</v>
      </c>
      <c r="D634" t="s">
        <v>13312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13573</v>
      </c>
      <c r="D635" t="s">
        <v>13320</v>
      </c>
      <c r="E635">
        <v>10.455</v>
      </c>
    </row>
    <row r="636" spans="1:5" x14ac:dyDescent="0.25">
      <c r="A636" t="s">
        <v>2592</v>
      </c>
      <c r="B636">
        <v>205</v>
      </c>
      <c r="C636" t="s">
        <v>13077</v>
      </c>
      <c r="D636" t="s">
        <v>13076</v>
      </c>
      <c r="E636">
        <v>9</v>
      </c>
    </row>
    <row r="637" spans="1:5" x14ac:dyDescent="0.25">
      <c r="A637" t="s">
        <v>11496</v>
      </c>
      <c r="B637">
        <v>890</v>
      </c>
      <c r="C637" t="s">
        <v>13574</v>
      </c>
      <c r="D637" t="s">
        <v>13338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13405</v>
      </c>
      <c r="D638" t="s">
        <v>13360</v>
      </c>
      <c r="E638">
        <v>6.12</v>
      </c>
    </row>
    <row r="639" spans="1:5" x14ac:dyDescent="0.25">
      <c r="A639" t="s">
        <v>3407</v>
      </c>
      <c r="B639">
        <v>632</v>
      </c>
      <c r="C639" t="s">
        <v>13575</v>
      </c>
      <c r="D639" t="s">
        <v>13068</v>
      </c>
      <c r="E639">
        <v>6.25</v>
      </c>
    </row>
    <row r="640" spans="1:5" x14ac:dyDescent="0.25">
      <c r="A640" t="s">
        <v>3767</v>
      </c>
      <c r="B640">
        <v>817</v>
      </c>
      <c r="C640" t="s">
        <v>13409</v>
      </c>
      <c r="D640" t="s">
        <v>13143</v>
      </c>
      <c r="E640">
        <v>8.16</v>
      </c>
    </row>
    <row r="641" spans="1:5" x14ac:dyDescent="0.25">
      <c r="A641" t="s">
        <v>3502</v>
      </c>
      <c r="B641">
        <v>680</v>
      </c>
      <c r="C641" t="s">
        <v>13407</v>
      </c>
      <c r="D641" t="s">
        <v>13174</v>
      </c>
      <c r="E641">
        <v>11.73</v>
      </c>
    </row>
    <row r="642" spans="1:5" x14ac:dyDescent="0.25">
      <c r="A642" t="s">
        <v>11496</v>
      </c>
      <c r="B642">
        <v>890</v>
      </c>
      <c r="C642" t="s">
        <v>13579</v>
      </c>
      <c r="D642" t="s">
        <v>13232</v>
      </c>
      <c r="E642">
        <v>10.965</v>
      </c>
    </row>
    <row r="643" spans="1:5" x14ac:dyDescent="0.25">
      <c r="A643" t="s">
        <v>11428</v>
      </c>
      <c r="B643">
        <v>860</v>
      </c>
      <c r="C643" t="s">
        <v>13073</v>
      </c>
      <c r="D643" t="s">
        <v>13072</v>
      </c>
      <c r="E643">
        <v>14.025</v>
      </c>
    </row>
    <row r="644" spans="1:5" x14ac:dyDescent="0.25">
      <c r="A644" t="s">
        <v>12574</v>
      </c>
      <c r="B644">
        <v>974</v>
      </c>
      <c r="C644" t="s">
        <v>13580</v>
      </c>
      <c r="D644" t="s">
        <v>13322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13075</v>
      </c>
      <c r="D645" t="s">
        <v>13074</v>
      </c>
      <c r="E645">
        <v>7.75</v>
      </c>
    </row>
    <row r="646" spans="1:5" x14ac:dyDescent="0.25">
      <c r="A646" t="s">
        <v>23</v>
      </c>
      <c r="B646">
        <v>255</v>
      </c>
      <c r="C646" t="s">
        <v>13071</v>
      </c>
      <c r="D646" t="s">
        <v>13070</v>
      </c>
      <c r="E646">
        <v>9.75</v>
      </c>
    </row>
    <row r="647" spans="1:5" x14ac:dyDescent="0.25">
      <c r="A647" t="s">
        <v>12574</v>
      </c>
      <c r="B647">
        <v>974</v>
      </c>
      <c r="C647" t="s">
        <v>13581</v>
      </c>
      <c r="D647" t="s">
        <v>13336</v>
      </c>
      <c r="E647">
        <v>3.06</v>
      </c>
    </row>
    <row r="648" spans="1:5" x14ac:dyDescent="0.25">
      <c r="A648" t="s">
        <v>3567</v>
      </c>
      <c r="B648">
        <v>714</v>
      </c>
      <c r="C648" t="s">
        <v>13406</v>
      </c>
      <c r="D648" t="s">
        <v>13344</v>
      </c>
      <c r="E648">
        <v>14.025</v>
      </c>
    </row>
    <row r="649" spans="1:5" x14ac:dyDescent="0.25">
      <c r="A649" t="s">
        <v>2278</v>
      </c>
      <c r="B649">
        <v>41</v>
      </c>
      <c r="C649" t="s">
        <v>13411</v>
      </c>
      <c r="D649" t="s">
        <v>13358</v>
      </c>
      <c r="E649">
        <v>8.75</v>
      </c>
    </row>
    <row r="650" spans="1:5" x14ac:dyDescent="0.25">
      <c r="A650" t="s">
        <v>12820</v>
      </c>
      <c r="B650">
        <v>991</v>
      </c>
      <c r="C650" t="s">
        <v>13412</v>
      </c>
      <c r="D650" t="s">
        <v>13369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13582</v>
      </c>
      <c r="D651" t="s">
        <v>13137</v>
      </c>
      <c r="E651">
        <v>5.8650000000000002</v>
      </c>
    </row>
    <row r="652" spans="1:5" x14ac:dyDescent="0.25">
      <c r="A652" t="s">
        <v>11438</v>
      </c>
      <c r="B652">
        <v>859</v>
      </c>
      <c r="C652" t="s">
        <v>13062</v>
      </c>
      <c r="D652" t="s">
        <v>13061</v>
      </c>
      <c r="E652">
        <v>7.5</v>
      </c>
    </row>
    <row r="653" spans="1:5" x14ac:dyDescent="0.25">
      <c r="A653" t="s">
        <v>11502</v>
      </c>
      <c r="B653">
        <v>893</v>
      </c>
      <c r="C653" t="s">
        <v>13525</v>
      </c>
      <c r="D653" t="s">
        <v>13180</v>
      </c>
      <c r="E653">
        <v>4.59</v>
      </c>
    </row>
    <row r="654" spans="1:5" x14ac:dyDescent="0.25">
      <c r="A654" t="s">
        <v>12820</v>
      </c>
      <c r="B654">
        <v>991</v>
      </c>
      <c r="C654" t="s">
        <v>13419</v>
      </c>
      <c r="D654" t="s">
        <v>13238</v>
      </c>
      <c r="E654">
        <v>4.335</v>
      </c>
    </row>
    <row r="655" spans="1:5" x14ac:dyDescent="0.25">
      <c r="A655" t="s">
        <v>3635</v>
      </c>
      <c r="B655">
        <v>750</v>
      </c>
      <c r="C655" t="s">
        <v>13420</v>
      </c>
      <c r="D655" t="s">
        <v>13265</v>
      </c>
      <c r="E655">
        <v>3.38</v>
      </c>
    </row>
    <row r="656" spans="1:5" x14ac:dyDescent="0.25">
      <c r="A656" t="s">
        <v>3567</v>
      </c>
      <c r="B656">
        <v>714</v>
      </c>
      <c r="C656" t="s">
        <v>13415</v>
      </c>
      <c r="D656" t="s">
        <v>13285</v>
      </c>
      <c r="E656">
        <v>3.38</v>
      </c>
    </row>
    <row r="657" spans="1:5" x14ac:dyDescent="0.25">
      <c r="A657" t="s">
        <v>3486</v>
      </c>
      <c r="B657">
        <v>672</v>
      </c>
      <c r="C657" t="s">
        <v>13417</v>
      </c>
      <c r="D657" t="s">
        <v>13318</v>
      </c>
      <c r="E657">
        <v>9.1</v>
      </c>
    </row>
    <row r="658" spans="1:5" x14ac:dyDescent="0.25">
      <c r="A658" t="s">
        <v>13329</v>
      </c>
      <c r="B658">
        <v>0</v>
      </c>
      <c r="C658" t="s">
        <v>13414</v>
      </c>
      <c r="D658" t="s">
        <v>13328</v>
      </c>
      <c r="E658">
        <v>7.14</v>
      </c>
    </row>
    <row r="659" spans="1:5" x14ac:dyDescent="0.25">
      <c r="A659" t="s">
        <v>11428</v>
      </c>
      <c r="B659">
        <v>860</v>
      </c>
      <c r="C659" t="s">
        <v>13418</v>
      </c>
      <c r="D659" t="s">
        <v>13367</v>
      </c>
      <c r="E659">
        <v>14.28</v>
      </c>
    </row>
    <row r="660" spans="1:5" x14ac:dyDescent="0.25">
      <c r="A660" t="s">
        <v>11502</v>
      </c>
      <c r="B660">
        <v>893</v>
      </c>
      <c r="C660" t="s">
        <v>13583</v>
      </c>
      <c r="D660" t="s">
        <v>13371</v>
      </c>
      <c r="E660">
        <v>5.8650000000000002</v>
      </c>
    </row>
    <row r="661" spans="1:5" x14ac:dyDescent="0.25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13854</v>
      </c>
      <c r="D662" t="s">
        <v>13657</v>
      </c>
      <c r="E662">
        <v>9.75</v>
      </c>
    </row>
    <row r="663" spans="1:5" x14ac:dyDescent="0.25">
      <c r="A663" t="s">
        <v>3590</v>
      </c>
      <c r="B663">
        <v>726</v>
      </c>
      <c r="C663" t="s">
        <v>13853</v>
      </c>
      <c r="D663" t="s">
        <v>13661</v>
      </c>
      <c r="E663">
        <v>4.08</v>
      </c>
    </row>
    <row r="664" spans="1:5" x14ac:dyDescent="0.25">
      <c r="A664" t="s">
        <v>2890</v>
      </c>
      <c r="B664">
        <v>365</v>
      </c>
      <c r="C664" t="s">
        <v>13842</v>
      </c>
      <c r="D664" t="s">
        <v>13623</v>
      </c>
      <c r="E664">
        <v>3.12</v>
      </c>
    </row>
    <row r="665" spans="1:5" x14ac:dyDescent="0.25">
      <c r="A665" t="s">
        <v>12820</v>
      </c>
      <c r="B665">
        <v>991</v>
      </c>
      <c r="C665" t="s">
        <v>13852</v>
      </c>
      <c r="D665" t="s">
        <v>13630</v>
      </c>
      <c r="E665">
        <v>7.3949999999999996</v>
      </c>
    </row>
    <row r="666" spans="1:5" x14ac:dyDescent="0.25">
      <c r="A666" t="s">
        <v>11496</v>
      </c>
      <c r="B666">
        <v>890</v>
      </c>
      <c r="C666" t="s">
        <v>13855</v>
      </c>
      <c r="D666" t="s">
        <v>13635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13854</v>
      </c>
      <c r="D667" t="s">
        <v>13656</v>
      </c>
      <c r="E667">
        <v>13</v>
      </c>
    </row>
    <row r="668" spans="1:5" x14ac:dyDescent="0.25">
      <c r="A668" t="s">
        <v>3830</v>
      </c>
      <c r="B668">
        <v>261</v>
      </c>
      <c r="C668" t="s">
        <v>13844</v>
      </c>
      <c r="D668" t="s">
        <v>13680</v>
      </c>
      <c r="E668">
        <v>5.72</v>
      </c>
    </row>
    <row r="669" spans="1:5" x14ac:dyDescent="0.25">
      <c r="A669" t="s">
        <v>12204</v>
      </c>
      <c r="B669">
        <v>938</v>
      </c>
      <c r="C669" t="s">
        <v>13856</v>
      </c>
      <c r="D669" t="s">
        <v>13685</v>
      </c>
      <c r="E669">
        <v>5.61</v>
      </c>
    </row>
    <row r="670" spans="1:5" x14ac:dyDescent="0.25">
      <c r="A670" t="s">
        <v>2671</v>
      </c>
      <c r="B670">
        <v>250</v>
      </c>
      <c r="C670" t="s">
        <v>13857</v>
      </c>
      <c r="D670" t="s">
        <v>13687</v>
      </c>
      <c r="E670">
        <v>4.5</v>
      </c>
    </row>
    <row r="671" spans="1:5" x14ac:dyDescent="0.25">
      <c r="A671" t="s">
        <v>8673</v>
      </c>
      <c r="B671">
        <v>856</v>
      </c>
      <c r="C671" t="s">
        <v>13849</v>
      </c>
      <c r="D671" t="s">
        <v>13689</v>
      </c>
      <c r="E671">
        <v>10.25</v>
      </c>
    </row>
    <row r="672" spans="1:5" x14ac:dyDescent="0.25">
      <c r="A672" t="s">
        <v>12495</v>
      </c>
      <c r="B672">
        <v>964</v>
      </c>
      <c r="C672" t="s">
        <v>13858</v>
      </c>
      <c r="D672" t="s">
        <v>13694</v>
      </c>
      <c r="E672">
        <v>5.98</v>
      </c>
    </row>
    <row r="673" spans="1:5" x14ac:dyDescent="0.25">
      <c r="A673" t="s">
        <v>3651</v>
      </c>
      <c r="B673">
        <v>758</v>
      </c>
      <c r="C673" t="s">
        <v>13845</v>
      </c>
      <c r="D673" t="s">
        <v>13696</v>
      </c>
      <c r="E673">
        <v>7.5</v>
      </c>
    </row>
    <row r="674" spans="1:5" x14ac:dyDescent="0.25">
      <c r="A674" t="s">
        <v>3651</v>
      </c>
      <c r="B674">
        <v>758</v>
      </c>
      <c r="C674" t="s">
        <v>13851</v>
      </c>
      <c r="D674" t="s">
        <v>13702</v>
      </c>
      <c r="E674">
        <v>12</v>
      </c>
    </row>
    <row r="675" spans="1:5" x14ac:dyDescent="0.25">
      <c r="A675" t="s">
        <v>11504</v>
      </c>
      <c r="B675">
        <v>894</v>
      </c>
      <c r="C675" t="s">
        <v>13843</v>
      </c>
      <c r="D675" t="s">
        <v>13708</v>
      </c>
      <c r="E675">
        <v>5.46</v>
      </c>
    </row>
    <row r="676" spans="1:5" x14ac:dyDescent="0.25">
      <c r="A676" t="s">
        <v>12235</v>
      </c>
      <c r="B676">
        <v>922</v>
      </c>
      <c r="C676" t="s">
        <v>13848</v>
      </c>
      <c r="D676" t="s">
        <v>13732</v>
      </c>
      <c r="E676">
        <v>2.5</v>
      </c>
    </row>
    <row r="677" spans="1:5" x14ac:dyDescent="0.25">
      <c r="A677" t="s">
        <v>2592</v>
      </c>
      <c r="B677">
        <v>205</v>
      </c>
      <c r="C677" t="s">
        <v>13850</v>
      </c>
      <c r="D677" t="s">
        <v>13757</v>
      </c>
      <c r="E677">
        <v>6.5</v>
      </c>
    </row>
    <row r="678" spans="1:5" x14ac:dyDescent="0.25">
      <c r="A678" t="s">
        <v>13471</v>
      </c>
      <c r="B678">
        <v>1024</v>
      </c>
      <c r="C678" t="s">
        <v>13859</v>
      </c>
      <c r="D678" t="s">
        <v>13759</v>
      </c>
      <c r="E678">
        <v>6.12</v>
      </c>
    </row>
    <row r="679" spans="1:5" x14ac:dyDescent="0.25">
      <c r="A679" t="s">
        <v>12282</v>
      </c>
      <c r="B679">
        <v>949</v>
      </c>
      <c r="C679" t="s">
        <v>13846</v>
      </c>
      <c r="D679" t="s">
        <v>13762</v>
      </c>
      <c r="E679">
        <v>4.5</v>
      </c>
    </row>
    <row r="680" spans="1:5" x14ac:dyDescent="0.25">
      <c r="A680" t="s">
        <v>3173</v>
      </c>
      <c r="B680">
        <v>508</v>
      </c>
      <c r="C680" t="s">
        <v>11437</v>
      </c>
      <c r="D680" t="s">
        <v>13787</v>
      </c>
      <c r="E680">
        <v>8.25</v>
      </c>
    </row>
    <row r="681" spans="1:5" x14ac:dyDescent="0.25">
      <c r="A681" t="s">
        <v>12282</v>
      </c>
      <c r="B681">
        <v>949</v>
      </c>
      <c r="C681" t="s">
        <v>13847</v>
      </c>
      <c r="D681" t="s">
        <v>13794</v>
      </c>
      <c r="E681">
        <v>11</v>
      </c>
    </row>
    <row r="682" spans="1:5" x14ac:dyDescent="0.25">
      <c r="A682" t="s">
        <v>2264</v>
      </c>
      <c r="B682">
        <v>34</v>
      </c>
      <c r="C682" t="s">
        <v>13860</v>
      </c>
      <c r="D682" t="s">
        <v>13796</v>
      </c>
      <c r="E682">
        <v>10.92</v>
      </c>
    </row>
    <row r="683" spans="1:5" x14ac:dyDescent="0.25">
      <c r="A683" t="s">
        <v>12266</v>
      </c>
      <c r="B683">
        <v>941</v>
      </c>
      <c r="C683" t="s">
        <v>13861</v>
      </c>
      <c r="D683" t="s">
        <v>13621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13839</v>
      </c>
      <c r="D684" t="s">
        <v>13626</v>
      </c>
      <c r="E684">
        <v>11</v>
      </c>
    </row>
    <row r="685" spans="1:5" x14ac:dyDescent="0.25">
      <c r="A685" t="s">
        <v>2278</v>
      </c>
      <c r="B685">
        <v>41</v>
      </c>
      <c r="C685" t="s">
        <v>13862</v>
      </c>
      <c r="D685" t="s">
        <v>13650</v>
      </c>
      <c r="E685">
        <v>8</v>
      </c>
    </row>
    <row r="686" spans="1:5" x14ac:dyDescent="0.25">
      <c r="A686" t="s">
        <v>3590</v>
      </c>
      <c r="B686">
        <v>726</v>
      </c>
      <c r="C686" t="s">
        <v>13834</v>
      </c>
      <c r="D686" t="s">
        <v>13652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13841</v>
      </c>
      <c r="D687" t="s">
        <v>13667</v>
      </c>
      <c r="E687">
        <v>9.8800000000000008</v>
      </c>
    </row>
    <row r="688" spans="1:5" x14ac:dyDescent="0.25">
      <c r="A688" t="s">
        <v>11502</v>
      </c>
      <c r="B688">
        <v>893</v>
      </c>
      <c r="C688" t="s">
        <v>13863</v>
      </c>
      <c r="D688" t="s">
        <v>13712</v>
      </c>
      <c r="E688">
        <v>11.984999999999999</v>
      </c>
    </row>
    <row r="689" spans="1:5" x14ac:dyDescent="0.25">
      <c r="A689" t="s">
        <v>12499</v>
      </c>
      <c r="B689">
        <v>966</v>
      </c>
      <c r="C689" t="s">
        <v>13864</v>
      </c>
      <c r="D689" t="s">
        <v>13715</v>
      </c>
      <c r="E689">
        <v>8.84</v>
      </c>
    </row>
    <row r="690" spans="1:5" x14ac:dyDescent="0.25">
      <c r="A690" t="s">
        <v>2814</v>
      </c>
      <c r="B690">
        <v>326</v>
      </c>
      <c r="C690" t="s">
        <v>13838</v>
      </c>
      <c r="D690" t="s">
        <v>13717</v>
      </c>
      <c r="E690">
        <v>6.25</v>
      </c>
    </row>
    <row r="691" spans="1:5" x14ac:dyDescent="0.25">
      <c r="A691" t="s">
        <v>2592</v>
      </c>
      <c r="B691">
        <v>205</v>
      </c>
      <c r="C691" t="s">
        <v>13840</v>
      </c>
      <c r="D691" t="s">
        <v>13724</v>
      </c>
      <c r="E691">
        <v>7.25</v>
      </c>
    </row>
    <row r="692" spans="1:5" x14ac:dyDescent="0.25">
      <c r="A692" t="s">
        <v>11496</v>
      </c>
      <c r="B692">
        <v>890</v>
      </c>
      <c r="C692" t="s">
        <v>13865</v>
      </c>
      <c r="D692" t="s">
        <v>13736</v>
      </c>
      <c r="E692">
        <v>3.57</v>
      </c>
    </row>
    <row r="693" spans="1:5" x14ac:dyDescent="0.25">
      <c r="A693" t="s">
        <v>12505</v>
      </c>
      <c r="B693">
        <v>969</v>
      </c>
      <c r="C693" t="s">
        <v>13833</v>
      </c>
      <c r="D693" t="s">
        <v>13742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13835</v>
      </c>
      <c r="D694" t="s">
        <v>13782</v>
      </c>
      <c r="E694">
        <v>8.84</v>
      </c>
    </row>
    <row r="695" spans="1:5" x14ac:dyDescent="0.25">
      <c r="A695" t="s">
        <v>12204</v>
      </c>
      <c r="B695">
        <v>938</v>
      </c>
      <c r="C695" t="s">
        <v>13866</v>
      </c>
      <c r="D695" t="s">
        <v>13784</v>
      </c>
      <c r="E695">
        <v>7.65</v>
      </c>
    </row>
    <row r="696" spans="1:5" x14ac:dyDescent="0.25">
      <c r="A696" t="s">
        <v>3435</v>
      </c>
      <c r="B696">
        <v>646</v>
      </c>
      <c r="C696" t="s">
        <v>13837</v>
      </c>
      <c r="D696" t="s">
        <v>13786</v>
      </c>
      <c r="E696">
        <v>8.75</v>
      </c>
    </row>
    <row r="697" spans="1:5" x14ac:dyDescent="0.25">
      <c r="A697" t="s">
        <v>3651</v>
      </c>
      <c r="B697">
        <v>758</v>
      </c>
      <c r="C697" t="s">
        <v>13836</v>
      </c>
      <c r="D697" t="s">
        <v>13791</v>
      </c>
      <c r="E697">
        <v>8.5</v>
      </c>
    </row>
    <row r="698" spans="1:5" x14ac:dyDescent="0.25">
      <c r="A698" t="s">
        <v>12201</v>
      </c>
      <c r="B698">
        <v>907</v>
      </c>
      <c r="C698" t="s">
        <v>11425</v>
      </c>
      <c r="D698" t="s">
        <v>13619</v>
      </c>
      <c r="E698">
        <v>13.25</v>
      </c>
    </row>
    <row r="699" spans="1:5" x14ac:dyDescent="0.25">
      <c r="A699" t="s">
        <v>3651</v>
      </c>
      <c r="B699">
        <v>758</v>
      </c>
      <c r="C699" t="s">
        <v>13867</v>
      </c>
      <c r="D699" t="s">
        <v>13645</v>
      </c>
      <c r="E699">
        <v>4</v>
      </c>
    </row>
    <row r="700" spans="1:5" x14ac:dyDescent="0.25">
      <c r="A700" t="s">
        <v>12274</v>
      </c>
      <c r="B700">
        <v>945</v>
      </c>
      <c r="C700" t="s">
        <v>13868</v>
      </c>
      <c r="D700" t="s">
        <v>13647</v>
      </c>
      <c r="E700">
        <v>6.5</v>
      </c>
    </row>
    <row r="701" spans="1:5" x14ac:dyDescent="0.25">
      <c r="A701" t="s">
        <v>11428</v>
      </c>
      <c r="B701">
        <v>860</v>
      </c>
      <c r="C701" t="s">
        <v>13869</v>
      </c>
      <c r="D701" t="s">
        <v>13726</v>
      </c>
      <c r="E701">
        <v>3.75</v>
      </c>
    </row>
    <row r="702" spans="1:5" x14ac:dyDescent="0.25">
      <c r="A702" t="s">
        <v>12477</v>
      </c>
      <c r="B702">
        <v>955</v>
      </c>
      <c r="C702" t="s">
        <v>13870</v>
      </c>
      <c r="D702" t="s">
        <v>13773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13871</v>
      </c>
      <c r="D703" t="s">
        <v>13778</v>
      </c>
      <c r="E703">
        <v>5.5</v>
      </c>
    </row>
    <row r="704" spans="1:5" x14ac:dyDescent="0.25">
      <c r="A704" t="s">
        <v>8673</v>
      </c>
      <c r="B704">
        <v>856</v>
      </c>
      <c r="C704" t="s">
        <v>13831</v>
      </c>
      <c r="D704" t="s">
        <v>13780</v>
      </c>
      <c r="E704">
        <v>7.25</v>
      </c>
    </row>
    <row r="705" spans="1:5" x14ac:dyDescent="0.25">
      <c r="A705" t="s">
        <v>137</v>
      </c>
      <c r="B705">
        <v>648</v>
      </c>
      <c r="C705" t="s">
        <v>13829</v>
      </c>
      <c r="D705" t="s">
        <v>13628</v>
      </c>
      <c r="E705">
        <v>7</v>
      </c>
    </row>
    <row r="706" spans="1:5" x14ac:dyDescent="0.25">
      <c r="A706" t="s">
        <v>12495</v>
      </c>
      <c r="B706">
        <v>964</v>
      </c>
      <c r="C706" t="s">
        <v>13872</v>
      </c>
      <c r="D706" t="s">
        <v>13639</v>
      </c>
      <c r="E706">
        <v>3.38</v>
      </c>
    </row>
    <row r="707" spans="1:5" x14ac:dyDescent="0.25">
      <c r="A707" t="s">
        <v>12793</v>
      </c>
      <c r="B707">
        <v>0</v>
      </c>
      <c r="C707" t="s">
        <v>13823</v>
      </c>
      <c r="D707" t="s">
        <v>13654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13827</v>
      </c>
      <c r="D708" t="s">
        <v>13663</v>
      </c>
      <c r="E708">
        <v>5.25</v>
      </c>
    </row>
    <row r="709" spans="1:5" x14ac:dyDescent="0.25">
      <c r="A709" t="s">
        <v>12204</v>
      </c>
      <c r="B709">
        <v>938</v>
      </c>
      <c r="C709" t="s">
        <v>13873</v>
      </c>
      <c r="D709" t="s">
        <v>13669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13826</v>
      </c>
      <c r="D710" t="s">
        <v>13678</v>
      </c>
      <c r="E710">
        <v>7.25</v>
      </c>
    </row>
    <row r="711" spans="1:5" x14ac:dyDescent="0.25">
      <c r="A711" t="s">
        <v>12495</v>
      </c>
      <c r="B711">
        <v>964</v>
      </c>
      <c r="C711" t="s">
        <v>13874</v>
      </c>
      <c r="D711" t="s">
        <v>13698</v>
      </c>
      <c r="E711">
        <v>6.76</v>
      </c>
    </row>
    <row r="712" spans="1:5" x14ac:dyDescent="0.25">
      <c r="A712" t="s">
        <v>11496</v>
      </c>
      <c r="B712">
        <v>890</v>
      </c>
      <c r="C712" t="s">
        <v>13875</v>
      </c>
      <c r="D712" t="s">
        <v>13710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13824</v>
      </c>
      <c r="D713" t="s">
        <v>13719</v>
      </c>
      <c r="E713">
        <v>6.76</v>
      </c>
    </row>
    <row r="714" spans="1:5" x14ac:dyDescent="0.25">
      <c r="A714" t="s">
        <v>2814</v>
      </c>
      <c r="B714">
        <v>326</v>
      </c>
      <c r="C714" t="s">
        <v>13828</v>
      </c>
      <c r="D714" t="s">
        <v>13721</v>
      </c>
      <c r="E714">
        <v>13.5</v>
      </c>
    </row>
    <row r="715" spans="1:5" x14ac:dyDescent="0.25">
      <c r="A715" t="s">
        <v>11428</v>
      </c>
      <c r="B715">
        <v>860</v>
      </c>
      <c r="C715" t="s">
        <v>13830</v>
      </c>
      <c r="D715" t="s">
        <v>13734</v>
      </c>
      <c r="E715">
        <v>11</v>
      </c>
    </row>
    <row r="716" spans="1:5" x14ac:dyDescent="0.25">
      <c r="A716" t="s">
        <v>2825</v>
      </c>
      <c r="B716">
        <v>332</v>
      </c>
      <c r="C716" t="s">
        <v>13876</v>
      </c>
      <c r="D716" t="s">
        <v>13744</v>
      </c>
      <c r="E716">
        <v>5</v>
      </c>
    </row>
    <row r="717" spans="1:5" x14ac:dyDescent="0.25">
      <c r="A717" t="s">
        <v>3255</v>
      </c>
      <c r="B717">
        <v>551</v>
      </c>
      <c r="C717" t="s">
        <v>13825</v>
      </c>
      <c r="D717" t="s">
        <v>13746</v>
      </c>
      <c r="E717">
        <v>12.5</v>
      </c>
    </row>
    <row r="718" spans="1:5" x14ac:dyDescent="0.25">
      <c r="A718" t="s">
        <v>13471</v>
      </c>
      <c r="B718">
        <v>1024</v>
      </c>
      <c r="C718" t="s">
        <v>13877</v>
      </c>
      <c r="D718" t="s">
        <v>13748</v>
      </c>
      <c r="E718">
        <v>8.67</v>
      </c>
    </row>
    <row r="719" spans="1:5" x14ac:dyDescent="0.25">
      <c r="A719" t="s">
        <v>2592</v>
      </c>
      <c r="B719">
        <v>205</v>
      </c>
      <c r="C719" t="s">
        <v>13806</v>
      </c>
      <c r="D719" t="s">
        <v>13659</v>
      </c>
      <c r="E719">
        <v>10</v>
      </c>
    </row>
    <row r="720" spans="1:5" x14ac:dyDescent="0.25">
      <c r="A720" t="s">
        <v>2592</v>
      </c>
      <c r="B720">
        <v>205</v>
      </c>
      <c r="C720" t="s">
        <v>13878</v>
      </c>
      <c r="D720" t="s">
        <v>13673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13879</v>
      </c>
      <c r="D721" t="s">
        <v>13675</v>
      </c>
      <c r="E721">
        <v>8.16</v>
      </c>
    </row>
    <row r="722" spans="1:5" x14ac:dyDescent="0.25">
      <c r="A722" t="s">
        <v>3567</v>
      </c>
      <c r="B722">
        <v>714</v>
      </c>
      <c r="C722" t="s">
        <v>13880</v>
      </c>
      <c r="D722" t="s">
        <v>13704</v>
      </c>
      <c r="E722">
        <v>6.76</v>
      </c>
    </row>
    <row r="723" spans="1:5" x14ac:dyDescent="0.25">
      <c r="A723" t="s">
        <v>3255</v>
      </c>
      <c r="B723">
        <v>551</v>
      </c>
      <c r="C723" t="s">
        <v>13818</v>
      </c>
      <c r="D723" t="s">
        <v>13706</v>
      </c>
      <c r="E723">
        <v>7.75</v>
      </c>
    </row>
    <row r="724" spans="1:5" x14ac:dyDescent="0.25">
      <c r="A724" t="s">
        <v>2938</v>
      </c>
      <c r="B724">
        <v>389</v>
      </c>
      <c r="C724" t="s">
        <v>13881</v>
      </c>
      <c r="D724" t="s">
        <v>13728</v>
      </c>
      <c r="E724">
        <v>6.5</v>
      </c>
    </row>
    <row r="725" spans="1:5" x14ac:dyDescent="0.25">
      <c r="A725" t="s">
        <v>12574</v>
      </c>
      <c r="B725">
        <v>974</v>
      </c>
      <c r="C725" t="s">
        <v>13882</v>
      </c>
      <c r="D725" t="s">
        <v>13751</v>
      </c>
      <c r="E725">
        <v>8.67</v>
      </c>
    </row>
    <row r="726" spans="1:5" x14ac:dyDescent="0.25">
      <c r="A726" t="s">
        <v>3651</v>
      </c>
      <c r="B726">
        <v>758</v>
      </c>
      <c r="C726" t="s">
        <v>13819</v>
      </c>
      <c r="D726" t="s">
        <v>13755</v>
      </c>
      <c r="E726">
        <v>7</v>
      </c>
    </row>
    <row r="727" spans="1:5" x14ac:dyDescent="0.25">
      <c r="A727" t="s">
        <v>2944</v>
      </c>
      <c r="B727">
        <v>392</v>
      </c>
      <c r="C727" t="s">
        <v>13820</v>
      </c>
      <c r="D727" t="s">
        <v>13764</v>
      </c>
      <c r="E727">
        <v>5</v>
      </c>
    </row>
    <row r="728" spans="1:5" x14ac:dyDescent="0.25">
      <c r="A728" t="s">
        <v>12274</v>
      </c>
      <c r="B728">
        <v>945</v>
      </c>
      <c r="C728" t="s">
        <v>13821</v>
      </c>
      <c r="D728" t="s">
        <v>13771</v>
      </c>
      <c r="E728">
        <v>6.75</v>
      </c>
    </row>
    <row r="729" spans="1:5" x14ac:dyDescent="0.25">
      <c r="A729" t="s">
        <v>11428</v>
      </c>
      <c r="B729">
        <v>860</v>
      </c>
      <c r="C729" t="s">
        <v>13822</v>
      </c>
      <c r="D729" t="s">
        <v>13775</v>
      </c>
      <c r="E729">
        <v>10</v>
      </c>
    </row>
    <row r="730" spans="1:5" x14ac:dyDescent="0.25">
      <c r="A730" t="s">
        <v>2554</v>
      </c>
      <c r="B730">
        <v>185</v>
      </c>
      <c r="C730" t="s">
        <v>13883</v>
      </c>
      <c r="D730" t="s">
        <v>13618</v>
      </c>
      <c r="E730">
        <v>10.92</v>
      </c>
    </row>
    <row r="731" spans="1:5" x14ac:dyDescent="0.25">
      <c r="A731" t="s">
        <v>3490</v>
      </c>
      <c r="B731">
        <v>674</v>
      </c>
      <c r="C731" t="s">
        <v>13812</v>
      </c>
      <c r="D731" t="s">
        <v>13665</v>
      </c>
      <c r="E731">
        <v>5.75</v>
      </c>
    </row>
    <row r="732" spans="1:5" x14ac:dyDescent="0.25">
      <c r="A732" t="s">
        <v>11502</v>
      </c>
      <c r="B732">
        <v>893</v>
      </c>
      <c r="C732" t="s">
        <v>13884</v>
      </c>
      <c r="D732" t="s">
        <v>13671</v>
      </c>
      <c r="E732">
        <v>3.06</v>
      </c>
    </row>
    <row r="733" spans="1:5" x14ac:dyDescent="0.25">
      <c r="A733" t="s">
        <v>3532</v>
      </c>
      <c r="B733">
        <v>695</v>
      </c>
      <c r="C733" t="s">
        <v>13807</v>
      </c>
      <c r="D733" t="s">
        <v>13682</v>
      </c>
      <c r="E733">
        <v>6.12</v>
      </c>
    </row>
    <row r="734" spans="1:5" x14ac:dyDescent="0.25">
      <c r="A734" t="s">
        <v>2890</v>
      </c>
      <c r="B734">
        <v>365</v>
      </c>
      <c r="C734" t="s">
        <v>13809</v>
      </c>
      <c r="D734" t="s">
        <v>13691</v>
      </c>
      <c r="E734">
        <v>15.6</v>
      </c>
    </row>
    <row r="735" spans="1:5" x14ac:dyDescent="0.25">
      <c r="A735" t="s">
        <v>8673</v>
      </c>
      <c r="B735">
        <v>856</v>
      </c>
      <c r="C735" t="s">
        <v>13885</v>
      </c>
      <c r="D735" t="s">
        <v>13700</v>
      </c>
      <c r="E735">
        <v>11</v>
      </c>
    </row>
    <row r="736" spans="1:5" x14ac:dyDescent="0.25">
      <c r="A736" t="s">
        <v>2704</v>
      </c>
      <c r="B736">
        <v>268</v>
      </c>
      <c r="C736" t="s">
        <v>13808</v>
      </c>
      <c r="D736" t="s">
        <v>13730</v>
      </c>
      <c r="E736">
        <v>7.54</v>
      </c>
    </row>
    <row r="737" spans="1:5" x14ac:dyDescent="0.25">
      <c r="A737" t="s">
        <v>3407</v>
      </c>
      <c r="B737">
        <v>632</v>
      </c>
      <c r="C737" t="s">
        <v>13886</v>
      </c>
      <c r="D737" t="s">
        <v>13739</v>
      </c>
      <c r="E737">
        <v>7.65</v>
      </c>
    </row>
    <row r="738" spans="1:5" x14ac:dyDescent="0.25">
      <c r="A738" t="s">
        <v>12235</v>
      </c>
      <c r="B738">
        <v>922</v>
      </c>
      <c r="C738" t="s">
        <v>13811</v>
      </c>
      <c r="D738" t="s">
        <v>13766</v>
      </c>
      <c r="E738">
        <v>5</v>
      </c>
    </row>
    <row r="739" spans="1:5" x14ac:dyDescent="0.25">
      <c r="A739" t="s">
        <v>12201</v>
      </c>
      <c r="B739">
        <v>907</v>
      </c>
      <c r="C739" t="s">
        <v>13810</v>
      </c>
      <c r="D739" t="s">
        <v>13769</v>
      </c>
      <c r="E739">
        <v>9</v>
      </c>
    </row>
    <row r="740" spans="1:5" x14ac:dyDescent="0.25">
      <c r="A740" t="s">
        <v>2944</v>
      </c>
      <c r="B740">
        <v>392</v>
      </c>
      <c r="C740" t="s">
        <v>13813</v>
      </c>
      <c r="D740" t="s">
        <v>13789</v>
      </c>
      <c r="E740">
        <v>5.25</v>
      </c>
    </row>
    <row r="741" spans="1:5" x14ac:dyDescent="0.25">
      <c r="A741" t="s">
        <v>11504</v>
      </c>
      <c r="B741">
        <v>894</v>
      </c>
      <c r="C741" t="s">
        <v>12831</v>
      </c>
      <c r="D741" t="s">
        <v>12578</v>
      </c>
      <c r="E741">
        <v>5.46</v>
      </c>
    </row>
    <row r="742" spans="1:5" x14ac:dyDescent="0.25">
      <c r="A742" t="s">
        <v>12264</v>
      </c>
      <c r="B742">
        <v>940</v>
      </c>
      <c r="C742" t="s">
        <v>13116</v>
      </c>
      <c r="D742" t="s">
        <v>12961</v>
      </c>
      <c r="E742">
        <v>4.42</v>
      </c>
    </row>
    <row r="743" spans="1:5" x14ac:dyDescent="0.25">
      <c r="A743" t="s">
        <v>12499</v>
      </c>
      <c r="B743">
        <v>966</v>
      </c>
      <c r="C743" t="s">
        <v>13117</v>
      </c>
      <c r="D743" t="s">
        <v>12964</v>
      </c>
      <c r="E743">
        <v>4.335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"/>
  <sheetViews>
    <sheetView workbookViewId="0">
      <selection activeCell="A2" sqref="A2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54" t="s">
        <v>13916</v>
      </c>
      <c r="B1" s="55" t="s">
        <v>13917</v>
      </c>
      <c r="C1" s="55" t="s">
        <v>5</v>
      </c>
      <c r="D1" s="56" t="s">
        <v>13918</v>
      </c>
      <c r="E1" s="57" t="s">
        <v>13919</v>
      </c>
      <c r="F1" s="55" t="s">
        <v>13920</v>
      </c>
      <c r="G1" s="55" t="s">
        <v>13921</v>
      </c>
      <c r="H1" s="57" t="s">
        <v>13922</v>
      </c>
      <c r="I1" s="54" t="s">
        <v>13923</v>
      </c>
      <c r="J1" s="57" t="s">
        <v>13924</v>
      </c>
      <c r="K1" s="54" t="s">
        <v>13925</v>
      </c>
      <c r="L1" s="57" t="s">
        <v>13926</v>
      </c>
      <c r="M1" s="54" t="s">
        <v>13927</v>
      </c>
      <c r="N1" s="55" t="s">
        <v>13928</v>
      </c>
      <c r="O1" s="55" t="s">
        <v>13929</v>
      </c>
      <c r="P1" s="55" t="s">
        <v>13930</v>
      </c>
      <c r="Q1" s="55" t="s">
        <v>13931</v>
      </c>
      <c r="R1" s="55" t="s">
        <v>13932</v>
      </c>
      <c r="S1" s="55" t="s">
        <v>13933</v>
      </c>
      <c r="T1" s="55" t="s">
        <v>13934</v>
      </c>
      <c r="U1" s="55" t="s">
        <v>3963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748"/>
  <sheetViews>
    <sheetView workbookViewId="0"/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7.7109375" bestFit="1" customWidth="1"/>
    <col min="9" max="9" width="13.28515625" bestFit="1" customWidth="1"/>
    <col min="10" max="10" width="12.7109375" bestFit="1" customWidth="1"/>
    <col min="11" max="11" width="10.7109375" bestFit="1" customWidth="1"/>
    <col min="12" max="12" width="19.140625" hidden="1" customWidth="1"/>
    <col min="13" max="13" width="19.28515625" hidden="1" customWidth="1"/>
    <col min="14" max="14" width="11.85546875" hidden="1" customWidth="1"/>
    <col min="15" max="15" width="12.140625" hidden="1" customWidth="1"/>
    <col min="16" max="16" width="15.85546875" hidden="1" customWidth="1"/>
    <col min="17" max="17" width="20.42578125" hidden="1" customWidth="1"/>
    <col min="18" max="18" width="87.28515625" hidden="1" customWidth="1"/>
    <col min="19" max="19" width="52.140625" bestFit="1" customWidth="1"/>
    <col min="20" max="20" width="20.5703125" hidden="1" customWidth="1"/>
    <col min="21" max="21" width="13.85546875" bestFit="1" customWidth="1"/>
    <col min="22" max="22" width="11.42578125" bestFit="1" customWidth="1"/>
    <col min="23" max="23" width="8.7109375" bestFit="1" customWidth="1"/>
    <col min="24" max="24" width="10.28515625" bestFit="1" customWidth="1"/>
    <col min="25" max="25" width="13.85546875" hidden="1" customWidth="1"/>
  </cols>
  <sheetData>
    <row r="1" spans="1:25" s="7" customFormat="1" x14ac:dyDescent="0.25">
      <c r="A1" s="7" t="s">
        <v>5</v>
      </c>
      <c r="B1" s="7" t="s">
        <v>3870</v>
      </c>
      <c r="C1" s="7" t="s">
        <v>3871</v>
      </c>
      <c r="D1" s="7" t="s">
        <v>3872</v>
      </c>
      <c r="E1" s="7" t="s">
        <v>3873</v>
      </c>
      <c r="F1" s="7" t="s">
        <v>3874</v>
      </c>
      <c r="G1" s="7" t="s">
        <v>3875</v>
      </c>
      <c r="H1" s="7" t="s">
        <v>13935</v>
      </c>
      <c r="I1" s="7" t="s">
        <v>2</v>
      </c>
      <c r="J1" s="7" t="s">
        <v>3876</v>
      </c>
      <c r="K1" s="7" t="s">
        <v>3877</v>
      </c>
      <c r="L1" s="7" t="s">
        <v>3878</v>
      </c>
      <c r="M1" s="7" t="s">
        <v>3879</v>
      </c>
      <c r="N1" s="7" t="s">
        <v>3880</v>
      </c>
      <c r="O1" s="7" t="s">
        <v>3881</v>
      </c>
      <c r="P1" s="7" t="s">
        <v>3882</v>
      </c>
      <c r="Q1" s="7" t="s">
        <v>3883</v>
      </c>
      <c r="R1" s="7" t="s">
        <v>3884</v>
      </c>
      <c r="S1" s="7" t="s">
        <v>3885</v>
      </c>
      <c r="T1" s="7" t="s">
        <v>3886</v>
      </c>
      <c r="U1" s="7" t="s">
        <v>3887</v>
      </c>
      <c r="V1" s="7" t="s">
        <v>3888</v>
      </c>
      <c r="W1" s="7" t="s">
        <v>3889</v>
      </c>
      <c r="X1" s="7" t="s">
        <v>3890</v>
      </c>
      <c r="Y1" s="7" t="s">
        <v>3891</v>
      </c>
    </row>
    <row r="2" spans="1:25" x14ac:dyDescent="0.25">
      <c r="A2" t="s">
        <v>371</v>
      </c>
      <c r="B2" t="s">
        <v>370</v>
      </c>
      <c r="C2">
        <v>9.5</v>
      </c>
      <c r="D2" t="s">
        <v>2230</v>
      </c>
      <c r="E2" t="s">
        <v>3984</v>
      </c>
      <c r="F2" s="18">
        <v>41944</v>
      </c>
      <c r="G2" s="18">
        <v>41973</v>
      </c>
      <c r="H2" s="18" t="str">
        <f>IFERROR(INDEX('Docs Signed Input'!B:B,MATCH('Nate''s Evolution'!$B2,'Docs Signed Input'!E:E,0)),"N")</f>
        <v>N</v>
      </c>
      <c r="I2" s="18" t="str">
        <f>IFERROR(INDEX('Docs Signed Input'!C:C,MATCH('Nate''s Evolution'!B2,'Docs Signed Input'!E:E,0)),"N")</f>
        <v>N</v>
      </c>
      <c r="J2" s="18">
        <v>42032</v>
      </c>
      <c r="L2" t="s">
        <v>2258</v>
      </c>
      <c r="M2" t="s">
        <v>3895</v>
      </c>
      <c r="N2">
        <v>9.5</v>
      </c>
      <c r="O2">
        <v>10</v>
      </c>
      <c r="P2" s="6">
        <v>42017.565474537034</v>
      </c>
      <c r="Q2" t="s">
        <v>3896</v>
      </c>
      <c r="R2" t="s">
        <v>3897</v>
      </c>
      <c r="S2" t="s">
        <v>3106</v>
      </c>
      <c r="T2">
        <v>5</v>
      </c>
      <c r="U2" t="b">
        <v>1</v>
      </c>
      <c r="Y2" s="6">
        <v>42037.431944444441</v>
      </c>
    </row>
    <row r="3" spans="1:25" x14ac:dyDescent="0.25">
      <c r="A3" t="s">
        <v>373</v>
      </c>
      <c r="B3" t="s">
        <v>372</v>
      </c>
      <c r="C3">
        <v>7</v>
      </c>
      <c r="D3" t="s">
        <v>2230</v>
      </c>
      <c r="E3" t="s">
        <v>3984</v>
      </c>
      <c r="F3" s="18">
        <v>41944</v>
      </c>
      <c r="G3" s="18">
        <v>41973</v>
      </c>
      <c r="H3" s="18" t="str">
        <f>IFERROR(INDEX('Docs Signed Input'!B:B,MATCH('Nate''s Evolution'!$B3,'Docs Signed Input'!E:E,0)),"N")</f>
        <v>Y</v>
      </c>
      <c r="I3" s="18" t="str">
        <f>IFERROR(INDEX('Docs Signed Input'!C:C,MATCH('Nate''s Evolution'!B3,'Docs Signed Input'!E:E,0)),"N")</f>
        <v>Y</v>
      </c>
      <c r="J3" s="18">
        <v>41982</v>
      </c>
      <c r="L3" t="s">
        <v>2258</v>
      </c>
      <c r="M3" t="s">
        <v>3895</v>
      </c>
      <c r="N3">
        <v>7</v>
      </c>
      <c r="O3">
        <v>7</v>
      </c>
      <c r="P3" s="6">
        <v>42016.817962962959</v>
      </c>
      <c r="Q3" t="s">
        <v>3896</v>
      </c>
      <c r="R3" t="s">
        <v>3897</v>
      </c>
      <c r="S3" t="s">
        <v>3106</v>
      </c>
      <c r="T3">
        <v>21</v>
      </c>
      <c r="U3" t="b">
        <v>1</v>
      </c>
      <c r="Y3" s="6">
        <v>42037.431944444441</v>
      </c>
    </row>
    <row r="4" spans="1:25" x14ac:dyDescent="0.25">
      <c r="A4" t="s">
        <v>3987</v>
      </c>
      <c r="B4" t="s">
        <v>3988</v>
      </c>
      <c r="C4">
        <v>11.25</v>
      </c>
      <c r="D4" t="s">
        <v>3893</v>
      </c>
      <c r="E4" t="s">
        <v>3894</v>
      </c>
      <c r="F4" s="18">
        <v>41974</v>
      </c>
      <c r="G4" s="18">
        <v>41974</v>
      </c>
      <c r="H4" s="18" t="str">
        <f>IFERROR(INDEX('Docs Signed Input'!B:B,MATCH('Nate''s Evolution'!$B4,'Docs Signed Input'!E:E,0)),"N")</f>
        <v>Y</v>
      </c>
      <c r="I4" s="18" t="str">
        <f>IFERROR(INDEX('Docs Signed Input'!C:C,MATCH('Nate''s Evolution'!B4,'Docs Signed Input'!E:E,0)),"N")</f>
        <v>N</v>
      </c>
      <c r="L4" t="s">
        <v>2258</v>
      </c>
      <c r="M4" t="s">
        <v>3930</v>
      </c>
      <c r="N4">
        <v>11.25</v>
      </c>
      <c r="O4">
        <v>12</v>
      </c>
      <c r="P4" s="6">
        <v>42035.818124999998</v>
      </c>
      <c r="Q4" t="s">
        <v>3896</v>
      </c>
      <c r="S4" t="s">
        <v>3539</v>
      </c>
      <c r="T4">
        <v>2</v>
      </c>
      <c r="X4" t="b">
        <v>1</v>
      </c>
      <c r="Y4" s="6">
        <v>42037.431944444441</v>
      </c>
    </row>
    <row r="5" spans="1:25" x14ac:dyDescent="0.25">
      <c r="A5" t="s">
        <v>4115</v>
      </c>
      <c r="B5" t="s">
        <v>4116</v>
      </c>
      <c r="C5">
        <v>8.5</v>
      </c>
      <c r="D5" t="s">
        <v>2230</v>
      </c>
      <c r="E5" t="s">
        <v>3984</v>
      </c>
      <c r="F5" s="18">
        <v>41974</v>
      </c>
      <c r="G5" s="18">
        <v>41974</v>
      </c>
      <c r="H5" s="18" t="str">
        <f>IFERROR(INDEX('Docs Signed Input'!B:B,MATCH('Nate''s Evolution'!$B5,'Docs Signed Input'!E:E,0)),"N")</f>
        <v>Y</v>
      </c>
      <c r="I5" s="18" t="str">
        <f>IFERROR(INDEX('Docs Signed Input'!C:C,MATCH('Nate''s Evolution'!B5,'Docs Signed Input'!E:E,0)),"N")</f>
        <v>Y</v>
      </c>
      <c r="J5" s="18">
        <v>41981</v>
      </c>
      <c r="L5" t="s">
        <v>2258</v>
      </c>
      <c r="M5" t="s">
        <v>3942</v>
      </c>
      <c r="N5">
        <v>8.5</v>
      </c>
      <c r="O5">
        <v>10.75</v>
      </c>
      <c r="P5" s="6">
        <v>42016.817962962959</v>
      </c>
      <c r="Q5" t="s">
        <v>3896</v>
      </c>
      <c r="R5" t="s">
        <v>3897</v>
      </c>
      <c r="S5" t="s">
        <v>2937</v>
      </c>
      <c r="T5">
        <v>21</v>
      </c>
      <c r="U5" t="b">
        <v>1</v>
      </c>
      <c r="Y5" s="6">
        <v>42037.431944444441</v>
      </c>
    </row>
    <row r="6" spans="1:25" x14ac:dyDescent="0.25">
      <c r="A6" t="s">
        <v>4492</v>
      </c>
      <c r="B6" t="s">
        <v>4493</v>
      </c>
      <c r="C6">
        <v>5.75</v>
      </c>
      <c r="D6" t="s">
        <v>3900</v>
      </c>
      <c r="E6" t="s">
        <v>3901</v>
      </c>
      <c r="F6" s="18">
        <v>41974</v>
      </c>
      <c r="G6" s="18">
        <v>41974</v>
      </c>
      <c r="H6" s="18" t="str">
        <f>IFERROR(INDEX('Docs Signed Input'!B:B,MATCH('Nate''s Evolution'!$B6,'Docs Signed Input'!E:E,0)),"N")</f>
        <v>Y</v>
      </c>
      <c r="I6" s="18" t="str">
        <f>IFERROR(INDEX('Docs Signed Input'!C:C,MATCH('Nate''s Evolution'!B6,'Docs Signed Input'!E:E,0)),"N")</f>
        <v>Y</v>
      </c>
      <c r="J6" s="18">
        <v>42008</v>
      </c>
      <c r="K6" s="18">
        <v>42025</v>
      </c>
      <c r="L6" t="s">
        <v>2258</v>
      </c>
      <c r="M6" t="s">
        <v>3926</v>
      </c>
      <c r="N6">
        <v>5.75</v>
      </c>
      <c r="O6">
        <v>6</v>
      </c>
      <c r="P6" s="6">
        <v>42034.588356481479</v>
      </c>
      <c r="Q6" t="s">
        <v>3896</v>
      </c>
      <c r="S6" t="s">
        <v>3254</v>
      </c>
      <c r="T6">
        <v>3</v>
      </c>
      <c r="W6" t="b">
        <v>1</v>
      </c>
      <c r="Y6" s="6">
        <v>42037.431944444441</v>
      </c>
    </row>
    <row r="7" spans="1:25" x14ac:dyDescent="0.25">
      <c r="A7" t="s">
        <v>4754</v>
      </c>
      <c r="B7" t="s">
        <v>4755</v>
      </c>
      <c r="C7">
        <v>7.25</v>
      </c>
      <c r="D7" t="s">
        <v>3922</v>
      </c>
      <c r="E7" t="s">
        <v>3951</v>
      </c>
      <c r="F7" s="18">
        <v>41974</v>
      </c>
      <c r="G7" s="18">
        <v>41974</v>
      </c>
      <c r="H7" s="18" t="str">
        <f>IFERROR(INDEX('Docs Signed Input'!B:B,MATCH('Nate''s Evolution'!$B7,'Docs Signed Input'!E:E,0)),"N")</f>
        <v>Y</v>
      </c>
      <c r="I7" s="18" t="str">
        <f>IFERROR(INDEX('Docs Signed Input'!C:C,MATCH('Nate''s Evolution'!B7,'Docs Signed Input'!E:E,0)),"N")</f>
        <v>Y</v>
      </c>
      <c r="J7" s="18">
        <v>41987</v>
      </c>
      <c r="K7" s="18">
        <v>42039</v>
      </c>
      <c r="L7" t="s">
        <v>2258</v>
      </c>
      <c r="M7" t="s">
        <v>12976</v>
      </c>
      <c r="N7">
        <v>7.25</v>
      </c>
      <c r="O7">
        <v>7.25</v>
      </c>
      <c r="P7" s="6">
        <v>42035.555543981478</v>
      </c>
      <c r="Q7" t="s">
        <v>3896</v>
      </c>
      <c r="S7" t="s">
        <v>3406</v>
      </c>
      <c r="T7">
        <v>2</v>
      </c>
      <c r="X7" t="b">
        <v>1</v>
      </c>
      <c r="Y7" s="6">
        <v>42037.431944444441</v>
      </c>
    </row>
    <row r="8" spans="1:25" x14ac:dyDescent="0.25">
      <c r="A8" t="s">
        <v>2209</v>
      </c>
      <c r="B8" t="s">
        <v>2208</v>
      </c>
      <c r="C8">
        <v>8.9250000000000007</v>
      </c>
      <c r="D8" t="s">
        <v>3893</v>
      </c>
      <c r="E8" t="s">
        <v>3894</v>
      </c>
      <c r="F8" s="18">
        <v>41974</v>
      </c>
      <c r="G8" s="18">
        <v>41974</v>
      </c>
      <c r="H8" s="18" t="str">
        <f>IFERROR(INDEX('Docs Signed Input'!B:B,MATCH('Nate''s Evolution'!$B8,'Docs Signed Input'!E:E,0)),"N")</f>
        <v>N</v>
      </c>
      <c r="I8" s="18" t="str">
        <f>IFERROR(INDEX('Docs Signed Input'!C:C,MATCH('Nate''s Evolution'!B8,'Docs Signed Input'!E:E,0)),"N")</f>
        <v>N</v>
      </c>
      <c r="L8" t="s">
        <v>2258</v>
      </c>
      <c r="M8" t="s">
        <v>3933</v>
      </c>
      <c r="N8">
        <v>6.75</v>
      </c>
      <c r="O8">
        <v>8.9250000000000007</v>
      </c>
      <c r="P8" s="6">
        <v>42035.818124999998</v>
      </c>
      <c r="Q8" t="s">
        <v>3896</v>
      </c>
      <c r="R8" t="s">
        <v>3897</v>
      </c>
      <c r="S8" t="s">
        <v>3002</v>
      </c>
      <c r="T8">
        <v>2</v>
      </c>
      <c r="X8" t="b">
        <v>1</v>
      </c>
      <c r="Y8" s="6">
        <v>42037.431944444441</v>
      </c>
    </row>
    <row r="9" spans="1:25" x14ac:dyDescent="0.25">
      <c r="A9" t="s">
        <v>375</v>
      </c>
      <c r="B9" t="s">
        <v>374</v>
      </c>
      <c r="C9">
        <v>7</v>
      </c>
      <c r="D9" t="s">
        <v>3922</v>
      </c>
      <c r="E9" t="s">
        <v>3951</v>
      </c>
      <c r="F9" s="18">
        <v>41974</v>
      </c>
      <c r="G9" s="18">
        <v>41974</v>
      </c>
      <c r="H9" s="18" t="str">
        <f>IFERROR(INDEX('Docs Signed Input'!B:B,MATCH('Nate''s Evolution'!$B9,'Docs Signed Input'!E:E,0)),"N")</f>
        <v>Y</v>
      </c>
      <c r="I9" s="18" t="str">
        <f>IFERROR(INDEX('Docs Signed Input'!C:C,MATCH('Nate''s Evolution'!B9,'Docs Signed Input'!E:E,0)),"N")</f>
        <v>Y</v>
      </c>
      <c r="J9" s="18">
        <v>41981</v>
      </c>
      <c r="K9" s="18">
        <v>42047</v>
      </c>
      <c r="L9" t="s">
        <v>2258</v>
      </c>
      <c r="M9" t="s">
        <v>3926</v>
      </c>
      <c r="N9">
        <v>7</v>
      </c>
      <c r="O9">
        <v>7.5</v>
      </c>
      <c r="P9" s="6">
        <v>42028.587442129632</v>
      </c>
      <c r="Q9" t="s">
        <v>3896</v>
      </c>
      <c r="S9" t="s">
        <v>2591</v>
      </c>
      <c r="T9">
        <v>9</v>
      </c>
      <c r="X9" t="b">
        <v>1</v>
      </c>
      <c r="Y9" s="6">
        <v>42037.431944444441</v>
      </c>
    </row>
    <row r="10" spans="1:25" x14ac:dyDescent="0.25">
      <c r="A10" t="s">
        <v>2211</v>
      </c>
      <c r="B10" t="s">
        <v>2210</v>
      </c>
      <c r="C10">
        <v>24.84</v>
      </c>
      <c r="D10" t="s">
        <v>3893</v>
      </c>
      <c r="E10" t="s">
        <v>3894</v>
      </c>
      <c r="F10" s="18">
        <v>41974</v>
      </c>
      <c r="G10" s="18">
        <v>41974</v>
      </c>
      <c r="H10" s="18" t="str">
        <f>IFERROR(INDEX('Docs Signed Input'!B:B,MATCH('Nate''s Evolution'!$B10,'Docs Signed Input'!E:E,0)),"N")</f>
        <v>Y</v>
      </c>
      <c r="I10" s="18" t="str">
        <f>IFERROR(INDEX('Docs Signed Input'!C:C,MATCH('Nate''s Evolution'!B10,'Docs Signed Input'!E:E,0)),"N")</f>
        <v>Y</v>
      </c>
      <c r="J10" s="18">
        <v>42004</v>
      </c>
      <c r="L10" t="s">
        <v>2258</v>
      </c>
      <c r="M10" t="s">
        <v>3933</v>
      </c>
      <c r="N10">
        <v>23.25</v>
      </c>
      <c r="O10">
        <v>24.84</v>
      </c>
      <c r="P10" s="6">
        <v>42035.818124999998</v>
      </c>
      <c r="Q10" t="s">
        <v>3896</v>
      </c>
      <c r="R10" t="s">
        <v>5696</v>
      </c>
      <c r="S10" t="s">
        <v>3002</v>
      </c>
      <c r="T10">
        <v>2</v>
      </c>
      <c r="X10" t="b">
        <v>1</v>
      </c>
      <c r="Y10" s="6">
        <v>42037.431944444441</v>
      </c>
    </row>
    <row r="11" spans="1:25" x14ac:dyDescent="0.25">
      <c r="A11" t="s">
        <v>6335</v>
      </c>
      <c r="B11" t="s">
        <v>6336</v>
      </c>
      <c r="C11">
        <v>4.5</v>
      </c>
      <c r="D11" t="s">
        <v>3893</v>
      </c>
      <c r="E11" t="s">
        <v>3894</v>
      </c>
      <c r="F11" s="18">
        <v>41974</v>
      </c>
      <c r="G11" s="18">
        <v>41974</v>
      </c>
      <c r="H11" s="18" t="str">
        <f>IFERROR(INDEX('Docs Signed Input'!B:B,MATCH('Nate''s Evolution'!$B11,'Docs Signed Input'!E:E,0)),"N")</f>
        <v>Y</v>
      </c>
      <c r="I11" s="18" t="str">
        <f>IFERROR(INDEX('Docs Signed Input'!C:C,MATCH('Nate''s Evolution'!B11,'Docs Signed Input'!E:E,0)),"N")</f>
        <v>N</v>
      </c>
      <c r="L11" t="s">
        <v>2258</v>
      </c>
      <c r="M11" t="s">
        <v>3942</v>
      </c>
      <c r="N11">
        <v>4.5</v>
      </c>
      <c r="O11">
        <v>5.75</v>
      </c>
      <c r="P11" s="6">
        <v>42035.818124999998</v>
      </c>
      <c r="Q11" t="s">
        <v>3896</v>
      </c>
      <c r="S11" t="s">
        <v>3943</v>
      </c>
      <c r="T11">
        <v>2</v>
      </c>
      <c r="X11" t="b">
        <v>1</v>
      </c>
      <c r="Y11" s="6">
        <v>42037.431944444441</v>
      </c>
    </row>
    <row r="12" spans="1:25" x14ac:dyDescent="0.25">
      <c r="A12" t="s">
        <v>9158</v>
      </c>
      <c r="B12" t="s">
        <v>9159</v>
      </c>
      <c r="C12">
        <v>11.75</v>
      </c>
      <c r="D12" t="s">
        <v>2230</v>
      </c>
      <c r="E12" t="s">
        <v>3984</v>
      </c>
      <c r="F12" s="18">
        <v>41974</v>
      </c>
      <c r="G12" s="18">
        <v>41974</v>
      </c>
      <c r="H12" s="18" t="str">
        <f>IFERROR(INDEX('Docs Signed Input'!B:B,MATCH('Nate''s Evolution'!$B12,'Docs Signed Input'!E:E,0)),"N")</f>
        <v>N</v>
      </c>
      <c r="I12" s="18" t="str">
        <f>IFERROR(INDEX('Docs Signed Input'!C:C,MATCH('Nate''s Evolution'!B12,'Docs Signed Input'!E:E,0)),"N")</f>
        <v>N</v>
      </c>
      <c r="L12" t="s">
        <v>2258</v>
      </c>
      <c r="M12" t="s">
        <v>3942</v>
      </c>
      <c r="N12">
        <v>11.75</v>
      </c>
      <c r="O12">
        <v>12.75</v>
      </c>
      <c r="P12" s="6">
        <v>42017.315798611111</v>
      </c>
      <c r="Q12" t="s">
        <v>3896</v>
      </c>
      <c r="R12" t="s">
        <v>3918</v>
      </c>
      <c r="S12" t="s">
        <v>2813</v>
      </c>
      <c r="T12">
        <v>20</v>
      </c>
      <c r="U12" t="b">
        <v>1</v>
      </c>
      <c r="Y12" s="6">
        <v>42037.431944444441</v>
      </c>
    </row>
    <row r="13" spans="1:25" x14ac:dyDescent="0.25">
      <c r="A13" t="s">
        <v>2215</v>
      </c>
      <c r="B13" t="s">
        <v>2214</v>
      </c>
      <c r="C13">
        <v>4.335</v>
      </c>
      <c r="D13" t="s">
        <v>3893</v>
      </c>
      <c r="E13" t="s">
        <v>3894</v>
      </c>
      <c r="F13" s="18">
        <v>41974</v>
      </c>
      <c r="G13" s="18">
        <v>41975</v>
      </c>
      <c r="H13" s="18" t="str">
        <f>IFERROR(INDEX('Docs Signed Input'!B:B,MATCH('Nate''s Evolution'!$B13,'Docs Signed Input'!E:E,0)),"N")</f>
        <v>N</v>
      </c>
      <c r="I13" s="18" t="str">
        <f>IFERROR(INDEX('Docs Signed Input'!C:C,MATCH('Nate''s Evolution'!B13,'Docs Signed Input'!E:E,0)),"N")</f>
        <v>N</v>
      </c>
      <c r="L13" t="s">
        <v>2258</v>
      </c>
      <c r="M13" t="s">
        <v>3933</v>
      </c>
      <c r="N13">
        <v>2.75</v>
      </c>
      <c r="O13">
        <v>4.59</v>
      </c>
      <c r="P13" s="6">
        <v>42035.818124999998</v>
      </c>
      <c r="Q13" t="s">
        <v>3896</v>
      </c>
      <c r="R13" t="s">
        <v>3897</v>
      </c>
      <c r="S13" t="s">
        <v>3568</v>
      </c>
      <c r="T13">
        <v>2</v>
      </c>
      <c r="X13" t="b">
        <v>1</v>
      </c>
      <c r="Y13" s="6">
        <v>42037.431944444441</v>
      </c>
    </row>
    <row r="14" spans="1:25" x14ac:dyDescent="0.25">
      <c r="A14" t="s">
        <v>4874</v>
      </c>
      <c r="B14" t="s">
        <v>4875</v>
      </c>
      <c r="C14">
        <v>4.335</v>
      </c>
      <c r="D14" t="s">
        <v>3922</v>
      </c>
      <c r="E14" t="s">
        <v>3923</v>
      </c>
      <c r="F14" s="18">
        <v>41974</v>
      </c>
      <c r="G14" s="18">
        <v>41975</v>
      </c>
      <c r="H14" s="18" t="str">
        <f>IFERROR(INDEX('Docs Signed Input'!B:B,MATCH('Nate''s Evolution'!$B14,'Docs Signed Input'!E:E,0)),"N")</f>
        <v>Y</v>
      </c>
      <c r="I14" s="18" t="str">
        <f>IFERROR(INDEX('Docs Signed Input'!C:C,MATCH('Nate''s Evolution'!B14,'Docs Signed Input'!E:E,0)),"N")</f>
        <v>Y</v>
      </c>
      <c r="J14" s="18">
        <v>41996</v>
      </c>
      <c r="L14" t="s">
        <v>2258</v>
      </c>
      <c r="M14" t="s">
        <v>4020</v>
      </c>
      <c r="N14">
        <v>4.335</v>
      </c>
      <c r="O14">
        <v>5.5</v>
      </c>
      <c r="P14" s="6">
        <v>42035.818124999998</v>
      </c>
      <c r="Q14" t="s">
        <v>3896</v>
      </c>
      <c r="S14" t="s">
        <v>2598</v>
      </c>
      <c r="T14">
        <v>2</v>
      </c>
      <c r="X14" t="b">
        <v>1</v>
      </c>
      <c r="Y14" s="6">
        <v>42037.431944444441</v>
      </c>
    </row>
    <row r="15" spans="1:25" x14ac:dyDescent="0.25">
      <c r="A15" t="s">
        <v>4939</v>
      </c>
      <c r="B15" t="s">
        <v>1469</v>
      </c>
      <c r="C15">
        <v>2.8050000000000002</v>
      </c>
      <c r="D15" t="s">
        <v>3893</v>
      </c>
      <c r="E15" t="s">
        <v>9250</v>
      </c>
      <c r="F15" s="18">
        <v>41974</v>
      </c>
      <c r="G15" s="18">
        <v>41975</v>
      </c>
      <c r="H15" s="18" t="str">
        <f>IFERROR(INDEX('Docs Signed Input'!B:B,MATCH('Nate''s Evolution'!$B15,'Docs Signed Input'!E:E,0)),"N")</f>
        <v>N</v>
      </c>
      <c r="I15" s="18" t="str">
        <f>IFERROR(INDEX('Docs Signed Input'!C:C,MATCH('Nate''s Evolution'!B15,'Docs Signed Input'!E:E,0)),"N")</f>
        <v>Y</v>
      </c>
      <c r="J15" s="18">
        <v>41978</v>
      </c>
      <c r="L15" t="s">
        <v>2258</v>
      </c>
      <c r="M15" t="s">
        <v>4009</v>
      </c>
      <c r="N15">
        <v>2.75</v>
      </c>
      <c r="O15">
        <v>2.8050000000000002</v>
      </c>
      <c r="P15" s="6">
        <v>42035.818124999998</v>
      </c>
      <c r="Q15" t="s">
        <v>3896</v>
      </c>
      <c r="R15" t="s">
        <v>3897</v>
      </c>
      <c r="S15" t="s">
        <v>3525</v>
      </c>
      <c r="T15">
        <v>2</v>
      </c>
      <c r="X15" t="b">
        <v>1</v>
      </c>
      <c r="Y15" s="6">
        <v>42037.431944444441</v>
      </c>
    </row>
    <row r="16" spans="1:25" x14ac:dyDescent="0.25">
      <c r="A16" t="s">
        <v>4989</v>
      </c>
      <c r="B16" t="s">
        <v>4990</v>
      </c>
      <c r="C16">
        <v>10.5</v>
      </c>
      <c r="D16" t="s">
        <v>2230</v>
      </c>
      <c r="E16" t="s">
        <v>3984</v>
      </c>
      <c r="F16" s="18">
        <v>41974</v>
      </c>
      <c r="G16" s="18">
        <v>41975</v>
      </c>
      <c r="H16" s="18" t="str">
        <f>IFERROR(INDEX('Docs Signed Input'!B:B,MATCH('Nate''s Evolution'!$B16,'Docs Signed Input'!E:E,0)),"N")</f>
        <v>N</v>
      </c>
      <c r="I16" s="18" t="str">
        <f>IFERROR(INDEX('Docs Signed Input'!C:C,MATCH('Nate''s Evolution'!B16,'Docs Signed Input'!E:E,0)),"N")</f>
        <v>N</v>
      </c>
      <c r="L16" t="s">
        <v>2258</v>
      </c>
      <c r="M16" t="s">
        <v>3926</v>
      </c>
      <c r="N16">
        <v>10.5</v>
      </c>
      <c r="O16">
        <v>10.5</v>
      </c>
      <c r="P16" s="6">
        <v>42016.817962962959</v>
      </c>
      <c r="Q16" t="s">
        <v>3896</v>
      </c>
      <c r="R16" t="s">
        <v>3915</v>
      </c>
      <c r="S16" t="s">
        <v>2752</v>
      </c>
      <c r="T16">
        <v>21</v>
      </c>
      <c r="U16" t="b">
        <v>1</v>
      </c>
      <c r="Y16" s="6">
        <v>42037.431944444441</v>
      </c>
    </row>
    <row r="17" spans="1:25" x14ac:dyDescent="0.25">
      <c r="A17" t="s">
        <v>5307</v>
      </c>
      <c r="B17" t="s">
        <v>1236</v>
      </c>
      <c r="C17">
        <v>7.65</v>
      </c>
      <c r="D17" t="s">
        <v>2230</v>
      </c>
      <c r="E17" t="s">
        <v>3984</v>
      </c>
      <c r="F17" s="18">
        <v>41974</v>
      </c>
      <c r="G17" s="18">
        <v>41975</v>
      </c>
      <c r="H17" s="18" t="str">
        <f>IFERROR(INDEX('Docs Signed Input'!B:B,MATCH('Nate''s Evolution'!$B17,'Docs Signed Input'!E:E,0)),"N")</f>
        <v>N</v>
      </c>
      <c r="I17" s="18" t="str">
        <f>IFERROR(INDEX('Docs Signed Input'!C:C,MATCH('Nate''s Evolution'!B17,'Docs Signed Input'!E:E,0)),"N")</f>
        <v>N</v>
      </c>
      <c r="L17" t="s">
        <v>2258</v>
      </c>
      <c r="M17" t="s">
        <v>4027</v>
      </c>
      <c r="N17">
        <v>7.65</v>
      </c>
      <c r="O17">
        <v>11.75</v>
      </c>
      <c r="P17" s="6">
        <v>42026.817870370367</v>
      </c>
      <c r="Q17" t="s">
        <v>3896</v>
      </c>
      <c r="R17" t="s">
        <v>3918</v>
      </c>
      <c r="S17" t="s">
        <v>3676</v>
      </c>
      <c r="T17">
        <v>11</v>
      </c>
      <c r="U17" t="b">
        <v>1</v>
      </c>
      <c r="Y17" s="6">
        <v>42037.431944444441</v>
      </c>
    </row>
    <row r="18" spans="1:25" x14ac:dyDescent="0.25">
      <c r="A18" t="s">
        <v>6160</v>
      </c>
      <c r="B18" t="s">
        <v>6161</v>
      </c>
      <c r="C18">
        <v>5.5</v>
      </c>
      <c r="D18" t="s">
        <v>3900</v>
      </c>
      <c r="E18" t="s">
        <v>3960</v>
      </c>
      <c r="F18" s="18">
        <v>41974</v>
      </c>
      <c r="G18" s="18">
        <v>41975</v>
      </c>
      <c r="H18" s="18" t="str">
        <f>IFERROR(INDEX('Docs Signed Input'!B:B,MATCH('Nate''s Evolution'!$B18,'Docs Signed Input'!E:E,0)),"N")</f>
        <v>N</v>
      </c>
      <c r="I18" s="18" t="str">
        <f>IFERROR(INDEX('Docs Signed Input'!C:C,MATCH('Nate''s Evolution'!B18,'Docs Signed Input'!E:E,0)),"N")</f>
        <v>Y</v>
      </c>
      <c r="J18" s="18">
        <v>41977</v>
      </c>
      <c r="K18" s="18">
        <v>42000</v>
      </c>
      <c r="L18" t="s">
        <v>2258</v>
      </c>
      <c r="M18" t="s">
        <v>4000</v>
      </c>
      <c r="N18">
        <v>5.5</v>
      </c>
      <c r="O18">
        <v>5.5</v>
      </c>
      <c r="P18" s="6">
        <v>42003.497303240743</v>
      </c>
      <c r="Q18" t="s">
        <v>3896</v>
      </c>
      <c r="R18" t="s">
        <v>3918</v>
      </c>
      <c r="S18" t="s">
        <v>2924</v>
      </c>
      <c r="T18">
        <v>34</v>
      </c>
      <c r="W18" t="b">
        <v>1</v>
      </c>
      <c r="Y18" s="6">
        <v>42037.431944444441</v>
      </c>
    </row>
    <row r="19" spans="1:25" x14ac:dyDescent="0.25">
      <c r="A19" t="s">
        <v>1541</v>
      </c>
      <c r="B19" t="s">
        <v>2216</v>
      </c>
      <c r="C19">
        <v>5.61</v>
      </c>
      <c r="D19" t="s">
        <v>3893</v>
      </c>
      <c r="E19" t="s">
        <v>3925</v>
      </c>
      <c r="F19" s="18">
        <v>41974</v>
      </c>
      <c r="G19" s="18">
        <v>41975</v>
      </c>
      <c r="H19" s="18" t="str">
        <f>IFERROR(INDEX('Docs Signed Input'!B:B,MATCH('Nate''s Evolution'!$B19,'Docs Signed Input'!E:E,0)),"N")</f>
        <v>Y</v>
      </c>
      <c r="I19" s="18" t="str">
        <f>IFERROR(INDEX('Docs Signed Input'!C:C,MATCH('Nate''s Evolution'!B19,'Docs Signed Input'!E:E,0)),"N")</f>
        <v>Y</v>
      </c>
      <c r="J19" s="18">
        <v>42010</v>
      </c>
      <c r="L19" t="s">
        <v>6242</v>
      </c>
      <c r="M19" t="s">
        <v>3933</v>
      </c>
      <c r="N19">
        <v>5.61</v>
      </c>
      <c r="O19">
        <v>6.25</v>
      </c>
      <c r="P19" s="6">
        <v>42035.818124999998</v>
      </c>
      <c r="Q19" t="s">
        <v>3896</v>
      </c>
      <c r="T19">
        <v>2</v>
      </c>
      <c r="X19" t="b">
        <v>1</v>
      </c>
      <c r="Y19" s="6">
        <v>42037.431944444441</v>
      </c>
    </row>
    <row r="20" spans="1:25" x14ac:dyDescent="0.25">
      <c r="A20" t="s">
        <v>7962</v>
      </c>
      <c r="B20" t="s">
        <v>1080</v>
      </c>
      <c r="C20">
        <v>19.25</v>
      </c>
      <c r="D20" t="s">
        <v>3909</v>
      </c>
      <c r="E20" t="s">
        <v>3937</v>
      </c>
      <c r="F20" s="18">
        <v>41974</v>
      </c>
      <c r="G20" s="18">
        <v>41975</v>
      </c>
      <c r="H20" s="18" t="str">
        <f>IFERROR(INDEX('Docs Signed Input'!B:B,MATCH('Nate''s Evolution'!$B20,'Docs Signed Input'!E:E,0)),"N")</f>
        <v>N</v>
      </c>
      <c r="I20" s="18" t="str">
        <f>IFERROR(INDEX('Docs Signed Input'!C:C,MATCH('Nate''s Evolution'!B20,'Docs Signed Input'!E:E,0)),"N")</f>
        <v>N</v>
      </c>
      <c r="L20" t="s">
        <v>2258</v>
      </c>
      <c r="M20" t="s">
        <v>4317</v>
      </c>
      <c r="N20">
        <v>19.25</v>
      </c>
      <c r="O20">
        <v>19.25</v>
      </c>
      <c r="P20" s="6">
        <v>41992.621493055558</v>
      </c>
      <c r="Q20" t="s">
        <v>3896</v>
      </c>
      <c r="R20" t="s">
        <v>3918</v>
      </c>
      <c r="S20" t="s">
        <v>3469</v>
      </c>
      <c r="T20">
        <v>45</v>
      </c>
      <c r="V20" t="b">
        <v>1</v>
      </c>
      <c r="Y20" s="6">
        <v>42037.431944444441</v>
      </c>
    </row>
    <row r="21" spans="1:25" x14ac:dyDescent="0.25">
      <c r="A21" t="s">
        <v>8905</v>
      </c>
      <c r="B21" t="s">
        <v>8906</v>
      </c>
      <c r="C21">
        <v>13.75</v>
      </c>
      <c r="D21" t="s">
        <v>3922</v>
      </c>
      <c r="E21" t="s">
        <v>3985</v>
      </c>
      <c r="F21" s="18">
        <v>41974</v>
      </c>
      <c r="G21" s="18">
        <v>41975</v>
      </c>
      <c r="H21" s="18" t="str">
        <f>IFERROR(INDEX('Docs Signed Input'!B:B,MATCH('Nate''s Evolution'!$B21,'Docs Signed Input'!E:E,0)),"N")</f>
        <v>Y</v>
      </c>
      <c r="I21" s="18" t="str">
        <f>IFERROR(INDEX('Docs Signed Input'!C:C,MATCH('Nate''s Evolution'!B21,'Docs Signed Input'!E:E,0)),"N")</f>
        <v>Y</v>
      </c>
      <c r="J21" s="18">
        <v>42015</v>
      </c>
      <c r="L21" t="s">
        <v>2258</v>
      </c>
      <c r="M21" t="s">
        <v>3926</v>
      </c>
      <c r="N21">
        <v>13.75</v>
      </c>
      <c r="O21">
        <v>20.5</v>
      </c>
      <c r="P21" s="6">
        <v>42026.654340277775</v>
      </c>
      <c r="Q21" t="s">
        <v>3896</v>
      </c>
      <c r="R21" t="s">
        <v>4189</v>
      </c>
      <c r="S21" t="s">
        <v>2591</v>
      </c>
      <c r="T21">
        <v>11</v>
      </c>
      <c r="X21" t="b">
        <v>1</v>
      </c>
      <c r="Y21" s="6">
        <v>42037.431944444441</v>
      </c>
    </row>
    <row r="22" spans="1:25" x14ac:dyDescent="0.25">
      <c r="A22" t="s">
        <v>2213</v>
      </c>
      <c r="B22" t="s">
        <v>2212</v>
      </c>
      <c r="C22">
        <v>8.25</v>
      </c>
      <c r="D22" t="s">
        <v>3893</v>
      </c>
      <c r="E22" t="s">
        <v>4117</v>
      </c>
      <c r="F22" s="18">
        <v>41974</v>
      </c>
      <c r="G22" s="18">
        <v>41975</v>
      </c>
      <c r="H22" s="18" t="str">
        <f>IFERROR(INDEX('Docs Signed Input'!B:B,MATCH('Nate''s Evolution'!$B22,'Docs Signed Input'!E:E,0)),"N")</f>
        <v>N</v>
      </c>
      <c r="I22" s="18" t="str">
        <f>IFERROR(INDEX('Docs Signed Input'!C:C,MATCH('Nate''s Evolution'!B22,'Docs Signed Input'!E:E,0)),"N")</f>
        <v>N</v>
      </c>
      <c r="L22" t="s">
        <v>2258</v>
      </c>
      <c r="M22" t="s">
        <v>3933</v>
      </c>
      <c r="N22">
        <v>8.25</v>
      </c>
      <c r="O22">
        <v>8.25</v>
      </c>
      <c r="P22" s="6">
        <v>42035.818124999998</v>
      </c>
      <c r="Q22" t="s">
        <v>3896</v>
      </c>
      <c r="S22" t="s">
        <v>3568</v>
      </c>
      <c r="T22">
        <v>2</v>
      </c>
      <c r="X22" t="b">
        <v>1</v>
      </c>
      <c r="Y22" s="6">
        <v>42037.431944444441</v>
      </c>
    </row>
    <row r="23" spans="1:25" x14ac:dyDescent="0.25">
      <c r="A23" t="s">
        <v>4307</v>
      </c>
      <c r="B23" t="s">
        <v>4308</v>
      </c>
      <c r="C23">
        <v>9</v>
      </c>
      <c r="D23" t="s">
        <v>3893</v>
      </c>
      <c r="E23" t="s">
        <v>4117</v>
      </c>
      <c r="F23" s="18">
        <v>41974</v>
      </c>
      <c r="G23" s="18">
        <v>41976</v>
      </c>
      <c r="H23" s="18" t="str">
        <f>IFERROR(INDEX('Docs Signed Input'!B:B,MATCH('Nate''s Evolution'!$B23,'Docs Signed Input'!E:E,0)),"N")</f>
        <v>N</v>
      </c>
      <c r="I23" s="18" t="str">
        <f>IFERROR(INDEX('Docs Signed Input'!C:C,MATCH('Nate''s Evolution'!B23,'Docs Signed Input'!E:E,0)),"N")</f>
        <v>N</v>
      </c>
      <c r="L23" t="s">
        <v>2258</v>
      </c>
      <c r="M23" t="s">
        <v>4020</v>
      </c>
      <c r="N23">
        <v>9</v>
      </c>
      <c r="O23">
        <v>9</v>
      </c>
      <c r="P23" s="6">
        <v>42035.818124999998</v>
      </c>
      <c r="Q23" t="s">
        <v>3896</v>
      </c>
      <c r="R23" t="s">
        <v>3897</v>
      </c>
      <c r="S23" t="s">
        <v>4309</v>
      </c>
      <c r="T23">
        <v>2</v>
      </c>
      <c r="X23" t="b">
        <v>1</v>
      </c>
      <c r="Y23" s="6">
        <v>42037.431944444441</v>
      </c>
    </row>
    <row r="24" spans="1:25" x14ac:dyDescent="0.25">
      <c r="A24" t="s">
        <v>2218</v>
      </c>
      <c r="B24" t="s">
        <v>2217</v>
      </c>
      <c r="C24">
        <v>5.8650000000000002</v>
      </c>
      <c r="D24" t="s">
        <v>3893</v>
      </c>
      <c r="E24" t="s">
        <v>3894</v>
      </c>
      <c r="F24" s="18">
        <v>41974</v>
      </c>
      <c r="G24" s="18">
        <v>41976</v>
      </c>
      <c r="H24" s="18" t="str">
        <f>IFERROR(INDEX('Docs Signed Input'!B:B,MATCH('Nate''s Evolution'!$B24,'Docs Signed Input'!E:E,0)),"N")</f>
        <v>N</v>
      </c>
      <c r="I24" s="18" t="str">
        <f>IFERROR(INDEX('Docs Signed Input'!C:C,MATCH('Nate''s Evolution'!B24,'Docs Signed Input'!E:E,0)),"N")</f>
        <v>N</v>
      </c>
      <c r="L24" t="s">
        <v>2258</v>
      </c>
      <c r="M24" t="s">
        <v>3933</v>
      </c>
      <c r="N24">
        <v>5.8650000000000002</v>
      </c>
      <c r="O24">
        <v>11.25</v>
      </c>
      <c r="P24" s="6">
        <v>42035.818124999998</v>
      </c>
      <c r="Q24" t="s">
        <v>3896</v>
      </c>
      <c r="R24" t="s">
        <v>3897</v>
      </c>
      <c r="S24" t="s">
        <v>3002</v>
      </c>
      <c r="T24">
        <v>2</v>
      </c>
      <c r="X24" t="b">
        <v>1</v>
      </c>
      <c r="Y24" s="6">
        <v>42037.431944444441</v>
      </c>
    </row>
    <row r="25" spans="1:25" x14ac:dyDescent="0.25">
      <c r="A25" t="s">
        <v>5279</v>
      </c>
      <c r="B25" t="s">
        <v>5280</v>
      </c>
      <c r="C25">
        <v>3.75</v>
      </c>
      <c r="D25" t="s">
        <v>3909</v>
      </c>
      <c r="E25" t="s">
        <v>3929</v>
      </c>
      <c r="F25" s="18">
        <v>41974</v>
      </c>
      <c r="G25" s="18">
        <v>41976</v>
      </c>
      <c r="H25" s="18" t="str">
        <f>IFERROR(INDEX('Docs Signed Input'!B:B,MATCH('Nate''s Evolution'!$B25,'Docs Signed Input'!E:E,0)),"N")</f>
        <v>Y</v>
      </c>
      <c r="I25" s="18" t="str">
        <f>IFERROR(INDEX('Docs Signed Input'!C:C,MATCH('Nate''s Evolution'!B25,'Docs Signed Input'!E:E,0)),"N")</f>
        <v>N</v>
      </c>
      <c r="L25" t="s">
        <v>2258</v>
      </c>
      <c r="M25" t="s">
        <v>3942</v>
      </c>
      <c r="N25">
        <v>3.75</v>
      </c>
      <c r="O25">
        <v>8</v>
      </c>
      <c r="P25" s="6">
        <v>42033.818680555552</v>
      </c>
      <c r="Q25" t="s">
        <v>3896</v>
      </c>
      <c r="S25" t="s">
        <v>3812</v>
      </c>
      <c r="T25">
        <v>4</v>
      </c>
      <c r="V25" t="b">
        <v>1</v>
      </c>
      <c r="Y25" s="6">
        <v>42037.431944444441</v>
      </c>
    </row>
    <row r="26" spans="1:25" x14ac:dyDescent="0.25">
      <c r="A26" t="s">
        <v>665</v>
      </c>
      <c r="B26" t="s">
        <v>664</v>
      </c>
      <c r="C26">
        <v>2.04</v>
      </c>
      <c r="D26" t="s">
        <v>3909</v>
      </c>
      <c r="E26" t="s">
        <v>3937</v>
      </c>
      <c r="F26" s="18">
        <v>41974</v>
      </c>
      <c r="G26" s="18">
        <v>41976</v>
      </c>
      <c r="H26" s="18" t="str">
        <f>IFERROR(INDEX('Docs Signed Input'!B:B,MATCH('Nate''s Evolution'!$B26,'Docs Signed Input'!E:E,0)),"N")</f>
        <v>N</v>
      </c>
      <c r="I26" s="18" t="str">
        <f>IFERROR(INDEX('Docs Signed Input'!C:C,MATCH('Nate''s Evolution'!B26,'Docs Signed Input'!E:E,0)),"N")</f>
        <v>N</v>
      </c>
      <c r="J26" s="18">
        <v>41981</v>
      </c>
      <c r="L26" t="s">
        <v>2258</v>
      </c>
      <c r="M26" t="s">
        <v>3917</v>
      </c>
      <c r="N26">
        <v>2.04</v>
      </c>
      <c r="O26">
        <v>6</v>
      </c>
      <c r="P26" s="6">
        <v>41999.389988425923</v>
      </c>
      <c r="Q26" t="s">
        <v>3896</v>
      </c>
      <c r="S26" t="s">
        <v>2277</v>
      </c>
      <c r="T26">
        <v>38</v>
      </c>
      <c r="V26" t="b">
        <v>1</v>
      </c>
      <c r="Y26" s="6">
        <v>42037.431944444441</v>
      </c>
    </row>
    <row r="27" spans="1:25" x14ac:dyDescent="0.25">
      <c r="A27" t="s">
        <v>5897</v>
      </c>
      <c r="B27" t="s">
        <v>5898</v>
      </c>
      <c r="C27">
        <v>5</v>
      </c>
      <c r="D27" t="s">
        <v>3893</v>
      </c>
      <c r="E27" t="s">
        <v>3925</v>
      </c>
      <c r="F27" s="18">
        <v>41974</v>
      </c>
      <c r="G27" s="18">
        <v>41976</v>
      </c>
      <c r="H27" s="18" t="str">
        <f>IFERROR(INDEX('Docs Signed Input'!B:B,MATCH('Nate''s Evolution'!$B27,'Docs Signed Input'!E:E,0)),"N")</f>
        <v>Y</v>
      </c>
      <c r="I27" s="18" t="str">
        <f>IFERROR(INDEX('Docs Signed Input'!C:C,MATCH('Nate''s Evolution'!B27,'Docs Signed Input'!E:E,0)),"N")</f>
        <v>N</v>
      </c>
      <c r="J27" s="18">
        <v>42036</v>
      </c>
      <c r="L27" t="s">
        <v>2258</v>
      </c>
      <c r="M27" t="s">
        <v>3942</v>
      </c>
      <c r="N27">
        <v>5</v>
      </c>
      <c r="O27">
        <v>6.25</v>
      </c>
      <c r="P27" s="6">
        <v>42036.818182870367</v>
      </c>
      <c r="Q27" t="s">
        <v>3896</v>
      </c>
      <c r="S27" t="s">
        <v>3360</v>
      </c>
      <c r="T27">
        <v>1</v>
      </c>
      <c r="X27" t="b">
        <v>1</v>
      </c>
      <c r="Y27" s="6">
        <v>42037.431944444441</v>
      </c>
    </row>
    <row r="28" spans="1:25" x14ac:dyDescent="0.25">
      <c r="A28" t="s">
        <v>6304</v>
      </c>
      <c r="B28" t="s">
        <v>6305</v>
      </c>
      <c r="C28">
        <v>7.5</v>
      </c>
      <c r="D28" t="s">
        <v>3909</v>
      </c>
      <c r="E28" t="s">
        <v>3929</v>
      </c>
      <c r="F28" s="18">
        <v>41974</v>
      </c>
      <c r="G28" s="18">
        <v>41976</v>
      </c>
      <c r="H28" s="18" t="str">
        <f>IFERROR(INDEX('Docs Signed Input'!B:B,MATCH('Nate''s Evolution'!$B28,'Docs Signed Input'!E:E,0)),"N")</f>
        <v>N</v>
      </c>
      <c r="I28" s="18" t="str">
        <f>IFERROR(INDEX('Docs Signed Input'!C:C,MATCH('Nate''s Evolution'!B28,'Docs Signed Input'!E:E,0)),"N")</f>
        <v>N</v>
      </c>
      <c r="L28" t="s">
        <v>2258</v>
      </c>
      <c r="M28" t="s">
        <v>3902</v>
      </c>
      <c r="N28">
        <v>7.5</v>
      </c>
      <c r="O28">
        <v>7.5</v>
      </c>
      <c r="P28" s="6">
        <v>42033.818680555552</v>
      </c>
      <c r="Q28" t="s">
        <v>3896</v>
      </c>
      <c r="S28" t="s">
        <v>3943</v>
      </c>
      <c r="T28">
        <v>4</v>
      </c>
      <c r="V28" t="b">
        <v>1</v>
      </c>
      <c r="Y28" s="6">
        <v>42037.431944444441</v>
      </c>
    </row>
    <row r="29" spans="1:25" x14ac:dyDescent="0.25">
      <c r="A29" t="s">
        <v>6395</v>
      </c>
      <c r="B29" t="s">
        <v>6396</v>
      </c>
      <c r="C29">
        <v>3.38</v>
      </c>
      <c r="D29" t="s">
        <v>3968</v>
      </c>
      <c r="E29" t="s">
        <v>3968</v>
      </c>
      <c r="F29" s="18">
        <v>41974</v>
      </c>
      <c r="G29" s="18">
        <v>41976</v>
      </c>
      <c r="H29" s="18" t="str">
        <f>IFERROR(INDEX('Docs Signed Input'!B:B,MATCH('Nate''s Evolution'!$B29,'Docs Signed Input'!E:E,0)),"N")</f>
        <v>Y</v>
      </c>
      <c r="I29" s="18" t="str">
        <f>IFERROR(INDEX('Docs Signed Input'!C:C,MATCH('Nate''s Evolution'!B29,'Docs Signed Input'!E:E,0)),"N")</f>
        <v>Y</v>
      </c>
      <c r="J29" s="18">
        <v>41983</v>
      </c>
      <c r="K29" s="18">
        <v>42017</v>
      </c>
      <c r="L29" t="s">
        <v>2258</v>
      </c>
      <c r="M29" t="s">
        <v>6132</v>
      </c>
      <c r="N29">
        <v>3.25</v>
      </c>
      <c r="O29">
        <v>3.38</v>
      </c>
      <c r="P29" s="6">
        <v>42030.597430555557</v>
      </c>
      <c r="Q29" t="s">
        <v>3896</v>
      </c>
      <c r="S29" t="s">
        <v>3696</v>
      </c>
      <c r="T29">
        <v>7</v>
      </c>
      <c r="W29" t="b">
        <v>1</v>
      </c>
      <c r="Y29" s="6">
        <v>42037.431944444441</v>
      </c>
    </row>
    <row r="30" spans="1:25" x14ac:dyDescent="0.25">
      <c r="A30" t="s">
        <v>6828</v>
      </c>
      <c r="B30" t="s">
        <v>6829</v>
      </c>
      <c r="C30">
        <v>8.25</v>
      </c>
      <c r="D30" t="s">
        <v>3922</v>
      </c>
      <c r="E30" t="s">
        <v>3985</v>
      </c>
      <c r="F30" s="18">
        <v>41974</v>
      </c>
      <c r="G30" s="18">
        <v>41976</v>
      </c>
      <c r="H30" s="18" t="str">
        <f>IFERROR(INDEX('Docs Signed Input'!B:B,MATCH('Nate''s Evolution'!$B30,'Docs Signed Input'!E:E,0)),"N")</f>
        <v>N</v>
      </c>
      <c r="I30" s="18" t="str">
        <f>IFERROR(INDEX('Docs Signed Input'!C:C,MATCH('Nate''s Evolution'!B30,'Docs Signed Input'!E:E,0)),"N")</f>
        <v>Y</v>
      </c>
      <c r="J30" s="18">
        <v>41990</v>
      </c>
      <c r="L30" t="s">
        <v>2258</v>
      </c>
      <c r="M30" t="s">
        <v>3895</v>
      </c>
      <c r="N30">
        <v>8</v>
      </c>
      <c r="O30">
        <v>8.25</v>
      </c>
      <c r="P30" s="6">
        <v>42004.529386574075</v>
      </c>
      <c r="Q30" t="s">
        <v>3896</v>
      </c>
      <c r="R30" t="s">
        <v>3897</v>
      </c>
      <c r="S30" t="s">
        <v>3660</v>
      </c>
      <c r="T30">
        <v>33</v>
      </c>
      <c r="X30" t="b">
        <v>1</v>
      </c>
      <c r="Y30" s="6">
        <v>42037.431944444441</v>
      </c>
    </row>
    <row r="31" spans="1:25" x14ac:dyDescent="0.25">
      <c r="A31" t="s">
        <v>6832</v>
      </c>
      <c r="B31" t="s">
        <v>6833</v>
      </c>
      <c r="C31">
        <v>13</v>
      </c>
      <c r="D31" t="s">
        <v>3922</v>
      </c>
      <c r="E31" t="s">
        <v>3951</v>
      </c>
      <c r="F31" s="18">
        <v>41974</v>
      </c>
      <c r="G31" s="18">
        <v>41976</v>
      </c>
      <c r="H31" s="18" t="str">
        <f>IFERROR(INDEX('Docs Signed Input'!B:B,MATCH('Nate''s Evolution'!$B31,'Docs Signed Input'!E:E,0)),"N")</f>
        <v>Y</v>
      </c>
      <c r="I31" s="18" t="str">
        <f>IFERROR(INDEX('Docs Signed Input'!C:C,MATCH('Nate''s Evolution'!B31,'Docs Signed Input'!E:E,0)),"N")</f>
        <v>Y</v>
      </c>
      <c r="J31" s="18">
        <v>41984</v>
      </c>
      <c r="K31" s="18">
        <v>42059</v>
      </c>
      <c r="L31" t="s">
        <v>2258</v>
      </c>
      <c r="M31" t="s">
        <v>3926</v>
      </c>
      <c r="N31">
        <v>13</v>
      </c>
      <c r="O31">
        <v>13.5</v>
      </c>
      <c r="P31" s="6">
        <v>42033.654363425929</v>
      </c>
      <c r="Q31" t="s">
        <v>3896</v>
      </c>
      <c r="S31" t="s">
        <v>3650</v>
      </c>
      <c r="T31">
        <v>4</v>
      </c>
      <c r="X31" t="b">
        <v>1</v>
      </c>
      <c r="Y31" s="6">
        <v>42037.431944444441</v>
      </c>
    </row>
    <row r="32" spans="1:25" x14ac:dyDescent="0.25">
      <c r="A32" t="s">
        <v>7038</v>
      </c>
      <c r="B32" t="s">
        <v>1471</v>
      </c>
      <c r="C32">
        <v>6.12</v>
      </c>
      <c r="D32" t="s">
        <v>3893</v>
      </c>
      <c r="E32" t="s">
        <v>3925</v>
      </c>
      <c r="F32" s="18">
        <v>41974</v>
      </c>
      <c r="G32" s="18">
        <v>41976</v>
      </c>
      <c r="H32" s="18" t="str">
        <f>IFERROR(INDEX('Docs Signed Input'!B:B,MATCH('Nate''s Evolution'!$B32,'Docs Signed Input'!E:E,0)),"N")</f>
        <v>N</v>
      </c>
      <c r="I32" s="18" t="str">
        <f>IFERROR(INDEX('Docs Signed Input'!C:C,MATCH('Nate''s Evolution'!B32,'Docs Signed Input'!E:E,0)),"N")</f>
        <v>Y</v>
      </c>
      <c r="J32" s="18">
        <v>42018</v>
      </c>
      <c r="L32" t="s">
        <v>2258</v>
      </c>
      <c r="M32" t="s">
        <v>4009</v>
      </c>
      <c r="N32">
        <v>6.12</v>
      </c>
      <c r="O32">
        <v>6.5</v>
      </c>
      <c r="P32" s="6">
        <v>42035.818124999998</v>
      </c>
      <c r="Q32" t="s">
        <v>3896</v>
      </c>
      <c r="R32" t="s">
        <v>3918</v>
      </c>
      <c r="S32" t="s">
        <v>3640</v>
      </c>
      <c r="T32">
        <v>2</v>
      </c>
      <c r="X32" t="b">
        <v>1</v>
      </c>
      <c r="Y32" s="6">
        <v>42037.431944444441</v>
      </c>
    </row>
    <row r="33" spans="1:25" x14ac:dyDescent="0.25">
      <c r="A33" t="s">
        <v>7298</v>
      </c>
      <c r="B33" t="s">
        <v>1470</v>
      </c>
      <c r="C33">
        <v>3.57</v>
      </c>
      <c r="D33" t="s">
        <v>3893</v>
      </c>
      <c r="E33" t="s">
        <v>4888</v>
      </c>
      <c r="F33" s="18">
        <v>41974</v>
      </c>
      <c r="G33" s="18">
        <v>41976</v>
      </c>
      <c r="H33" s="18" t="str">
        <f>IFERROR(INDEX('Docs Signed Input'!B:B,MATCH('Nate''s Evolution'!$B33,'Docs Signed Input'!E:E,0)),"N")</f>
        <v>N</v>
      </c>
      <c r="I33" s="18" t="str">
        <f>IFERROR(INDEX('Docs Signed Input'!C:C,MATCH('Nate''s Evolution'!B33,'Docs Signed Input'!E:E,0)),"N")</f>
        <v>N</v>
      </c>
      <c r="J33" s="18">
        <v>41983</v>
      </c>
      <c r="L33" t="s">
        <v>2258</v>
      </c>
      <c r="M33" t="s">
        <v>4009</v>
      </c>
      <c r="N33">
        <v>3.57</v>
      </c>
      <c r="O33">
        <v>4.08</v>
      </c>
      <c r="P33" s="6">
        <v>42035.818124999998</v>
      </c>
      <c r="Q33" t="s">
        <v>3896</v>
      </c>
      <c r="R33" t="s">
        <v>3918</v>
      </c>
      <c r="S33" t="s">
        <v>3640</v>
      </c>
      <c r="T33">
        <v>2</v>
      </c>
      <c r="X33" t="b">
        <v>1</v>
      </c>
      <c r="Y33" s="6">
        <v>42037.431944444441</v>
      </c>
    </row>
    <row r="34" spans="1:25" x14ac:dyDescent="0.25">
      <c r="A34" t="s">
        <v>7761</v>
      </c>
      <c r="B34" t="s">
        <v>7762</v>
      </c>
      <c r="C34">
        <v>13.5</v>
      </c>
      <c r="D34" t="s">
        <v>3893</v>
      </c>
      <c r="E34" t="s">
        <v>4117</v>
      </c>
      <c r="F34" s="18">
        <v>41974</v>
      </c>
      <c r="G34" s="18">
        <v>41976</v>
      </c>
      <c r="H34" s="18" t="str">
        <f>IFERROR(INDEX('Docs Signed Input'!B:B,MATCH('Nate''s Evolution'!$B34,'Docs Signed Input'!E:E,0)),"N")</f>
        <v>N</v>
      </c>
      <c r="I34" s="18" t="str">
        <f>IFERROR(INDEX('Docs Signed Input'!C:C,MATCH('Nate''s Evolution'!B34,'Docs Signed Input'!E:E,0)),"N")</f>
        <v>N</v>
      </c>
      <c r="L34" t="s">
        <v>2258</v>
      </c>
      <c r="M34" t="s">
        <v>4032</v>
      </c>
      <c r="N34">
        <v>13.5</v>
      </c>
      <c r="O34">
        <v>13.5</v>
      </c>
      <c r="P34" s="6">
        <v>42035.818124999998</v>
      </c>
      <c r="Q34" t="s">
        <v>3896</v>
      </c>
      <c r="R34" t="s">
        <v>3918</v>
      </c>
      <c r="S34" t="s">
        <v>3746</v>
      </c>
      <c r="T34">
        <v>2</v>
      </c>
      <c r="X34" t="b">
        <v>1</v>
      </c>
      <c r="Y34" s="6">
        <v>42037.431944444441</v>
      </c>
    </row>
    <row r="35" spans="1:25" x14ac:dyDescent="0.25">
      <c r="A35" t="s">
        <v>7912</v>
      </c>
      <c r="B35" t="s">
        <v>7913</v>
      </c>
      <c r="C35">
        <v>7.5</v>
      </c>
      <c r="D35" t="s">
        <v>3893</v>
      </c>
      <c r="E35" t="s">
        <v>3894</v>
      </c>
      <c r="F35" s="18">
        <v>41974</v>
      </c>
      <c r="G35" s="18">
        <v>41976</v>
      </c>
      <c r="H35" s="18" t="str">
        <f>IFERROR(INDEX('Docs Signed Input'!B:B,MATCH('Nate''s Evolution'!$B35,'Docs Signed Input'!E:E,0)),"N")</f>
        <v>N</v>
      </c>
      <c r="I35" s="18" t="str">
        <f>IFERROR(INDEX('Docs Signed Input'!C:C,MATCH('Nate''s Evolution'!B35,'Docs Signed Input'!E:E,0)),"N")</f>
        <v>N</v>
      </c>
      <c r="L35" t="s">
        <v>2258</v>
      </c>
      <c r="M35" t="s">
        <v>12976</v>
      </c>
      <c r="N35">
        <v>7.5</v>
      </c>
      <c r="O35">
        <v>8</v>
      </c>
      <c r="P35" s="6">
        <v>42035.818124999998</v>
      </c>
      <c r="Q35" t="s">
        <v>3896</v>
      </c>
      <c r="R35" t="s">
        <v>3915</v>
      </c>
      <c r="S35" t="s">
        <v>3406</v>
      </c>
      <c r="T35">
        <v>2</v>
      </c>
      <c r="X35" t="b">
        <v>1</v>
      </c>
      <c r="Y35" s="6">
        <v>42037.431944444441</v>
      </c>
    </row>
    <row r="36" spans="1:25" x14ac:dyDescent="0.25">
      <c r="A36" t="s">
        <v>8019</v>
      </c>
      <c r="B36" t="s">
        <v>8020</v>
      </c>
      <c r="C36">
        <v>5.46</v>
      </c>
      <c r="D36" t="s">
        <v>3922</v>
      </c>
      <c r="E36" t="s">
        <v>3947</v>
      </c>
      <c r="F36" s="18">
        <v>41974</v>
      </c>
      <c r="G36" s="18">
        <v>41976</v>
      </c>
      <c r="H36" s="18" t="str">
        <f>IFERROR(INDEX('Docs Signed Input'!B:B,MATCH('Nate''s Evolution'!$B36,'Docs Signed Input'!E:E,0)),"N")</f>
        <v>N</v>
      </c>
      <c r="I36" s="18" t="str">
        <f>IFERROR(INDEX('Docs Signed Input'!C:C,MATCH('Nate''s Evolution'!B36,'Docs Signed Input'!E:E,0)),"N")</f>
        <v>Y</v>
      </c>
      <c r="J36" s="18">
        <v>42032</v>
      </c>
      <c r="K36" s="18">
        <v>42037</v>
      </c>
      <c r="L36" t="s">
        <v>2258</v>
      </c>
      <c r="M36" t="s">
        <v>12287</v>
      </c>
      <c r="N36">
        <v>5.46</v>
      </c>
      <c r="O36">
        <v>5.75</v>
      </c>
      <c r="P36" s="6">
        <v>42035.520532407405</v>
      </c>
      <c r="Q36" t="s">
        <v>3896</v>
      </c>
      <c r="R36" t="s">
        <v>3897</v>
      </c>
      <c r="S36" t="s">
        <v>3634</v>
      </c>
      <c r="T36">
        <v>2</v>
      </c>
      <c r="X36" t="b">
        <v>1</v>
      </c>
      <c r="Y36" s="6">
        <v>42037.431944444441</v>
      </c>
    </row>
    <row r="37" spans="1:25" x14ac:dyDescent="0.25">
      <c r="A37" t="s">
        <v>8129</v>
      </c>
      <c r="B37" t="s">
        <v>1079</v>
      </c>
      <c r="C37">
        <v>11</v>
      </c>
      <c r="D37" t="s">
        <v>3893</v>
      </c>
      <c r="E37" t="s">
        <v>4117</v>
      </c>
      <c r="F37" s="18">
        <v>41974</v>
      </c>
      <c r="G37" s="18">
        <v>41976</v>
      </c>
      <c r="H37" s="18" t="str">
        <f>IFERROR(INDEX('Docs Signed Input'!B:B,MATCH('Nate''s Evolution'!$B37,'Docs Signed Input'!E:E,0)),"N")</f>
        <v>N</v>
      </c>
      <c r="I37" s="18" t="str">
        <f>IFERROR(INDEX('Docs Signed Input'!C:C,MATCH('Nate''s Evolution'!B37,'Docs Signed Input'!E:E,0)),"N")</f>
        <v>N</v>
      </c>
      <c r="L37" t="s">
        <v>2258</v>
      </c>
      <c r="M37" t="s">
        <v>4317</v>
      </c>
      <c r="N37">
        <v>11</v>
      </c>
      <c r="O37">
        <v>11</v>
      </c>
      <c r="P37" s="6">
        <v>42035.818124999998</v>
      </c>
      <c r="Q37" t="s">
        <v>3896</v>
      </c>
      <c r="R37" t="s">
        <v>3915</v>
      </c>
      <c r="S37" t="s">
        <v>2553</v>
      </c>
      <c r="T37">
        <v>2</v>
      </c>
      <c r="X37" t="b">
        <v>1</v>
      </c>
      <c r="Y37" s="6">
        <v>42037.431944444441</v>
      </c>
    </row>
    <row r="38" spans="1:25" x14ac:dyDescent="0.25">
      <c r="A38" t="s">
        <v>8583</v>
      </c>
      <c r="B38" t="s">
        <v>8584</v>
      </c>
      <c r="C38">
        <v>4.16</v>
      </c>
      <c r="D38" t="s">
        <v>2230</v>
      </c>
      <c r="E38" t="s">
        <v>3984</v>
      </c>
      <c r="F38" s="18">
        <v>41974</v>
      </c>
      <c r="G38" s="18">
        <v>41976</v>
      </c>
      <c r="H38" s="18" t="str">
        <f>IFERROR(INDEX('Docs Signed Input'!B:B,MATCH('Nate''s Evolution'!$B38,'Docs Signed Input'!E:E,0)),"N")</f>
        <v>N</v>
      </c>
      <c r="I38" s="18" t="str">
        <f>IFERROR(INDEX('Docs Signed Input'!C:C,MATCH('Nate''s Evolution'!B38,'Docs Signed Input'!E:E,0)),"N")</f>
        <v>Y</v>
      </c>
      <c r="J38" s="18">
        <v>42012</v>
      </c>
      <c r="L38" t="s">
        <v>2258</v>
      </c>
      <c r="M38" t="s">
        <v>4677</v>
      </c>
      <c r="N38">
        <v>4.16</v>
      </c>
      <c r="O38">
        <v>4.25</v>
      </c>
      <c r="P38" s="6">
        <v>41989.828067129631</v>
      </c>
      <c r="Q38" t="s">
        <v>3896</v>
      </c>
      <c r="R38" t="s">
        <v>3918</v>
      </c>
      <c r="S38" t="s">
        <v>3554</v>
      </c>
      <c r="T38">
        <v>25</v>
      </c>
      <c r="U38" t="b">
        <v>1</v>
      </c>
      <c r="Y38" s="6">
        <v>42037.431944444441</v>
      </c>
    </row>
    <row r="39" spans="1:25" x14ac:dyDescent="0.25">
      <c r="A39" t="s">
        <v>8612</v>
      </c>
      <c r="B39" t="s">
        <v>8613</v>
      </c>
      <c r="C39">
        <v>3.25</v>
      </c>
      <c r="D39" t="s">
        <v>2230</v>
      </c>
      <c r="E39" t="s">
        <v>3984</v>
      </c>
      <c r="F39" s="18">
        <v>41974</v>
      </c>
      <c r="G39" s="18">
        <v>41976</v>
      </c>
      <c r="H39" s="18" t="str">
        <f>IFERROR(INDEX('Docs Signed Input'!B:B,MATCH('Nate''s Evolution'!$B39,'Docs Signed Input'!E:E,0)),"N")</f>
        <v>N</v>
      </c>
      <c r="I39" s="18" t="str">
        <f>IFERROR(INDEX('Docs Signed Input'!C:C,MATCH('Nate''s Evolution'!B39,'Docs Signed Input'!E:E,0)),"N")</f>
        <v>N</v>
      </c>
      <c r="L39" t="s">
        <v>2258</v>
      </c>
      <c r="M39" t="s">
        <v>3926</v>
      </c>
      <c r="N39">
        <v>3.25</v>
      </c>
      <c r="O39">
        <v>3.25</v>
      </c>
      <c r="P39" s="6">
        <v>42016.817962962959</v>
      </c>
      <c r="Q39" t="s">
        <v>3896</v>
      </c>
      <c r="R39" t="s">
        <v>3897</v>
      </c>
      <c r="S39" t="s">
        <v>3214</v>
      </c>
      <c r="T39">
        <v>21</v>
      </c>
      <c r="U39" t="b">
        <v>1</v>
      </c>
      <c r="Y39" s="6">
        <v>42037.431944444441</v>
      </c>
    </row>
    <row r="40" spans="1:25" x14ac:dyDescent="0.25">
      <c r="A40" t="s">
        <v>8928</v>
      </c>
      <c r="B40" t="s">
        <v>8929</v>
      </c>
      <c r="C40">
        <v>19.5</v>
      </c>
      <c r="D40" t="s">
        <v>2230</v>
      </c>
      <c r="E40" t="s">
        <v>3984</v>
      </c>
      <c r="F40" s="18">
        <v>41974</v>
      </c>
      <c r="G40" s="18">
        <v>41976</v>
      </c>
      <c r="H40" s="18" t="str">
        <f>IFERROR(INDEX('Docs Signed Input'!B:B,MATCH('Nate''s Evolution'!$B40,'Docs Signed Input'!E:E,0)),"N")</f>
        <v>N</v>
      </c>
      <c r="I40" s="18" t="str">
        <f>IFERROR(INDEX('Docs Signed Input'!C:C,MATCH('Nate''s Evolution'!B40,'Docs Signed Input'!E:E,0)),"N")</f>
        <v>N</v>
      </c>
      <c r="L40" t="s">
        <v>2258</v>
      </c>
      <c r="M40" t="s">
        <v>3930</v>
      </c>
      <c r="N40">
        <v>19.5</v>
      </c>
      <c r="O40">
        <v>19.5</v>
      </c>
      <c r="P40" s="6">
        <v>42016.817962962959</v>
      </c>
      <c r="Q40" t="s">
        <v>3896</v>
      </c>
      <c r="S40" t="s">
        <v>3648</v>
      </c>
      <c r="T40">
        <v>21</v>
      </c>
      <c r="U40" t="b">
        <v>1</v>
      </c>
      <c r="Y40" s="6">
        <v>42037.431944444441</v>
      </c>
    </row>
    <row r="41" spans="1:25" x14ac:dyDescent="0.25">
      <c r="A41" t="s">
        <v>9487</v>
      </c>
      <c r="B41" t="s">
        <v>9488</v>
      </c>
      <c r="C41">
        <v>7.75</v>
      </c>
      <c r="D41" t="s">
        <v>2230</v>
      </c>
      <c r="E41" t="s">
        <v>3984</v>
      </c>
      <c r="F41" s="18">
        <v>41974</v>
      </c>
      <c r="G41" s="18">
        <v>41976</v>
      </c>
      <c r="H41" s="18" t="str">
        <f>IFERROR(INDEX('Docs Signed Input'!B:B,MATCH('Nate''s Evolution'!$B41,'Docs Signed Input'!E:E,0)),"N")</f>
        <v>N</v>
      </c>
      <c r="I41" s="18" t="str">
        <f>IFERROR(INDEX('Docs Signed Input'!C:C,MATCH('Nate''s Evolution'!B41,'Docs Signed Input'!E:E,0)),"N")</f>
        <v>Y</v>
      </c>
      <c r="J41" s="18">
        <v>41985</v>
      </c>
      <c r="L41" t="s">
        <v>2258</v>
      </c>
      <c r="M41" t="s">
        <v>3942</v>
      </c>
      <c r="N41">
        <v>7.75</v>
      </c>
      <c r="O41">
        <v>7.75</v>
      </c>
      <c r="P41" s="6">
        <v>42016.817962962959</v>
      </c>
      <c r="Q41" t="s">
        <v>3896</v>
      </c>
      <c r="R41" t="s">
        <v>3897</v>
      </c>
      <c r="S41" t="s">
        <v>2969</v>
      </c>
      <c r="T41">
        <v>21</v>
      </c>
      <c r="U41" t="b">
        <v>1</v>
      </c>
      <c r="Y41" s="6">
        <v>42037.431944444441</v>
      </c>
    </row>
    <row r="42" spans="1:25" x14ac:dyDescent="0.25">
      <c r="A42" t="s">
        <v>9629</v>
      </c>
      <c r="B42" t="s">
        <v>9630</v>
      </c>
      <c r="C42">
        <v>10.75</v>
      </c>
      <c r="D42" t="s">
        <v>3893</v>
      </c>
      <c r="E42" t="s">
        <v>4117</v>
      </c>
      <c r="F42" s="18">
        <v>41974</v>
      </c>
      <c r="G42" s="18">
        <v>41976</v>
      </c>
      <c r="H42" s="18" t="str">
        <f>IFERROR(INDEX('Docs Signed Input'!B:B,MATCH('Nate''s Evolution'!$B42,'Docs Signed Input'!E:E,0)),"N")</f>
        <v>N</v>
      </c>
      <c r="I42" s="18" t="str">
        <f>IFERROR(INDEX('Docs Signed Input'!C:C,MATCH('Nate''s Evolution'!B42,'Docs Signed Input'!E:E,0)),"N")</f>
        <v>N</v>
      </c>
      <c r="L42" t="s">
        <v>2258</v>
      </c>
      <c r="M42" t="s">
        <v>3902</v>
      </c>
      <c r="N42">
        <v>10.75</v>
      </c>
      <c r="O42">
        <v>10.75</v>
      </c>
      <c r="P42" s="6">
        <v>42035.818124999998</v>
      </c>
      <c r="Q42" t="s">
        <v>3896</v>
      </c>
      <c r="R42" t="s">
        <v>5107</v>
      </c>
      <c r="S42" t="s">
        <v>3521</v>
      </c>
      <c r="T42">
        <v>2</v>
      </c>
      <c r="X42" t="b">
        <v>1</v>
      </c>
      <c r="Y42" s="6">
        <v>42037.431944444441</v>
      </c>
    </row>
    <row r="43" spans="1:25" x14ac:dyDescent="0.25">
      <c r="A43" t="s">
        <v>9686</v>
      </c>
      <c r="B43" t="s">
        <v>9687</v>
      </c>
      <c r="C43">
        <v>12.25</v>
      </c>
      <c r="D43" t="s">
        <v>2230</v>
      </c>
      <c r="E43" t="s">
        <v>3984</v>
      </c>
      <c r="F43" s="18">
        <v>41974</v>
      </c>
      <c r="G43" s="18">
        <v>41976</v>
      </c>
      <c r="H43" s="18" t="str">
        <f>IFERROR(INDEX('Docs Signed Input'!B:B,MATCH('Nate''s Evolution'!$B43,'Docs Signed Input'!E:E,0)),"N")</f>
        <v>Y</v>
      </c>
      <c r="I43" s="18" t="str">
        <f>IFERROR(INDEX('Docs Signed Input'!C:C,MATCH('Nate''s Evolution'!B43,'Docs Signed Input'!E:E,0)),"N")</f>
        <v>Y</v>
      </c>
      <c r="J43" s="18">
        <v>41985</v>
      </c>
      <c r="L43" t="s">
        <v>2258</v>
      </c>
      <c r="M43" t="s">
        <v>3895</v>
      </c>
      <c r="N43">
        <v>12.25</v>
      </c>
      <c r="O43">
        <v>12.25</v>
      </c>
      <c r="P43" s="6">
        <v>42016.817962962959</v>
      </c>
      <c r="Q43" t="s">
        <v>3896</v>
      </c>
      <c r="R43" t="s">
        <v>3897</v>
      </c>
      <c r="S43" t="s">
        <v>3106</v>
      </c>
      <c r="T43">
        <v>21</v>
      </c>
      <c r="U43" t="b">
        <v>1</v>
      </c>
      <c r="Y43" s="6">
        <v>42037.431944444441</v>
      </c>
    </row>
    <row r="44" spans="1:25" x14ac:dyDescent="0.25">
      <c r="A44" t="s">
        <v>9769</v>
      </c>
      <c r="B44" t="s">
        <v>9770</v>
      </c>
      <c r="C44">
        <v>3.38</v>
      </c>
      <c r="D44" t="s">
        <v>3950</v>
      </c>
      <c r="E44" t="s">
        <v>3951</v>
      </c>
      <c r="F44" s="18">
        <v>41974</v>
      </c>
      <c r="G44" s="18">
        <v>41976</v>
      </c>
      <c r="H44" s="18" t="str">
        <f>IFERROR(INDEX('Docs Signed Input'!B:B,MATCH('Nate''s Evolution'!$B44,'Docs Signed Input'!E:E,0)),"N")</f>
        <v>Y</v>
      </c>
      <c r="I44" s="18" t="str">
        <f>IFERROR(INDEX('Docs Signed Input'!C:C,MATCH('Nate''s Evolution'!B44,'Docs Signed Input'!E:E,0)),"N")</f>
        <v>Y</v>
      </c>
      <c r="J44" s="18">
        <v>41986</v>
      </c>
      <c r="K44" s="18">
        <v>42035</v>
      </c>
      <c r="L44" t="s">
        <v>2258</v>
      </c>
      <c r="M44" t="s">
        <v>4048</v>
      </c>
      <c r="N44">
        <v>3</v>
      </c>
      <c r="O44">
        <v>3.38</v>
      </c>
      <c r="P44" s="6">
        <v>42035.539398148147</v>
      </c>
      <c r="Q44" t="s">
        <v>3896</v>
      </c>
      <c r="S44" t="s">
        <v>3581</v>
      </c>
      <c r="T44">
        <v>2</v>
      </c>
      <c r="W44" t="b">
        <v>1</v>
      </c>
      <c r="Y44" s="6">
        <v>42037.431944444441</v>
      </c>
    </row>
    <row r="45" spans="1:25" x14ac:dyDescent="0.25">
      <c r="A45" t="s">
        <v>9948</v>
      </c>
      <c r="B45" t="s">
        <v>927</v>
      </c>
      <c r="C45">
        <v>6.12</v>
      </c>
      <c r="D45" t="s">
        <v>3900</v>
      </c>
      <c r="E45" t="s">
        <v>3960</v>
      </c>
      <c r="F45" s="18">
        <v>41974</v>
      </c>
      <c r="G45" s="18">
        <v>41976</v>
      </c>
      <c r="H45" s="18" t="str">
        <f>IFERROR(INDEX('Docs Signed Input'!B:B,MATCH('Nate''s Evolution'!$B45,'Docs Signed Input'!E:E,0)),"N")</f>
        <v>Y</v>
      </c>
      <c r="I45" s="18" t="str">
        <f>IFERROR(INDEX('Docs Signed Input'!C:C,MATCH('Nate''s Evolution'!B45,'Docs Signed Input'!E:E,0)),"N")</f>
        <v>Y</v>
      </c>
      <c r="J45" s="18">
        <v>41981</v>
      </c>
      <c r="K45" s="18">
        <v>42009</v>
      </c>
      <c r="L45" t="s">
        <v>2258</v>
      </c>
      <c r="M45" t="s">
        <v>3948</v>
      </c>
      <c r="N45">
        <v>6.12</v>
      </c>
      <c r="O45">
        <v>6.25</v>
      </c>
      <c r="P45" s="6">
        <v>42018.379513888889</v>
      </c>
      <c r="Q45" t="s">
        <v>3896</v>
      </c>
      <c r="R45" t="s">
        <v>12771</v>
      </c>
      <c r="S45" t="s">
        <v>2689</v>
      </c>
      <c r="T45">
        <v>19</v>
      </c>
      <c r="W45" t="b">
        <v>1</v>
      </c>
      <c r="Y45" s="6">
        <v>42037.431944444441</v>
      </c>
    </row>
    <row r="46" spans="1:25" x14ac:dyDescent="0.25">
      <c r="A46" t="s">
        <v>10474</v>
      </c>
      <c r="B46" t="s">
        <v>10475</v>
      </c>
      <c r="C46">
        <v>8.25</v>
      </c>
      <c r="D46" t="s">
        <v>3893</v>
      </c>
      <c r="E46" t="s">
        <v>3894</v>
      </c>
      <c r="F46" s="18">
        <v>41974</v>
      </c>
      <c r="G46" s="18">
        <v>41976</v>
      </c>
      <c r="H46" s="18" t="str">
        <f>IFERROR(INDEX('Docs Signed Input'!B:B,MATCH('Nate''s Evolution'!$B46,'Docs Signed Input'!E:E,0)),"N")</f>
        <v>Y</v>
      </c>
      <c r="I46" s="18" t="str">
        <f>IFERROR(INDEX('Docs Signed Input'!C:C,MATCH('Nate''s Evolution'!B46,'Docs Signed Input'!E:E,0)),"N")</f>
        <v>N</v>
      </c>
      <c r="L46" t="s">
        <v>2258</v>
      </c>
      <c r="M46" t="s">
        <v>3895</v>
      </c>
      <c r="N46">
        <v>7.75</v>
      </c>
      <c r="O46">
        <v>8.25</v>
      </c>
      <c r="P46" s="6">
        <v>42035.818124999998</v>
      </c>
      <c r="Q46" t="s">
        <v>3896</v>
      </c>
      <c r="S46" t="s">
        <v>3300</v>
      </c>
      <c r="T46">
        <v>2</v>
      </c>
      <c r="X46" t="b">
        <v>1</v>
      </c>
      <c r="Y46" s="6">
        <v>42037.431944444441</v>
      </c>
    </row>
    <row r="47" spans="1:25" x14ac:dyDescent="0.25">
      <c r="A47" t="s">
        <v>11532</v>
      </c>
      <c r="B47" t="s">
        <v>4126</v>
      </c>
      <c r="C47">
        <v>8.25</v>
      </c>
      <c r="D47" t="s">
        <v>3893</v>
      </c>
      <c r="E47" t="s">
        <v>3894</v>
      </c>
      <c r="F47" s="18">
        <v>41974</v>
      </c>
      <c r="G47" s="18">
        <v>41977</v>
      </c>
      <c r="H47" s="18" t="str">
        <f>IFERROR(INDEX('Docs Signed Input'!B:B,MATCH('Nate''s Evolution'!$B47,'Docs Signed Input'!E:E,0)),"N")</f>
        <v>N</v>
      </c>
      <c r="I47" s="18" t="str">
        <f>IFERROR(INDEX('Docs Signed Input'!C:C,MATCH('Nate''s Evolution'!B47,'Docs Signed Input'!E:E,0)),"N")</f>
        <v>N</v>
      </c>
      <c r="L47" t="s">
        <v>2258</v>
      </c>
      <c r="M47" t="s">
        <v>12976</v>
      </c>
      <c r="N47">
        <v>8</v>
      </c>
      <c r="O47">
        <v>8.25</v>
      </c>
      <c r="P47" s="6">
        <v>42035.818124999998</v>
      </c>
      <c r="Q47" t="s">
        <v>3896</v>
      </c>
      <c r="R47" t="s">
        <v>3897</v>
      </c>
      <c r="S47" t="s">
        <v>3434</v>
      </c>
      <c r="T47">
        <v>2</v>
      </c>
      <c r="X47" t="b">
        <v>1</v>
      </c>
      <c r="Y47" s="6">
        <v>42037.431944444441</v>
      </c>
    </row>
    <row r="48" spans="1:25" x14ac:dyDescent="0.25">
      <c r="A48" t="s">
        <v>4463</v>
      </c>
      <c r="B48" t="s">
        <v>4464</v>
      </c>
      <c r="C48">
        <v>6.5</v>
      </c>
      <c r="D48" t="s">
        <v>3950</v>
      </c>
      <c r="E48" t="s">
        <v>3985</v>
      </c>
      <c r="F48" s="18">
        <v>41974</v>
      </c>
      <c r="G48" s="18">
        <v>41977</v>
      </c>
      <c r="H48" s="18" t="str">
        <f>IFERROR(INDEX('Docs Signed Input'!B:B,MATCH('Nate''s Evolution'!$B48,'Docs Signed Input'!E:E,0)),"N")</f>
        <v>Y</v>
      </c>
      <c r="I48" s="18" t="str">
        <f>IFERROR(INDEX('Docs Signed Input'!C:C,MATCH('Nate''s Evolution'!B48,'Docs Signed Input'!E:E,0)),"N")</f>
        <v>Y</v>
      </c>
      <c r="J48" s="18">
        <v>41990</v>
      </c>
      <c r="K48" s="18">
        <v>42033</v>
      </c>
      <c r="L48" t="s">
        <v>2258</v>
      </c>
      <c r="M48" t="s">
        <v>3926</v>
      </c>
      <c r="N48">
        <v>6.5</v>
      </c>
      <c r="O48">
        <v>7.25</v>
      </c>
      <c r="P48" s="6">
        <v>42033.636111111111</v>
      </c>
      <c r="Q48" t="s">
        <v>3896</v>
      </c>
      <c r="S48" t="s">
        <v>4465</v>
      </c>
      <c r="T48">
        <v>4</v>
      </c>
      <c r="W48" t="b">
        <v>1</v>
      </c>
      <c r="Y48" s="6">
        <v>42037.431944444441</v>
      </c>
    </row>
    <row r="49" spans="1:25" x14ac:dyDescent="0.25">
      <c r="A49" t="s">
        <v>4571</v>
      </c>
      <c r="B49" t="s">
        <v>4572</v>
      </c>
      <c r="C49">
        <v>7.75</v>
      </c>
      <c r="D49" t="s">
        <v>2230</v>
      </c>
      <c r="E49" t="s">
        <v>3984</v>
      </c>
      <c r="F49" s="18">
        <v>41974</v>
      </c>
      <c r="G49" s="18">
        <v>41977</v>
      </c>
      <c r="H49" s="18" t="str">
        <f>IFERROR(INDEX('Docs Signed Input'!B:B,MATCH('Nate''s Evolution'!$B49,'Docs Signed Input'!E:E,0)),"N")</f>
        <v>N</v>
      </c>
      <c r="I49" s="18" t="str">
        <f>IFERROR(INDEX('Docs Signed Input'!C:C,MATCH('Nate''s Evolution'!B49,'Docs Signed Input'!E:E,0)),"N")</f>
        <v>N</v>
      </c>
      <c r="L49" t="s">
        <v>2258</v>
      </c>
      <c r="M49" t="s">
        <v>3895</v>
      </c>
      <c r="N49">
        <v>7.75</v>
      </c>
      <c r="O49">
        <v>8.25</v>
      </c>
      <c r="P49" s="6">
        <v>42016.817962962959</v>
      </c>
      <c r="Q49" t="s">
        <v>3896</v>
      </c>
      <c r="R49" t="s">
        <v>3897</v>
      </c>
      <c r="S49" t="s">
        <v>2937</v>
      </c>
      <c r="T49">
        <v>21</v>
      </c>
      <c r="U49" t="b">
        <v>1</v>
      </c>
      <c r="Y49" s="6">
        <v>42037.431944444441</v>
      </c>
    </row>
    <row r="50" spans="1:25" x14ac:dyDescent="0.25">
      <c r="A50" t="s">
        <v>5065</v>
      </c>
      <c r="B50" t="s">
        <v>5066</v>
      </c>
      <c r="C50">
        <v>13.5</v>
      </c>
      <c r="D50" t="s">
        <v>2230</v>
      </c>
      <c r="E50" t="s">
        <v>3984</v>
      </c>
      <c r="F50" s="18">
        <v>41974</v>
      </c>
      <c r="G50" s="18">
        <v>41977</v>
      </c>
      <c r="H50" s="18" t="str">
        <f>IFERROR(INDEX('Docs Signed Input'!B:B,MATCH('Nate''s Evolution'!$B50,'Docs Signed Input'!E:E,0)),"N")</f>
        <v>Y</v>
      </c>
      <c r="I50" s="18" t="str">
        <f>IFERROR(INDEX('Docs Signed Input'!C:C,MATCH('Nate''s Evolution'!B50,'Docs Signed Input'!E:E,0)),"N")</f>
        <v>N</v>
      </c>
      <c r="L50" t="s">
        <v>2258</v>
      </c>
      <c r="M50" t="s">
        <v>3895</v>
      </c>
      <c r="N50">
        <v>13.5</v>
      </c>
      <c r="O50">
        <v>16.75</v>
      </c>
      <c r="P50" s="6">
        <v>42016.817962962959</v>
      </c>
      <c r="Q50" t="s">
        <v>3896</v>
      </c>
      <c r="S50" t="s">
        <v>2766</v>
      </c>
      <c r="T50">
        <v>21</v>
      </c>
      <c r="U50" t="b">
        <v>1</v>
      </c>
      <c r="Y50" s="6">
        <v>42037.431944444441</v>
      </c>
    </row>
    <row r="51" spans="1:25" x14ac:dyDescent="0.25">
      <c r="A51" t="s">
        <v>5100</v>
      </c>
      <c r="B51" t="s">
        <v>5101</v>
      </c>
      <c r="C51">
        <v>7.25</v>
      </c>
      <c r="D51" t="s">
        <v>3893</v>
      </c>
      <c r="E51" t="s">
        <v>3894</v>
      </c>
      <c r="F51" s="18">
        <v>41974</v>
      </c>
      <c r="G51" s="18">
        <v>41977</v>
      </c>
      <c r="H51" s="18" t="str">
        <f>IFERROR(INDEX('Docs Signed Input'!B:B,MATCH('Nate''s Evolution'!$B51,'Docs Signed Input'!E:E,0)),"N")</f>
        <v>Y</v>
      </c>
      <c r="I51" s="18" t="str">
        <f>IFERROR(INDEX('Docs Signed Input'!C:C,MATCH('Nate''s Evolution'!B51,'Docs Signed Input'!E:E,0)),"N")</f>
        <v>N</v>
      </c>
      <c r="J51" s="18">
        <v>42030</v>
      </c>
      <c r="L51" t="s">
        <v>2258</v>
      </c>
      <c r="M51" t="s">
        <v>3942</v>
      </c>
      <c r="N51">
        <v>3.5</v>
      </c>
      <c r="O51">
        <v>7.25</v>
      </c>
      <c r="P51" s="6">
        <v>42035.818124999998</v>
      </c>
      <c r="Q51" t="s">
        <v>3896</v>
      </c>
      <c r="S51" t="s">
        <v>3943</v>
      </c>
      <c r="T51">
        <v>2</v>
      </c>
      <c r="X51" t="b">
        <v>1</v>
      </c>
      <c r="Y51" s="6">
        <v>42037.431944444441</v>
      </c>
    </row>
    <row r="52" spans="1:25" x14ac:dyDescent="0.25">
      <c r="A52" t="s">
        <v>5100</v>
      </c>
      <c r="B52" t="s">
        <v>5102</v>
      </c>
      <c r="C52">
        <v>4.75</v>
      </c>
      <c r="D52" t="s">
        <v>2230</v>
      </c>
      <c r="E52" t="s">
        <v>3984</v>
      </c>
      <c r="F52" s="18">
        <v>41974</v>
      </c>
      <c r="G52" s="18">
        <v>41977</v>
      </c>
      <c r="H52" s="18" t="str">
        <f>IFERROR(INDEX('Docs Signed Input'!B:B,MATCH('Nate''s Evolution'!$B52,'Docs Signed Input'!E:E,0)),"N")</f>
        <v>N</v>
      </c>
      <c r="I52" s="18" t="str">
        <f>IFERROR(INDEX('Docs Signed Input'!C:C,MATCH('Nate''s Evolution'!B52,'Docs Signed Input'!E:E,0)),"N")</f>
        <v>N</v>
      </c>
      <c r="L52" t="s">
        <v>2258</v>
      </c>
      <c r="M52" t="s">
        <v>3942</v>
      </c>
      <c r="N52">
        <v>4.75</v>
      </c>
      <c r="O52">
        <v>4.75</v>
      </c>
      <c r="P52" s="6">
        <v>42016.817962962959</v>
      </c>
      <c r="Q52" t="s">
        <v>3896</v>
      </c>
      <c r="S52" t="s">
        <v>3943</v>
      </c>
      <c r="T52">
        <v>21</v>
      </c>
      <c r="U52" t="b">
        <v>1</v>
      </c>
      <c r="Y52" s="6">
        <v>42037.431944444441</v>
      </c>
    </row>
    <row r="53" spans="1:25" x14ac:dyDescent="0.25">
      <c r="A53" t="s">
        <v>5827</v>
      </c>
      <c r="B53" t="s">
        <v>5828</v>
      </c>
      <c r="C53">
        <v>7.65</v>
      </c>
      <c r="D53" t="s">
        <v>3909</v>
      </c>
      <c r="E53" t="s">
        <v>3937</v>
      </c>
      <c r="F53" s="18">
        <v>41974</v>
      </c>
      <c r="G53" s="18">
        <v>41977</v>
      </c>
      <c r="H53" s="18" t="str">
        <f>IFERROR(INDEX('Docs Signed Input'!B:B,MATCH('Nate''s Evolution'!$B53,'Docs Signed Input'!E:E,0)),"N")</f>
        <v>N</v>
      </c>
      <c r="I53" s="18" t="str">
        <f>IFERROR(INDEX('Docs Signed Input'!C:C,MATCH('Nate''s Evolution'!B53,'Docs Signed Input'!E:E,0)),"N")</f>
        <v>N</v>
      </c>
      <c r="J53" s="18">
        <v>41987</v>
      </c>
      <c r="L53" t="s">
        <v>2258</v>
      </c>
      <c r="M53" t="s">
        <v>3932</v>
      </c>
      <c r="N53">
        <v>7.5</v>
      </c>
      <c r="O53">
        <v>7.65</v>
      </c>
      <c r="P53" s="6">
        <v>41992.431192129632</v>
      </c>
      <c r="Q53" t="s">
        <v>3896</v>
      </c>
      <c r="R53" t="s">
        <v>3897</v>
      </c>
      <c r="S53" t="s">
        <v>3758</v>
      </c>
      <c r="T53">
        <v>45</v>
      </c>
      <c r="V53" t="b">
        <v>1</v>
      </c>
      <c r="Y53" s="6">
        <v>42037.431944444441</v>
      </c>
    </row>
    <row r="54" spans="1:25" x14ac:dyDescent="0.25">
      <c r="A54" t="s">
        <v>5943</v>
      </c>
      <c r="B54" t="s">
        <v>5944</v>
      </c>
      <c r="C54">
        <v>3.06</v>
      </c>
      <c r="D54" t="s">
        <v>3893</v>
      </c>
      <c r="E54" t="s">
        <v>3894</v>
      </c>
      <c r="F54" s="18">
        <v>41974</v>
      </c>
      <c r="G54" s="18">
        <v>41977</v>
      </c>
      <c r="H54" s="18" t="str">
        <f>IFERROR(INDEX('Docs Signed Input'!B:B,MATCH('Nate''s Evolution'!$B54,'Docs Signed Input'!E:E,0)),"N")</f>
        <v>N</v>
      </c>
      <c r="I54" s="18" t="str">
        <f>IFERROR(INDEX('Docs Signed Input'!C:C,MATCH('Nate''s Evolution'!B54,'Docs Signed Input'!E:E,0)),"N")</f>
        <v>N</v>
      </c>
      <c r="L54" t="s">
        <v>2258</v>
      </c>
      <c r="M54" t="s">
        <v>3932</v>
      </c>
      <c r="N54">
        <v>3.06</v>
      </c>
      <c r="O54">
        <v>4</v>
      </c>
      <c r="P54" s="6">
        <v>42035.818124999998</v>
      </c>
      <c r="Q54" t="s">
        <v>3896</v>
      </c>
      <c r="R54" t="s">
        <v>3897</v>
      </c>
      <c r="S54" t="s">
        <v>3499</v>
      </c>
      <c r="T54">
        <v>2</v>
      </c>
      <c r="X54" t="b">
        <v>1</v>
      </c>
      <c r="Y54" s="6">
        <v>42037.431944444441</v>
      </c>
    </row>
    <row r="55" spans="1:25" x14ac:dyDescent="0.25">
      <c r="A55" t="s">
        <v>6420</v>
      </c>
      <c r="B55" t="s">
        <v>6421</v>
      </c>
      <c r="C55">
        <v>4.75</v>
      </c>
      <c r="D55" t="s">
        <v>3893</v>
      </c>
      <c r="E55" t="s">
        <v>5396</v>
      </c>
      <c r="F55" s="18">
        <v>41974</v>
      </c>
      <c r="G55" s="18">
        <v>41977</v>
      </c>
      <c r="H55" s="18" t="str">
        <f>IFERROR(INDEX('Docs Signed Input'!B:B,MATCH('Nate''s Evolution'!$B55,'Docs Signed Input'!E:E,0)),"N")</f>
        <v>N</v>
      </c>
      <c r="I55" s="18" t="str">
        <f>IFERROR(INDEX('Docs Signed Input'!C:C,MATCH('Nate''s Evolution'!B55,'Docs Signed Input'!E:E,0)),"N")</f>
        <v>N</v>
      </c>
      <c r="L55" t="s">
        <v>2258</v>
      </c>
      <c r="M55" t="s">
        <v>3948</v>
      </c>
      <c r="N55">
        <v>4.75</v>
      </c>
      <c r="O55">
        <v>4.75</v>
      </c>
      <c r="P55" s="6">
        <v>42035.818124999998</v>
      </c>
      <c r="Q55" t="s">
        <v>3896</v>
      </c>
      <c r="R55" t="s">
        <v>3918</v>
      </c>
      <c r="S55" t="s">
        <v>2703</v>
      </c>
      <c r="T55">
        <v>2</v>
      </c>
      <c r="X55" t="b">
        <v>1</v>
      </c>
      <c r="Y55" s="6">
        <v>42037.431944444441</v>
      </c>
    </row>
    <row r="56" spans="1:25" x14ac:dyDescent="0.25">
      <c r="A56" t="s">
        <v>6428</v>
      </c>
      <c r="B56" t="s">
        <v>6429</v>
      </c>
      <c r="C56">
        <v>18.25</v>
      </c>
      <c r="D56" t="s">
        <v>3909</v>
      </c>
      <c r="E56" t="s">
        <v>3937</v>
      </c>
      <c r="F56" s="18">
        <v>41974</v>
      </c>
      <c r="G56" s="18">
        <v>41977</v>
      </c>
      <c r="H56" s="18" t="str">
        <f>IFERROR(INDEX('Docs Signed Input'!B:B,MATCH('Nate''s Evolution'!$B56,'Docs Signed Input'!E:E,0)),"N")</f>
        <v>N</v>
      </c>
      <c r="I56" s="18" t="str">
        <f>IFERROR(INDEX('Docs Signed Input'!C:C,MATCH('Nate''s Evolution'!B56,'Docs Signed Input'!E:E,0)),"N")</f>
        <v>N</v>
      </c>
      <c r="L56" t="s">
        <v>2258</v>
      </c>
      <c r="M56" t="s">
        <v>3932</v>
      </c>
      <c r="N56">
        <v>18.25</v>
      </c>
      <c r="O56">
        <v>18.25</v>
      </c>
      <c r="P56" s="6">
        <v>42032.595347222225</v>
      </c>
      <c r="Q56" t="s">
        <v>3896</v>
      </c>
      <c r="R56" t="s">
        <v>3897</v>
      </c>
      <c r="S56" t="s">
        <v>3499</v>
      </c>
      <c r="T56">
        <v>5</v>
      </c>
      <c r="V56" t="b">
        <v>1</v>
      </c>
      <c r="Y56" s="6">
        <v>42037.431944444441</v>
      </c>
    </row>
    <row r="57" spans="1:25" x14ac:dyDescent="0.25">
      <c r="A57" t="s">
        <v>6598</v>
      </c>
      <c r="B57" t="s">
        <v>6599</v>
      </c>
      <c r="C57">
        <v>6.375</v>
      </c>
      <c r="D57" t="s">
        <v>3922</v>
      </c>
      <c r="E57" t="s">
        <v>3923</v>
      </c>
      <c r="F57" s="18">
        <v>41974</v>
      </c>
      <c r="G57" s="18">
        <v>41977</v>
      </c>
      <c r="H57" s="18" t="str">
        <f>IFERROR(INDEX('Docs Signed Input'!B:B,MATCH('Nate''s Evolution'!$B57,'Docs Signed Input'!E:E,0)),"N")</f>
        <v>N</v>
      </c>
      <c r="I57" s="18" t="str">
        <f>IFERROR(INDEX('Docs Signed Input'!C:C,MATCH('Nate''s Evolution'!B57,'Docs Signed Input'!E:E,0)),"N")</f>
        <v>N</v>
      </c>
      <c r="L57" t="s">
        <v>2258</v>
      </c>
      <c r="M57" t="s">
        <v>4032</v>
      </c>
      <c r="N57">
        <v>6.375</v>
      </c>
      <c r="O57">
        <v>8.25</v>
      </c>
      <c r="P57" s="6">
        <v>42035.818124999998</v>
      </c>
      <c r="Q57" t="s">
        <v>3896</v>
      </c>
      <c r="R57" t="s">
        <v>3897</v>
      </c>
      <c r="S57" t="s">
        <v>3746</v>
      </c>
      <c r="T57">
        <v>2</v>
      </c>
      <c r="X57" t="b">
        <v>1</v>
      </c>
      <c r="Y57" s="6">
        <v>42037.431944444441</v>
      </c>
    </row>
    <row r="58" spans="1:25" x14ac:dyDescent="0.25">
      <c r="A58" t="s">
        <v>6683</v>
      </c>
      <c r="B58" t="s">
        <v>6684</v>
      </c>
      <c r="C58">
        <v>7.25</v>
      </c>
      <c r="D58" t="s">
        <v>3893</v>
      </c>
      <c r="E58" t="s">
        <v>3894</v>
      </c>
      <c r="F58" s="18">
        <v>41974</v>
      </c>
      <c r="G58" s="18">
        <v>41977</v>
      </c>
      <c r="H58" s="18" t="str">
        <f>IFERROR(INDEX('Docs Signed Input'!B:B,MATCH('Nate''s Evolution'!$B58,'Docs Signed Input'!E:E,0)),"N")</f>
        <v>Y</v>
      </c>
      <c r="I58" s="18" t="str">
        <f>IFERROR(INDEX('Docs Signed Input'!C:C,MATCH('Nate''s Evolution'!B58,'Docs Signed Input'!E:E,0)),"N")</f>
        <v>N</v>
      </c>
      <c r="L58" t="s">
        <v>2258</v>
      </c>
      <c r="M58" t="s">
        <v>3895</v>
      </c>
      <c r="N58">
        <v>7</v>
      </c>
      <c r="O58">
        <v>7.25</v>
      </c>
      <c r="P58" s="6">
        <v>42035.818124999998</v>
      </c>
      <c r="Q58" t="s">
        <v>3896</v>
      </c>
      <c r="S58" t="s">
        <v>3106</v>
      </c>
      <c r="T58">
        <v>2</v>
      </c>
      <c r="X58" t="b">
        <v>1</v>
      </c>
      <c r="Y58" s="6">
        <v>42037.431944444441</v>
      </c>
    </row>
    <row r="59" spans="1:25" x14ac:dyDescent="0.25">
      <c r="A59" t="s">
        <v>6968</v>
      </c>
      <c r="B59" t="s">
        <v>1077</v>
      </c>
      <c r="C59">
        <v>8.75</v>
      </c>
      <c r="D59" t="s">
        <v>3909</v>
      </c>
      <c r="E59" t="s">
        <v>3937</v>
      </c>
      <c r="F59" s="18">
        <v>41974</v>
      </c>
      <c r="G59" s="18">
        <v>41977</v>
      </c>
      <c r="H59" s="18" t="str">
        <f>IFERROR(INDEX('Docs Signed Input'!B:B,MATCH('Nate''s Evolution'!$B59,'Docs Signed Input'!E:E,0)),"N")</f>
        <v>N</v>
      </c>
      <c r="I59" s="18" t="str">
        <f>IFERROR(INDEX('Docs Signed Input'!C:C,MATCH('Nate''s Evolution'!B59,'Docs Signed Input'!E:E,0)),"N")</f>
        <v>N</v>
      </c>
      <c r="L59" t="s">
        <v>2258</v>
      </c>
      <c r="M59" t="s">
        <v>4317</v>
      </c>
      <c r="N59">
        <v>8.75</v>
      </c>
      <c r="O59">
        <v>8.75</v>
      </c>
      <c r="P59" s="6">
        <v>42001.497395833336</v>
      </c>
      <c r="Q59" t="s">
        <v>3896</v>
      </c>
      <c r="R59" t="s">
        <v>3897</v>
      </c>
      <c r="S59" t="s">
        <v>3587</v>
      </c>
      <c r="T59">
        <v>36</v>
      </c>
      <c r="V59" t="b">
        <v>1</v>
      </c>
      <c r="Y59" s="6">
        <v>42037.431944444441</v>
      </c>
    </row>
    <row r="60" spans="1:25" x14ac:dyDescent="0.25">
      <c r="A60" t="s">
        <v>7465</v>
      </c>
      <c r="B60" t="s">
        <v>7466</v>
      </c>
      <c r="C60">
        <v>9</v>
      </c>
      <c r="D60" t="s">
        <v>2230</v>
      </c>
      <c r="E60" t="s">
        <v>3984</v>
      </c>
      <c r="F60" s="18">
        <v>41974</v>
      </c>
      <c r="G60" s="18">
        <v>41977</v>
      </c>
      <c r="H60" s="18" t="str">
        <f>IFERROR(INDEX('Docs Signed Input'!B:B,MATCH('Nate''s Evolution'!$B60,'Docs Signed Input'!E:E,0)),"N")</f>
        <v>Y</v>
      </c>
      <c r="I60" s="18" t="str">
        <f>IFERROR(INDEX('Docs Signed Input'!C:C,MATCH('Nate''s Evolution'!B60,'Docs Signed Input'!E:E,0)),"N")</f>
        <v>Y</v>
      </c>
      <c r="J60" s="18">
        <v>42002</v>
      </c>
      <c r="L60" t="s">
        <v>2258</v>
      </c>
      <c r="M60" t="s">
        <v>3926</v>
      </c>
      <c r="N60">
        <v>8.5</v>
      </c>
      <c r="O60">
        <v>10.75</v>
      </c>
      <c r="P60" s="6">
        <v>42016.817962962959</v>
      </c>
      <c r="Q60" t="s">
        <v>3896</v>
      </c>
      <c r="R60" t="s">
        <v>3897</v>
      </c>
      <c r="S60" t="s">
        <v>2937</v>
      </c>
      <c r="T60">
        <v>21</v>
      </c>
      <c r="U60" t="b">
        <v>1</v>
      </c>
      <c r="Y60" s="6">
        <v>42037.431944444441</v>
      </c>
    </row>
    <row r="61" spans="1:25" x14ac:dyDescent="0.25">
      <c r="A61" t="s">
        <v>2220</v>
      </c>
      <c r="B61" t="s">
        <v>2219</v>
      </c>
      <c r="C61">
        <v>9.69</v>
      </c>
      <c r="D61" t="s">
        <v>3893</v>
      </c>
      <c r="E61" t="s">
        <v>3894</v>
      </c>
      <c r="F61" s="18">
        <v>41974</v>
      </c>
      <c r="G61" s="18">
        <v>41977</v>
      </c>
      <c r="H61" s="18" t="str">
        <f>IFERROR(INDEX('Docs Signed Input'!B:B,MATCH('Nate''s Evolution'!$B61,'Docs Signed Input'!E:E,0)),"N")</f>
        <v>N</v>
      </c>
      <c r="I61" s="18" t="str">
        <f>IFERROR(INDEX('Docs Signed Input'!C:C,MATCH('Nate''s Evolution'!B61,'Docs Signed Input'!E:E,0)),"N")</f>
        <v>N</v>
      </c>
      <c r="J61" s="18">
        <v>41981</v>
      </c>
      <c r="L61" t="s">
        <v>2258</v>
      </c>
      <c r="M61" t="s">
        <v>3933</v>
      </c>
      <c r="N61">
        <v>9.5</v>
      </c>
      <c r="O61">
        <v>9.69</v>
      </c>
      <c r="P61" s="6">
        <v>42035.818124999998</v>
      </c>
      <c r="Q61" t="s">
        <v>3896</v>
      </c>
      <c r="R61" t="s">
        <v>11682</v>
      </c>
      <c r="S61" t="s">
        <v>3568</v>
      </c>
      <c r="T61">
        <v>2</v>
      </c>
      <c r="X61" t="b">
        <v>1</v>
      </c>
      <c r="Y61" s="6">
        <v>42037.431944444441</v>
      </c>
    </row>
    <row r="62" spans="1:25" x14ac:dyDescent="0.25">
      <c r="A62" t="s">
        <v>7946</v>
      </c>
      <c r="B62" t="s">
        <v>7947</v>
      </c>
      <c r="C62">
        <v>8.5</v>
      </c>
      <c r="D62" t="s">
        <v>3922</v>
      </c>
      <c r="E62" t="s">
        <v>3923</v>
      </c>
      <c r="F62" s="18">
        <v>41974</v>
      </c>
      <c r="G62" s="18">
        <v>41977</v>
      </c>
      <c r="H62" s="18" t="str">
        <f>IFERROR(INDEX('Docs Signed Input'!B:B,MATCH('Nate''s Evolution'!$B62,'Docs Signed Input'!E:E,0)),"N")</f>
        <v>Y</v>
      </c>
      <c r="I62" s="18" t="str">
        <f>IFERROR(INDEX('Docs Signed Input'!C:C,MATCH('Nate''s Evolution'!B62,'Docs Signed Input'!E:E,0)),"N")</f>
        <v>N</v>
      </c>
      <c r="L62" t="s">
        <v>2258</v>
      </c>
      <c r="M62" t="s">
        <v>3942</v>
      </c>
      <c r="N62">
        <v>8.5</v>
      </c>
      <c r="O62">
        <v>8.75</v>
      </c>
      <c r="P62" s="6">
        <v>42035.818124999998</v>
      </c>
      <c r="Q62" t="s">
        <v>3896</v>
      </c>
      <c r="S62" t="s">
        <v>2680</v>
      </c>
      <c r="T62">
        <v>2</v>
      </c>
      <c r="X62" t="b">
        <v>1</v>
      </c>
      <c r="Y62" s="6">
        <v>42037.431944444441</v>
      </c>
    </row>
    <row r="63" spans="1:25" x14ac:dyDescent="0.25">
      <c r="A63" t="s">
        <v>7987</v>
      </c>
      <c r="B63" t="s">
        <v>7988</v>
      </c>
      <c r="C63">
        <v>7.75</v>
      </c>
      <c r="D63" t="s">
        <v>3893</v>
      </c>
      <c r="E63" t="s">
        <v>4117</v>
      </c>
      <c r="F63" s="18">
        <v>41974</v>
      </c>
      <c r="G63" s="18">
        <v>41977</v>
      </c>
      <c r="H63" s="18" t="str">
        <f>IFERROR(INDEX('Docs Signed Input'!B:B,MATCH('Nate''s Evolution'!$B63,'Docs Signed Input'!E:E,0)),"N")</f>
        <v>N</v>
      </c>
      <c r="I63" s="18" t="str">
        <f>IFERROR(INDEX('Docs Signed Input'!C:C,MATCH('Nate''s Evolution'!B63,'Docs Signed Input'!E:E,0)),"N")</f>
        <v>N</v>
      </c>
      <c r="L63" t="s">
        <v>2258</v>
      </c>
      <c r="M63" t="s">
        <v>4423</v>
      </c>
      <c r="N63">
        <v>7.75</v>
      </c>
      <c r="O63">
        <v>7.75</v>
      </c>
      <c r="P63" s="6">
        <v>42035.818124999998</v>
      </c>
      <c r="Q63" t="s">
        <v>3896</v>
      </c>
      <c r="R63" t="s">
        <v>3897</v>
      </c>
      <c r="S63" t="s">
        <v>3002</v>
      </c>
      <c r="T63">
        <v>2</v>
      </c>
      <c r="X63" t="b">
        <v>1</v>
      </c>
      <c r="Y63" s="6">
        <v>42037.431944444441</v>
      </c>
    </row>
    <row r="64" spans="1:25" x14ac:dyDescent="0.25">
      <c r="A64" t="s">
        <v>8016</v>
      </c>
      <c r="B64" t="s">
        <v>8017</v>
      </c>
      <c r="C64">
        <v>8.5</v>
      </c>
      <c r="D64" t="s">
        <v>2230</v>
      </c>
      <c r="E64" t="s">
        <v>3984</v>
      </c>
      <c r="F64" s="18">
        <v>41974</v>
      </c>
      <c r="G64" s="18">
        <v>41977</v>
      </c>
      <c r="H64" s="18" t="str">
        <f>IFERROR(INDEX('Docs Signed Input'!B:B,MATCH('Nate''s Evolution'!$B64,'Docs Signed Input'!E:E,0)),"N")</f>
        <v>Y</v>
      </c>
      <c r="I64" s="18" t="str">
        <f>IFERROR(INDEX('Docs Signed Input'!C:C,MATCH('Nate''s Evolution'!B64,'Docs Signed Input'!E:E,0)),"N")</f>
        <v>Y</v>
      </c>
      <c r="J64" s="18">
        <v>41982</v>
      </c>
      <c r="L64" t="s">
        <v>2258</v>
      </c>
      <c r="M64" t="s">
        <v>3942</v>
      </c>
      <c r="N64">
        <v>8.5</v>
      </c>
      <c r="O64">
        <v>8.5</v>
      </c>
      <c r="P64" s="6">
        <v>42016.817962962959</v>
      </c>
      <c r="Q64" t="s">
        <v>3896</v>
      </c>
      <c r="R64" t="s">
        <v>13038</v>
      </c>
      <c r="S64" t="s">
        <v>3943</v>
      </c>
      <c r="T64">
        <v>21</v>
      </c>
      <c r="U64" t="b">
        <v>1</v>
      </c>
      <c r="Y64" s="6">
        <v>42037.431944444441</v>
      </c>
    </row>
    <row r="65" spans="1:25" x14ac:dyDescent="0.25">
      <c r="A65" t="s">
        <v>666</v>
      </c>
      <c r="B65" t="s">
        <v>8111</v>
      </c>
      <c r="C65">
        <v>8.67</v>
      </c>
      <c r="D65" t="s">
        <v>3922</v>
      </c>
      <c r="E65" t="s">
        <v>3951</v>
      </c>
      <c r="F65" s="18">
        <v>41974</v>
      </c>
      <c r="G65" s="18">
        <v>41977</v>
      </c>
      <c r="H65" s="18" t="str">
        <f>IFERROR(INDEX('Docs Signed Input'!B:B,MATCH('Nate''s Evolution'!$B65,'Docs Signed Input'!E:E,0)),"N")</f>
        <v>Y</v>
      </c>
      <c r="I65" s="18" t="str">
        <f>IFERROR(INDEX('Docs Signed Input'!C:C,MATCH('Nate''s Evolution'!B65,'Docs Signed Input'!E:E,0)),"N")</f>
        <v>Y</v>
      </c>
      <c r="J65" s="18">
        <v>42003</v>
      </c>
      <c r="K65" s="18">
        <v>42045</v>
      </c>
      <c r="L65" t="s">
        <v>2258</v>
      </c>
      <c r="M65" t="s">
        <v>3917</v>
      </c>
      <c r="N65">
        <v>8.67</v>
      </c>
      <c r="O65">
        <v>9.75</v>
      </c>
      <c r="P65" s="6">
        <v>42035.749768518515</v>
      </c>
      <c r="Q65" t="s">
        <v>3896</v>
      </c>
      <c r="S65" t="s">
        <v>2818</v>
      </c>
      <c r="T65">
        <v>2</v>
      </c>
      <c r="X65" t="b">
        <v>1</v>
      </c>
      <c r="Y65" s="6">
        <v>42037.431944444441</v>
      </c>
    </row>
    <row r="66" spans="1:25" x14ac:dyDescent="0.25">
      <c r="A66" t="s">
        <v>8146</v>
      </c>
      <c r="B66" t="s">
        <v>8147</v>
      </c>
      <c r="C66">
        <v>3.5</v>
      </c>
      <c r="D66" t="s">
        <v>3893</v>
      </c>
      <c r="E66" t="s">
        <v>4117</v>
      </c>
      <c r="F66" s="18">
        <v>41974</v>
      </c>
      <c r="G66" s="18">
        <v>41977</v>
      </c>
      <c r="H66" s="18" t="str">
        <f>IFERROR(INDEX('Docs Signed Input'!B:B,MATCH('Nate''s Evolution'!$B66,'Docs Signed Input'!E:E,0)),"N")</f>
        <v>N</v>
      </c>
      <c r="I66" s="18" t="str">
        <f>IFERROR(INDEX('Docs Signed Input'!C:C,MATCH('Nate''s Evolution'!B66,'Docs Signed Input'!E:E,0)),"N")</f>
        <v>N</v>
      </c>
      <c r="L66" t="s">
        <v>2258</v>
      </c>
      <c r="M66" t="s">
        <v>4677</v>
      </c>
      <c r="N66">
        <v>3.5</v>
      </c>
      <c r="O66">
        <v>3.5</v>
      </c>
      <c r="P66" s="6">
        <v>42035.818124999998</v>
      </c>
      <c r="Q66" t="s">
        <v>3896</v>
      </c>
      <c r="R66" t="s">
        <v>6008</v>
      </c>
      <c r="S66" t="s">
        <v>3634</v>
      </c>
      <c r="T66">
        <v>2</v>
      </c>
      <c r="X66" t="b">
        <v>1</v>
      </c>
      <c r="Y66" s="6">
        <v>42037.431944444441</v>
      </c>
    </row>
    <row r="67" spans="1:25" x14ac:dyDescent="0.25">
      <c r="A67" t="s">
        <v>8228</v>
      </c>
      <c r="B67" t="s">
        <v>8229</v>
      </c>
      <c r="C67">
        <v>2.75</v>
      </c>
      <c r="D67" t="s">
        <v>3893</v>
      </c>
      <c r="E67" t="s">
        <v>3894</v>
      </c>
      <c r="F67" s="18">
        <v>41974</v>
      </c>
      <c r="G67" s="18">
        <v>41977</v>
      </c>
      <c r="H67" s="18" t="str">
        <f>IFERROR(INDEX('Docs Signed Input'!B:B,MATCH('Nate''s Evolution'!$B67,'Docs Signed Input'!E:E,0)),"N")</f>
        <v>Y</v>
      </c>
      <c r="I67" s="18" t="str">
        <f>IFERROR(INDEX('Docs Signed Input'!C:C,MATCH('Nate''s Evolution'!B67,'Docs Signed Input'!E:E,0)),"N")</f>
        <v>N</v>
      </c>
      <c r="L67" t="s">
        <v>2258</v>
      </c>
      <c r="M67" t="s">
        <v>3895</v>
      </c>
      <c r="N67">
        <v>2.75</v>
      </c>
      <c r="O67">
        <v>2.75</v>
      </c>
      <c r="P67" s="6">
        <v>42035.818124999998</v>
      </c>
      <c r="Q67" t="s">
        <v>3896</v>
      </c>
      <c r="S67" t="s">
        <v>2937</v>
      </c>
      <c r="T67">
        <v>2</v>
      </c>
      <c r="X67" t="b">
        <v>1</v>
      </c>
      <c r="Y67" s="6">
        <v>42037.431944444441</v>
      </c>
    </row>
    <row r="68" spans="1:25" x14ac:dyDescent="0.25">
      <c r="A68" t="s">
        <v>9212</v>
      </c>
      <c r="B68" t="s">
        <v>9213</v>
      </c>
      <c r="C68">
        <v>8.25</v>
      </c>
      <c r="D68" t="s">
        <v>3922</v>
      </c>
      <c r="E68" t="s">
        <v>3923</v>
      </c>
      <c r="F68" s="18">
        <v>41974</v>
      </c>
      <c r="G68" s="18">
        <v>41977</v>
      </c>
      <c r="H68" s="18" t="str">
        <f>IFERROR(INDEX('Docs Signed Input'!B:B,MATCH('Nate''s Evolution'!$B68,'Docs Signed Input'!E:E,0)),"N")</f>
        <v>Y</v>
      </c>
      <c r="I68" s="18" t="str">
        <f>IFERROR(INDEX('Docs Signed Input'!C:C,MATCH('Nate''s Evolution'!B68,'Docs Signed Input'!E:E,0)),"N")</f>
        <v>N</v>
      </c>
      <c r="L68" t="s">
        <v>2258</v>
      </c>
      <c r="M68" t="s">
        <v>3942</v>
      </c>
      <c r="N68">
        <v>8.25</v>
      </c>
      <c r="O68">
        <v>8.5</v>
      </c>
      <c r="P68" s="6">
        <v>42035.818124999998</v>
      </c>
      <c r="Q68" t="s">
        <v>3896</v>
      </c>
      <c r="S68" t="s">
        <v>3943</v>
      </c>
      <c r="T68">
        <v>2</v>
      </c>
      <c r="X68" t="b">
        <v>1</v>
      </c>
      <c r="Y68" s="6">
        <v>42037.431944444441</v>
      </c>
    </row>
    <row r="69" spans="1:25" x14ac:dyDescent="0.25">
      <c r="A69" t="s">
        <v>9513</v>
      </c>
      <c r="B69" t="s">
        <v>9514</v>
      </c>
      <c r="C69">
        <v>9.75</v>
      </c>
      <c r="D69" t="s">
        <v>2230</v>
      </c>
      <c r="E69" t="s">
        <v>3984</v>
      </c>
      <c r="F69" s="18">
        <v>41974</v>
      </c>
      <c r="G69" s="18">
        <v>41977</v>
      </c>
      <c r="H69" s="18" t="str">
        <f>IFERROR(INDEX('Docs Signed Input'!B:B,MATCH('Nate''s Evolution'!$B69,'Docs Signed Input'!E:E,0)),"N")</f>
        <v>N</v>
      </c>
      <c r="I69" s="18" t="str">
        <f>IFERROR(INDEX('Docs Signed Input'!C:C,MATCH('Nate''s Evolution'!B69,'Docs Signed Input'!E:E,0)),"N")</f>
        <v>N</v>
      </c>
      <c r="L69" t="s">
        <v>2258</v>
      </c>
      <c r="M69" t="s">
        <v>3895</v>
      </c>
      <c r="N69">
        <v>9.75</v>
      </c>
      <c r="O69">
        <v>9.75</v>
      </c>
      <c r="P69" s="6">
        <v>42016.817962962959</v>
      </c>
      <c r="Q69" t="s">
        <v>3896</v>
      </c>
      <c r="R69" t="s">
        <v>3918</v>
      </c>
      <c r="S69" t="s">
        <v>2766</v>
      </c>
      <c r="T69">
        <v>21</v>
      </c>
      <c r="U69" t="b">
        <v>1</v>
      </c>
      <c r="Y69" s="6">
        <v>42037.431944444441</v>
      </c>
    </row>
    <row r="70" spans="1:25" x14ac:dyDescent="0.25">
      <c r="A70" t="s">
        <v>10221</v>
      </c>
      <c r="B70" t="s">
        <v>10222</v>
      </c>
      <c r="C70">
        <v>7</v>
      </c>
      <c r="D70" t="s">
        <v>3893</v>
      </c>
      <c r="E70" t="s">
        <v>4117</v>
      </c>
      <c r="F70" s="18">
        <v>41974</v>
      </c>
      <c r="G70" s="18">
        <v>41977</v>
      </c>
      <c r="H70" s="18" t="str">
        <f>IFERROR(INDEX('Docs Signed Input'!B:B,MATCH('Nate''s Evolution'!$B70,'Docs Signed Input'!E:E,0)),"N")</f>
        <v>N</v>
      </c>
      <c r="I70" s="18" t="str">
        <f>IFERROR(INDEX('Docs Signed Input'!C:C,MATCH('Nate''s Evolution'!B70,'Docs Signed Input'!E:E,0)),"N")</f>
        <v>N</v>
      </c>
      <c r="L70" t="s">
        <v>2258</v>
      </c>
      <c r="M70" t="s">
        <v>3932</v>
      </c>
      <c r="N70">
        <v>7</v>
      </c>
      <c r="O70">
        <v>7</v>
      </c>
      <c r="P70" s="6">
        <v>42035.818124999998</v>
      </c>
      <c r="Q70" t="s">
        <v>3896</v>
      </c>
      <c r="R70" t="s">
        <v>3897</v>
      </c>
      <c r="S70" t="s">
        <v>3758</v>
      </c>
      <c r="T70">
        <v>2</v>
      </c>
      <c r="X70" t="b">
        <v>1</v>
      </c>
      <c r="Y70" s="6">
        <v>42037.431944444441</v>
      </c>
    </row>
    <row r="71" spans="1:25" x14ac:dyDescent="0.25">
      <c r="A71" t="s">
        <v>10235</v>
      </c>
      <c r="B71" t="s">
        <v>10236</v>
      </c>
      <c r="C71">
        <v>5.5</v>
      </c>
      <c r="D71" t="s">
        <v>3922</v>
      </c>
      <c r="E71" t="s">
        <v>3951</v>
      </c>
      <c r="F71" s="18">
        <v>41974</v>
      </c>
      <c r="G71" s="18">
        <v>41977</v>
      </c>
      <c r="H71" s="18" t="str">
        <f>IFERROR(INDEX('Docs Signed Input'!B:B,MATCH('Nate''s Evolution'!$B71,'Docs Signed Input'!E:E,0)),"N")</f>
        <v>Y</v>
      </c>
      <c r="I71" s="18" t="str">
        <f>IFERROR(INDEX('Docs Signed Input'!C:C,MATCH('Nate''s Evolution'!B71,'Docs Signed Input'!E:E,0)),"N")</f>
        <v>Y</v>
      </c>
      <c r="J71" s="18">
        <v>41996</v>
      </c>
      <c r="K71" s="18">
        <v>42074</v>
      </c>
      <c r="L71" t="s">
        <v>2258</v>
      </c>
      <c r="M71" t="s">
        <v>3926</v>
      </c>
      <c r="N71">
        <v>5.25</v>
      </c>
      <c r="O71">
        <v>5.5</v>
      </c>
      <c r="P71" s="6">
        <v>42035.631388888891</v>
      </c>
      <c r="Q71" t="s">
        <v>3896</v>
      </c>
      <c r="S71" t="s">
        <v>2591</v>
      </c>
      <c r="T71">
        <v>2</v>
      </c>
      <c r="X71" t="b">
        <v>1</v>
      </c>
      <c r="Y71" s="6">
        <v>42037.431944444441</v>
      </c>
    </row>
    <row r="72" spans="1:25" x14ac:dyDescent="0.25">
      <c r="A72" t="s">
        <v>10697</v>
      </c>
      <c r="B72" t="s">
        <v>10698</v>
      </c>
      <c r="C72">
        <v>5.0999999999999996</v>
      </c>
      <c r="D72" t="s">
        <v>3922</v>
      </c>
      <c r="E72" t="s">
        <v>3985</v>
      </c>
      <c r="F72" s="18">
        <v>41974</v>
      </c>
      <c r="G72" s="18">
        <v>41977</v>
      </c>
      <c r="H72" s="18" t="str">
        <f>IFERROR(INDEX('Docs Signed Input'!B:B,MATCH('Nate''s Evolution'!$B72,'Docs Signed Input'!E:E,0)),"N")</f>
        <v>N</v>
      </c>
      <c r="I72" s="18" t="str">
        <f>IFERROR(INDEX('Docs Signed Input'!C:C,MATCH('Nate''s Evolution'!B72,'Docs Signed Input'!E:E,0)),"N")</f>
        <v>Y</v>
      </c>
      <c r="J72" s="18">
        <v>41982</v>
      </c>
      <c r="L72" t="s">
        <v>2258</v>
      </c>
      <c r="M72" t="s">
        <v>4013</v>
      </c>
      <c r="N72">
        <v>5</v>
      </c>
      <c r="O72">
        <v>5.0999999999999996</v>
      </c>
      <c r="P72" s="6">
        <v>42010.281030092592</v>
      </c>
      <c r="Q72" t="s">
        <v>3896</v>
      </c>
      <c r="R72" t="s">
        <v>3897</v>
      </c>
      <c r="S72" t="s">
        <v>3394</v>
      </c>
      <c r="T72">
        <v>27</v>
      </c>
      <c r="X72" t="b">
        <v>1</v>
      </c>
      <c r="Y72" s="6">
        <v>42037.431944444441</v>
      </c>
    </row>
    <row r="73" spans="1:25" x14ac:dyDescent="0.25">
      <c r="A73" t="s">
        <v>10719</v>
      </c>
      <c r="B73" t="s">
        <v>10720</v>
      </c>
      <c r="C73">
        <v>11.5</v>
      </c>
      <c r="D73" t="s">
        <v>3893</v>
      </c>
      <c r="E73" t="s">
        <v>3894</v>
      </c>
      <c r="F73" s="18">
        <v>41974</v>
      </c>
      <c r="G73" s="18">
        <v>41977</v>
      </c>
      <c r="H73" s="18" t="str">
        <f>IFERROR(INDEX('Docs Signed Input'!B:B,MATCH('Nate''s Evolution'!$B73,'Docs Signed Input'!E:E,0)),"N")</f>
        <v>Y</v>
      </c>
      <c r="I73" s="18" t="str">
        <f>IFERROR(INDEX('Docs Signed Input'!C:C,MATCH('Nate''s Evolution'!B73,'Docs Signed Input'!E:E,0)),"N")</f>
        <v>Y</v>
      </c>
      <c r="L73" t="s">
        <v>2258</v>
      </c>
      <c r="M73" t="s">
        <v>3895</v>
      </c>
      <c r="N73">
        <v>11.25</v>
      </c>
      <c r="O73">
        <v>11.5</v>
      </c>
      <c r="P73" s="6">
        <v>42035.818124999998</v>
      </c>
      <c r="Q73" t="s">
        <v>3896</v>
      </c>
      <c r="S73" t="s">
        <v>3106</v>
      </c>
      <c r="T73">
        <v>2</v>
      </c>
      <c r="X73" t="b">
        <v>1</v>
      </c>
      <c r="Y73" s="6">
        <v>42037.431944444441</v>
      </c>
    </row>
    <row r="74" spans="1:25" x14ac:dyDescent="0.25">
      <c r="A74" t="s">
        <v>11275</v>
      </c>
      <c r="B74" t="s">
        <v>11276</v>
      </c>
      <c r="C74">
        <v>4.335</v>
      </c>
      <c r="D74" t="s">
        <v>3922</v>
      </c>
      <c r="E74" t="s">
        <v>3923</v>
      </c>
      <c r="F74" s="18">
        <v>41974</v>
      </c>
      <c r="G74" s="18">
        <v>41977</v>
      </c>
      <c r="H74" s="18" t="str">
        <f>IFERROR(INDEX('Docs Signed Input'!B:B,MATCH('Nate''s Evolution'!$B74,'Docs Signed Input'!E:E,0)),"N")</f>
        <v>N</v>
      </c>
      <c r="I74" s="18" t="str">
        <f>IFERROR(INDEX('Docs Signed Input'!C:C,MATCH('Nate''s Evolution'!B74,'Docs Signed Input'!E:E,0)),"N")</f>
        <v>Y</v>
      </c>
      <c r="J74" s="18">
        <v>41994</v>
      </c>
      <c r="L74" t="s">
        <v>2258</v>
      </c>
      <c r="M74" t="s">
        <v>3932</v>
      </c>
      <c r="N74">
        <v>4.335</v>
      </c>
      <c r="O74">
        <v>6.8849999999999998</v>
      </c>
      <c r="P74" s="6">
        <v>42035.818124999998</v>
      </c>
      <c r="Q74" t="s">
        <v>3896</v>
      </c>
      <c r="R74" t="s">
        <v>3897</v>
      </c>
      <c r="S74" t="s">
        <v>3499</v>
      </c>
      <c r="T74">
        <v>2</v>
      </c>
      <c r="X74" t="b">
        <v>1</v>
      </c>
      <c r="Y74" s="6">
        <v>42037.431944444441</v>
      </c>
    </row>
    <row r="75" spans="1:25" x14ac:dyDescent="0.25">
      <c r="A75" t="s">
        <v>4721</v>
      </c>
      <c r="B75" t="s">
        <v>4722</v>
      </c>
      <c r="C75">
        <v>11</v>
      </c>
      <c r="D75" t="s">
        <v>2230</v>
      </c>
      <c r="E75" t="s">
        <v>3984</v>
      </c>
      <c r="F75" s="18">
        <v>41974</v>
      </c>
      <c r="G75" s="18">
        <v>41978</v>
      </c>
      <c r="H75" s="18" t="str">
        <f>IFERROR(INDEX('Docs Signed Input'!B:B,MATCH('Nate''s Evolution'!$B75,'Docs Signed Input'!E:E,0)),"N")</f>
        <v>N</v>
      </c>
      <c r="I75" s="18" t="str">
        <f>IFERROR(INDEX('Docs Signed Input'!C:C,MATCH('Nate''s Evolution'!B75,'Docs Signed Input'!E:E,0)),"N")</f>
        <v>N</v>
      </c>
      <c r="L75" t="s">
        <v>2258</v>
      </c>
      <c r="M75" t="s">
        <v>3895</v>
      </c>
      <c r="N75">
        <v>11</v>
      </c>
      <c r="O75">
        <v>11</v>
      </c>
      <c r="P75" s="6">
        <v>41994.818379629629</v>
      </c>
      <c r="Q75" t="s">
        <v>3896</v>
      </c>
      <c r="R75" t="s">
        <v>3897</v>
      </c>
      <c r="S75" t="s">
        <v>4723</v>
      </c>
      <c r="T75">
        <v>43</v>
      </c>
      <c r="U75" t="b">
        <v>1</v>
      </c>
      <c r="Y75" s="6">
        <v>42037.431944444441</v>
      </c>
    </row>
    <row r="76" spans="1:25" x14ac:dyDescent="0.25">
      <c r="A76" t="s">
        <v>5108</v>
      </c>
      <c r="B76" t="s">
        <v>5109</v>
      </c>
      <c r="C76">
        <v>13</v>
      </c>
      <c r="D76" t="s">
        <v>3922</v>
      </c>
      <c r="E76" t="s">
        <v>3951</v>
      </c>
      <c r="F76" s="18">
        <v>41974</v>
      </c>
      <c r="G76" s="18">
        <v>41978</v>
      </c>
      <c r="H76" s="18" t="str">
        <f>IFERROR(INDEX('Docs Signed Input'!B:B,MATCH('Nate''s Evolution'!$B76,'Docs Signed Input'!E:E,0)),"N")</f>
        <v>Y</v>
      </c>
      <c r="I76" s="18" t="str">
        <f>IFERROR(INDEX('Docs Signed Input'!C:C,MATCH('Nate''s Evolution'!B76,'Docs Signed Input'!E:E,0)),"N")</f>
        <v>Y</v>
      </c>
      <c r="J76" s="18">
        <v>41988</v>
      </c>
      <c r="K76" s="18">
        <v>42047</v>
      </c>
      <c r="L76" t="s">
        <v>2258</v>
      </c>
      <c r="M76" t="s">
        <v>3926</v>
      </c>
      <c r="N76">
        <v>13</v>
      </c>
      <c r="O76">
        <v>13</v>
      </c>
      <c r="P76" s="6">
        <v>42031.395300925928</v>
      </c>
      <c r="Q76" t="s">
        <v>3896</v>
      </c>
      <c r="S76" t="s">
        <v>2591</v>
      </c>
      <c r="T76">
        <v>6</v>
      </c>
      <c r="X76" t="b">
        <v>1</v>
      </c>
      <c r="Y76" s="6">
        <v>42037.431944444441</v>
      </c>
    </row>
    <row r="77" spans="1:25" x14ac:dyDescent="0.25">
      <c r="A77" t="s">
        <v>5158</v>
      </c>
      <c r="B77" t="s">
        <v>5159</v>
      </c>
      <c r="C77">
        <v>8.75</v>
      </c>
      <c r="D77" t="s">
        <v>2230</v>
      </c>
      <c r="E77" t="s">
        <v>3984</v>
      </c>
      <c r="F77" s="18">
        <v>41974</v>
      </c>
      <c r="G77" s="18">
        <v>41978</v>
      </c>
      <c r="H77" s="18" t="str">
        <f>IFERROR(INDEX('Docs Signed Input'!B:B,MATCH('Nate''s Evolution'!$B77,'Docs Signed Input'!E:E,0)),"N")</f>
        <v>N</v>
      </c>
      <c r="I77" s="18" t="str">
        <f>IFERROR(INDEX('Docs Signed Input'!C:C,MATCH('Nate''s Evolution'!B77,'Docs Signed Input'!E:E,0)),"N")</f>
        <v>N</v>
      </c>
      <c r="L77" t="s">
        <v>2258</v>
      </c>
      <c r="M77" t="s">
        <v>4317</v>
      </c>
      <c r="N77">
        <v>8.75</v>
      </c>
      <c r="O77">
        <v>8.75</v>
      </c>
      <c r="P77" s="6">
        <v>42009.817812499998</v>
      </c>
      <c r="Q77" t="s">
        <v>3896</v>
      </c>
      <c r="R77" t="s">
        <v>3897</v>
      </c>
      <c r="S77" t="s">
        <v>3587</v>
      </c>
      <c r="T77">
        <v>28</v>
      </c>
      <c r="U77" t="b">
        <v>1</v>
      </c>
      <c r="Y77" s="6">
        <v>42037.431944444441</v>
      </c>
    </row>
    <row r="78" spans="1:25" x14ac:dyDescent="0.25">
      <c r="A78" t="s">
        <v>5785</v>
      </c>
      <c r="B78" t="s">
        <v>5786</v>
      </c>
      <c r="C78">
        <v>9.25</v>
      </c>
      <c r="D78" t="s">
        <v>3893</v>
      </c>
      <c r="E78" t="s">
        <v>3894</v>
      </c>
      <c r="F78" s="18">
        <v>41974</v>
      </c>
      <c r="G78" s="18">
        <v>41978</v>
      </c>
      <c r="H78" s="18" t="str">
        <f>IFERROR(INDEX('Docs Signed Input'!B:B,MATCH('Nate''s Evolution'!$B78,'Docs Signed Input'!E:E,0)),"N")</f>
        <v>N</v>
      </c>
      <c r="I78" s="18" t="str">
        <f>IFERROR(INDEX('Docs Signed Input'!C:C,MATCH('Nate''s Evolution'!B78,'Docs Signed Input'!E:E,0)),"N")</f>
        <v>N</v>
      </c>
      <c r="L78" t="s">
        <v>2258</v>
      </c>
      <c r="M78" t="s">
        <v>12976</v>
      </c>
      <c r="N78">
        <v>9.25</v>
      </c>
      <c r="O78">
        <v>11.5</v>
      </c>
      <c r="P78" s="6">
        <v>42035.818124999998</v>
      </c>
      <c r="Q78" t="s">
        <v>3896</v>
      </c>
      <c r="R78" t="s">
        <v>3918</v>
      </c>
      <c r="S78" t="s">
        <v>2924</v>
      </c>
      <c r="T78">
        <v>2</v>
      </c>
      <c r="X78" t="b">
        <v>1</v>
      </c>
      <c r="Y78" s="6">
        <v>42037.431944444441</v>
      </c>
    </row>
    <row r="79" spans="1:25" x14ac:dyDescent="0.25">
      <c r="A79" t="s">
        <v>6369</v>
      </c>
      <c r="B79" t="s">
        <v>6370</v>
      </c>
      <c r="C79">
        <v>2.8050000000000002</v>
      </c>
      <c r="D79" t="s">
        <v>3922</v>
      </c>
      <c r="E79" t="s">
        <v>3947</v>
      </c>
      <c r="F79" s="18">
        <v>41974</v>
      </c>
      <c r="G79" s="18">
        <v>41978</v>
      </c>
      <c r="H79" s="18" t="str">
        <f>IFERROR(INDEX('Docs Signed Input'!B:B,MATCH('Nate''s Evolution'!$B79,'Docs Signed Input'!E:E,0)),"N")</f>
        <v>N</v>
      </c>
      <c r="I79" s="18" t="str">
        <f>IFERROR(INDEX('Docs Signed Input'!C:C,MATCH('Nate''s Evolution'!B79,'Docs Signed Input'!E:E,0)),"N")</f>
        <v>Y</v>
      </c>
      <c r="J79" s="18">
        <v>41990</v>
      </c>
      <c r="K79" s="18">
        <v>42026</v>
      </c>
      <c r="L79" t="s">
        <v>2258</v>
      </c>
      <c r="M79" t="s">
        <v>4009</v>
      </c>
      <c r="N79">
        <v>2.75</v>
      </c>
      <c r="O79">
        <v>2.8050000000000002</v>
      </c>
      <c r="P79" s="6">
        <v>42027.588784722226</v>
      </c>
      <c r="Q79" t="s">
        <v>3896</v>
      </c>
      <c r="R79" t="s">
        <v>3918</v>
      </c>
      <c r="S79" t="s">
        <v>3640</v>
      </c>
      <c r="T79">
        <v>10</v>
      </c>
      <c r="X79" t="b">
        <v>1</v>
      </c>
      <c r="Y79" s="6">
        <v>42037.431944444441</v>
      </c>
    </row>
    <row r="80" spans="1:25" x14ac:dyDescent="0.25">
      <c r="A80" t="s">
        <v>6882</v>
      </c>
      <c r="B80" t="s">
        <v>6883</v>
      </c>
      <c r="C80">
        <v>7.75</v>
      </c>
      <c r="D80" t="s">
        <v>2230</v>
      </c>
      <c r="E80" t="s">
        <v>3984</v>
      </c>
      <c r="F80" s="18">
        <v>41974</v>
      </c>
      <c r="G80" s="18">
        <v>41978</v>
      </c>
      <c r="H80" s="18" t="str">
        <f>IFERROR(INDEX('Docs Signed Input'!B:B,MATCH('Nate''s Evolution'!$B80,'Docs Signed Input'!E:E,0)),"N")</f>
        <v>N</v>
      </c>
      <c r="I80" s="18" t="str">
        <f>IFERROR(INDEX('Docs Signed Input'!C:C,MATCH('Nate''s Evolution'!B80,'Docs Signed Input'!E:E,0)),"N")</f>
        <v>N</v>
      </c>
      <c r="L80" t="s">
        <v>2258</v>
      </c>
      <c r="M80" t="s">
        <v>3895</v>
      </c>
      <c r="N80">
        <v>7.75</v>
      </c>
      <c r="O80">
        <v>7.75</v>
      </c>
      <c r="P80" s="6">
        <v>42016.817962962959</v>
      </c>
      <c r="Q80" t="s">
        <v>3896</v>
      </c>
      <c r="R80" t="s">
        <v>3897</v>
      </c>
      <c r="S80" t="s">
        <v>2937</v>
      </c>
      <c r="T80">
        <v>21</v>
      </c>
      <c r="U80" t="b">
        <v>1</v>
      </c>
      <c r="Y80" s="6">
        <v>42037.431944444441</v>
      </c>
    </row>
    <row r="81" spans="1:25" x14ac:dyDescent="0.25">
      <c r="A81" t="s">
        <v>7170</v>
      </c>
      <c r="B81" t="s">
        <v>7171</v>
      </c>
      <c r="C81">
        <v>4.335</v>
      </c>
      <c r="D81" t="s">
        <v>3893</v>
      </c>
      <c r="E81" t="s">
        <v>3916</v>
      </c>
      <c r="F81" s="18">
        <v>41974</v>
      </c>
      <c r="G81" s="18">
        <v>41978</v>
      </c>
      <c r="H81" s="18" t="str">
        <f>IFERROR(INDEX('Docs Signed Input'!B:B,MATCH('Nate''s Evolution'!$B81,'Docs Signed Input'!E:E,0)),"N")</f>
        <v>N</v>
      </c>
      <c r="I81" s="18" t="str">
        <f>IFERROR(INDEX('Docs Signed Input'!C:C,MATCH('Nate''s Evolution'!B81,'Docs Signed Input'!E:E,0)),"N")</f>
        <v>N</v>
      </c>
      <c r="L81" t="s">
        <v>2258</v>
      </c>
      <c r="M81" t="s">
        <v>3932</v>
      </c>
      <c r="N81">
        <v>3.5</v>
      </c>
      <c r="O81">
        <v>4.335</v>
      </c>
      <c r="P81" s="6">
        <v>42035.818124999998</v>
      </c>
      <c r="Q81" t="s">
        <v>3896</v>
      </c>
      <c r="R81" t="s">
        <v>3897</v>
      </c>
      <c r="S81" t="s">
        <v>3493</v>
      </c>
      <c r="T81">
        <v>2</v>
      </c>
      <c r="X81" t="b">
        <v>1</v>
      </c>
      <c r="Y81" s="6">
        <v>42037.431944444441</v>
      </c>
    </row>
    <row r="82" spans="1:25" x14ac:dyDescent="0.25">
      <c r="A82" t="s">
        <v>8217</v>
      </c>
      <c r="B82" t="s">
        <v>8218</v>
      </c>
      <c r="C82">
        <v>3.8250000000000002</v>
      </c>
      <c r="D82" t="s">
        <v>3893</v>
      </c>
      <c r="E82" t="s">
        <v>3894</v>
      </c>
      <c r="F82" s="18">
        <v>41974</v>
      </c>
      <c r="G82" s="18">
        <v>41978</v>
      </c>
      <c r="H82" s="18" t="str">
        <f>IFERROR(INDEX('Docs Signed Input'!B:B,MATCH('Nate''s Evolution'!$B82,'Docs Signed Input'!E:E,0)),"N")</f>
        <v>N</v>
      </c>
      <c r="I82" s="18" t="str">
        <f>IFERROR(INDEX('Docs Signed Input'!C:C,MATCH('Nate''s Evolution'!B82,'Docs Signed Input'!E:E,0)),"N")</f>
        <v>N</v>
      </c>
      <c r="L82" t="s">
        <v>2258</v>
      </c>
      <c r="M82" t="s">
        <v>3932</v>
      </c>
      <c r="N82">
        <v>3.8250000000000002</v>
      </c>
      <c r="O82">
        <v>6</v>
      </c>
      <c r="P82" s="6">
        <v>42035.818124999998</v>
      </c>
      <c r="Q82" t="s">
        <v>3896</v>
      </c>
      <c r="R82" t="s">
        <v>11700</v>
      </c>
      <c r="S82" t="s">
        <v>3732</v>
      </c>
      <c r="T82">
        <v>2</v>
      </c>
      <c r="X82" t="b">
        <v>1</v>
      </c>
      <c r="Y82" s="6">
        <v>42037.431944444441</v>
      </c>
    </row>
    <row r="83" spans="1:25" x14ac:dyDescent="0.25">
      <c r="A83" t="s">
        <v>8465</v>
      </c>
      <c r="B83" t="s">
        <v>8466</v>
      </c>
      <c r="C83">
        <v>2.5499999999999998</v>
      </c>
      <c r="D83" t="s">
        <v>3900</v>
      </c>
      <c r="E83" t="s">
        <v>3901</v>
      </c>
      <c r="F83" s="18">
        <v>41974</v>
      </c>
      <c r="G83" s="18">
        <v>41978</v>
      </c>
      <c r="H83" s="18" t="str">
        <f>IFERROR(INDEX('Docs Signed Input'!B:B,MATCH('Nate''s Evolution'!$B83,'Docs Signed Input'!E:E,0)),"N")</f>
        <v>N</v>
      </c>
      <c r="I83" s="18" t="str">
        <f>IFERROR(INDEX('Docs Signed Input'!C:C,MATCH('Nate''s Evolution'!B83,'Docs Signed Input'!E:E,0)),"N")</f>
        <v>N</v>
      </c>
      <c r="J83" s="18">
        <v>41994</v>
      </c>
      <c r="K83" s="18">
        <v>42026</v>
      </c>
      <c r="L83" t="s">
        <v>2258</v>
      </c>
      <c r="M83" t="s">
        <v>4317</v>
      </c>
      <c r="N83">
        <v>2.5499999999999998</v>
      </c>
      <c r="O83">
        <v>3</v>
      </c>
      <c r="P83" s="6">
        <v>42034.587731481479</v>
      </c>
      <c r="Q83" t="s">
        <v>3896</v>
      </c>
      <c r="S83" t="s">
        <v>3566</v>
      </c>
      <c r="T83">
        <v>3</v>
      </c>
      <c r="W83" t="b">
        <v>1</v>
      </c>
      <c r="Y83" s="6">
        <v>42037.431944444441</v>
      </c>
    </row>
    <row r="84" spans="1:25" x14ac:dyDescent="0.25">
      <c r="A84" t="s">
        <v>9667</v>
      </c>
      <c r="B84" t="s">
        <v>9668</v>
      </c>
      <c r="C84">
        <v>5</v>
      </c>
      <c r="D84" t="s">
        <v>3900</v>
      </c>
      <c r="E84" t="s">
        <v>3960</v>
      </c>
      <c r="F84" s="18">
        <v>41974</v>
      </c>
      <c r="G84" s="18">
        <v>41978</v>
      </c>
      <c r="H84" s="18" t="str">
        <f>IFERROR(INDEX('Docs Signed Input'!B:B,MATCH('Nate''s Evolution'!$B84,'Docs Signed Input'!E:E,0)),"N")</f>
        <v>Y</v>
      </c>
      <c r="I84" s="18" t="str">
        <f>IFERROR(INDEX('Docs Signed Input'!C:C,MATCH('Nate''s Evolution'!B84,'Docs Signed Input'!E:E,0)),"N")</f>
        <v>Y</v>
      </c>
      <c r="J84" s="18">
        <v>41991</v>
      </c>
      <c r="K84" s="18">
        <v>42015</v>
      </c>
      <c r="L84" t="s">
        <v>2258</v>
      </c>
      <c r="M84" t="s">
        <v>3942</v>
      </c>
      <c r="N84">
        <v>5</v>
      </c>
      <c r="O84">
        <v>5.25</v>
      </c>
      <c r="P84" s="6">
        <v>42018.573761574073</v>
      </c>
      <c r="Q84" t="s">
        <v>3896</v>
      </c>
      <c r="S84" t="s">
        <v>3943</v>
      </c>
      <c r="T84">
        <v>19</v>
      </c>
      <c r="W84" t="b">
        <v>1</v>
      </c>
      <c r="Y84" s="6">
        <v>42037.431944444441</v>
      </c>
    </row>
    <row r="85" spans="1:25" x14ac:dyDescent="0.25">
      <c r="A85" t="s">
        <v>9771</v>
      </c>
      <c r="B85" t="s">
        <v>9772</v>
      </c>
      <c r="C85">
        <v>6.75</v>
      </c>
      <c r="D85" t="s">
        <v>3893</v>
      </c>
      <c r="E85" t="s">
        <v>4117</v>
      </c>
      <c r="F85" s="18">
        <v>41974</v>
      </c>
      <c r="G85" s="18">
        <v>41978</v>
      </c>
      <c r="H85" s="18" t="str">
        <f>IFERROR(INDEX('Docs Signed Input'!B:B,MATCH('Nate''s Evolution'!$B85,'Docs Signed Input'!E:E,0)),"N")</f>
        <v>N</v>
      </c>
      <c r="I85" s="18" t="str">
        <f>IFERROR(INDEX('Docs Signed Input'!C:C,MATCH('Nate''s Evolution'!B85,'Docs Signed Input'!E:E,0)),"N")</f>
        <v>N</v>
      </c>
      <c r="L85" t="s">
        <v>2258</v>
      </c>
      <c r="M85" t="s">
        <v>4020</v>
      </c>
      <c r="N85">
        <v>6.75</v>
      </c>
      <c r="O85">
        <v>6.75</v>
      </c>
      <c r="P85" s="6">
        <v>42035.818124999998</v>
      </c>
      <c r="Q85" t="s">
        <v>3896</v>
      </c>
      <c r="R85" t="s">
        <v>3897</v>
      </c>
      <c r="S85" t="s">
        <v>3556</v>
      </c>
      <c r="T85">
        <v>2</v>
      </c>
      <c r="X85" t="b">
        <v>1</v>
      </c>
      <c r="Y85" s="6">
        <v>42037.431944444441</v>
      </c>
    </row>
    <row r="86" spans="1:25" x14ac:dyDescent="0.25">
      <c r="A86" t="s">
        <v>9820</v>
      </c>
      <c r="B86" t="s">
        <v>9821</v>
      </c>
      <c r="C86">
        <v>12.75</v>
      </c>
      <c r="D86" t="s">
        <v>3922</v>
      </c>
      <c r="E86" t="s">
        <v>3951</v>
      </c>
      <c r="F86" s="18">
        <v>41974</v>
      </c>
      <c r="G86" s="18">
        <v>41978</v>
      </c>
      <c r="H86" s="18" t="str">
        <f>IFERROR(INDEX('Docs Signed Input'!B:B,MATCH('Nate''s Evolution'!$B86,'Docs Signed Input'!E:E,0)),"N")</f>
        <v>Y</v>
      </c>
      <c r="I86" s="18" t="str">
        <f>IFERROR(INDEX('Docs Signed Input'!C:C,MATCH('Nate''s Evolution'!B86,'Docs Signed Input'!E:E,0)),"N")</f>
        <v>Y</v>
      </c>
      <c r="J86" s="18">
        <v>42003</v>
      </c>
      <c r="K86" s="18">
        <v>42040</v>
      </c>
      <c r="L86" t="s">
        <v>2258</v>
      </c>
      <c r="M86" t="s">
        <v>3902</v>
      </c>
      <c r="N86">
        <v>12.75</v>
      </c>
      <c r="O86">
        <v>12.75</v>
      </c>
      <c r="P86" s="6">
        <v>42032.666087962964</v>
      </c>
      <c r="Q86" t="s">
        <v>3896</v>
      </c>
      <c r="S86" t="s">
        <v>2591</v>
      </c>
      <c r="T86">
        <v>5</v>
      </c>
      <c r="X86" t="b">
        <v>1</v>
      </c>
      <c r="Y86" s="6">
        <v>42037.431944444441</v>
      </c>
    </row>
    <row r="87" spans="1:25" x14ac:dyDescent="0.25">
      <c r="A87" t="s">
        <v>10476</v>
      </c>
      <c r="B87" t="s">
        <v>10477</v>
      </c>
      <c r="C87">
        <v>5.25</v>
      </c>
      <c r="D87" t="s">
        <v>2230</v>
      </c>
      <c r="E87" t="s">
        <v>3984</v>
      </c>
      <c r="F87" s="18">
        <v>41974</v>
      </c>
      <c r="G87" s="18">
        <v>41978</v>
      </c>
      <c r="H87" s="18" t="str">
        <f>IFERROR(INDEX('Docs Signed Input'!B:B,MATCH('Nate''s Evolution'!$B87,'Docs Signed Input'!E:E,0)),"N")</f>
        <v>N</v>
      </c>
      <c r="I87" s="18" t="str">
        <f>IFERROR(INDEX('Docs Signed Input'!C:C,MATCH('Nate''s Evolution'!B87,'Docs Signed Input'!E:E,0)),"N")</f>
        <v>N</v>
      </c>
      <c r="L87" t="s">
        <v>2258</v>
      </c>
      <c r="M87" t="s">
        <v>3926</v>
      </c>
      <c r="N87">
        <v>5.25</v>
      </c>
      <c r="O87">
        <v>5.25</v>
      </c>
      <c r="P87" s="6">
        <v>42016.817962962959</v>
      </c>
      <c r="Q87" t="s">
        <v>3896</v>
      </c>
      <c r="R87" t="s">
        <v>3918</v>
      </c>
      <c r="S87" t="s">
        <v>2591</v>
      </c>
      <c r="T87">
        <v>21</v>
      </c>
      <c r="U87" t="b">
        <v>1</v>
      </c>
      <c r="Y87" s="6">
        <v>42037.431944444441</v>
      </c>
    </row>
    <row r="88" spans="1:25" x14ac:dyDescent="0.25">
      <c r="A88" t="s">
        <v>10570</v>
      </c>
      <c r="B88" t="s">
        <v>10571</v>
      </c>
      <c r="C88">
        <v>6.5</v>
      </c>
      <c r="D88" t="s">
        <v>2230</v>
      </c>
      <c r="E88" t="s">
        <v>3984</v>
      </c>
      <c r="F88" s="18">
        <v>41974</v>
      </c>
      <c r="G88" s="18">
        <v>41978</v>
      </c>
      <c r="H88" s="18" t="str">
        <f>IFERROR(INDEX('Docs Signed Input'!B:B,MATCH('Nate''s Evolution'!$B88,'Docs Signed Input'!E:E,0)),"N")</f>
        <v>Y</v>
      </c>
      <c r="I88" s="18" t="str">
        <f>IFERROR(INDEX('Docs Signed Input'!C:C,MATCH('Nate''s Evolution'!B88,'Docs Signed Input'!E:E,0)),"N")</f>
        <v>Y</v>
      </c>
      <c r="J88" s="18">
        <v>41984</v>
      </c>
      <c r="L88" t="s">
        <v>2258</v>
      </c>
      <c r="M88" t="s">
        <v>3930</v>
      </c>
      <c r="N88">
        <v>6.5</v>
      </c>
      <c r="O88">
        <v>6.5</v>
      </c>
      <c r="P88" s="6">
        <v>42016.817962962959</v>
      </c>
      <c r="Q88" t="s">
        <v>3896</v>
      </c>
      <c r="R88" t="s">
        <v>3897</v>
      </c>
      <c r="S88" t="s">
        <v>2992</v>
      </c>
      <c r="T88">
        <v>21</v>
      </c>
      <c r="U88" t="b">
        <v>1</v>
      </c>
      <c r="Y88" s="6">
        <v>42037.431944444441</v>
      </c>
    </row>
    <row r="89" spans="1:25" x14ac:dyDescent="0.25">
      <c r="A89" t="s">
        <v>10603</v>
      </c>
      <c r="B89" t="s">
        <v>10604</v>
      </c>
      <c r="C89">
        <v>7.25</v>
      </c>
      <c r="D89" t="s">
        <v>2230</v>
      </c>
      <c r="E89" t="s">
        <v>3984</v>
      </c>
      <c r="F89" s="18">
        <v>41974</v>
      </c>
      <c r="G89" s="18">
        <v>41978</v>
      </c>
      <c r="H89" s="18" t="str">
        <f>IFERROR(INDEX('Docs Signed Input'!B:B,MATCH('Nate''s Evolution'!$B89,'Docs Signed Input'!E:E,0)),"N")</f>
        <v>Y</v>
      </c>
      <c r="I89" s="18" t="str">
        <f>IFERROR(INDEX('Docs Signed Input'!C:C,MATCH('Nate''s Evolution'!B89,'Docs Signed Input'!E:E,0)),"N")</f>
        <v>N</v>
      </c>
      <c r="L89" t="s">
        <v>2258</v>
      </c>
      <c r="M89" t="s">
        <v>3895</v>
      </c>
      <c r="N89">
        <v>7.25</v>
      </c>
      <c r="O89">
        <v>10.5</v>
      </c>
      <c r="P89" s="6">
        <v>42016.817962962959</v>
      </c>
      <c r="Q89" t="s">
        <v>3896</v>
      </c>
      <c r="S89" t="s">
        <v>2937</v>
      </c>
      <c r="T89">
        <v>21</v>
      </c>
      <c r="U89" t="b">
        <v>1</v>
      </c>
      <c r="Y89" s="6">
        <v>42037.431944444441</v>
      </c>
    </row>
    <row r="90" spans="1:25" x14ac:dyDescent="0.25">
      <c r="A90" t="s">
        <v>10955</v>
      </c>
      <c r="B90" t="s">
        <v>10956</v>
      </c>
      <c r="C90">
        <v>6.75</v>
      </c>
      <c r="D90" t="s">
        <v>3922</v>
      </c>
      <c r="E90" t="s">
        <v>3923</v>
      </c>
      <c r="F90" s="18">
        <v>41974</v>
      </c>
      <c r="G90" s="18">
        <v>41978</v>
      </c>
      <c r="H90" s="18" t="str">
        <f>IFERROR(INDEX('Docs Signed Input'!B:B,MATCH('Nate''s Evolution'!$B90,'Docs Signed Input'!E:E,0)),"N")</f>
        <v>Y</v>
      </c>
      <c r="I90" s="18" t="str">
        <f>IFERROR(INDEX('Docs Signed Input'!C:C,MATCH('Nate''s Evolution'!B90,'Docs Signed Input'!E:E,0)),"N")</f>
        <v>Y</v>
      </c>
      <c r="J90" s="18">
        <v>41989</v>
      </c>
      <c r="L90" t="s">
        <v>2258</v>
      </c>
      <c r="M90" t="s">
        <v>3942</v>
      </c>
      <c r="N90">
        <v>6.75</v>
      </c>
      <c r="O90">
        <v>6.75</v>
      </c>
      <c r="P90" s="6">
        <v>42035.818124999998</v>
      </c>
      <c r="Q90" t="s">
        <v>3896</v>
      </c>
      <c r="S90" t="s">
        <v>3943</v>
      </c>
      <c r="T90">
        <v>2</v>
      </c>
      <c r="X90" t="b">
        <v>1</v>
      </c>
      <c r="Y90" s="6">
        <v>42037.431944444441</v>
      </c>
    </row>
    <row r="91" spans="1:25" x14ac:dyDescent="0.25">
      <c r="A91" t="s">
        <v>4007</v>
      </c>
      <c r="B91" t="s">
        <v>4008</v>
      </c>
      <c r="C91">
        <v>5.0999999999999996</v>
      </c>
      <c r="D91" t="s">
        <v>3893</v>
      </c>
      <c r="E91" t="s">
        <v>3925</v>
      </c>
      <c r="F91" s="18">
        <v>41974</v>
      </c>
      <c r="G91" s="18">
        <v>41979</v>
      </c>
      <c r="H91" s="18" t="str">
        <f>IFERROR(INDEX('Docs Signed Input'!B:B,MATCH('Nate''s Evolution'!$B91,'Docs Signed Input'!E:E,0)),"N")</f>
        <v>Y</v>
      </c>
      <c r="I91" s="18" t="str">
        <f>IFERROR(INDEX('Docs Signed Input'!C:C,MATCH('Nate''s Evolution'!B91,'Docs Signed Input'!E:E,0)),"N")</f>
        <v>Y</v>
      </c>
      <c r="J91" s="18">
        <v>41996</v>
      </c>
      <c r="L91" t="s">
        <v>2258</v>
      </c>
      <c r="M91" t="s">
        <v>4009</v>
      </c>
      <c r="N91">
        <v>4.75</v>
      </c>
      <c r="O91">
        <v>5.0999999999999996</v>
      </c>
      <c r="P91" s="6">
        <v>42035.818124999998</v>
      </c>
      <c r="Q91" t="s">
        <v>3896</v>
      </c>
      <c r="R91" t="s">
        <v>3921</v>
      </c>
      <c r="S91" t="s">
        <v>3525</v>
      </c>
      <c r="T91">
        <v>2</v>
      </c>
      <c r="X91" t="b">
        <v>1</v>
      </c>
      <c r="Y91" s="6">
        <v>42037.431944444441</v>
      </c>
    </row>
    <row r="92" spans="1:25" x14ac:dyDescent="0.25">
      <c r="A92" t="s">
        <v>4165</v>
      </c>
      <c r="B92" t="s">
        <v>4166</v>
      </c>
      <c r="C92">
        <v>9.75</v>
      </c>
      <c r="D92" t="s">
        <v>3922</v>
      </c>
      <c r="E92" t="s">
        <v>3951</v>
      </c>
      <c r="F92" s="18">
        <v>41974</v>
      </c>
      <c r="G92" s="18">
        <v>41979</v>
      </c>
      <c r="H92" s="18" t="str">
        <f>IFERROR(INDEX('Docs Signed Input'!B:B,MATCH('Nate''s Evolution'!$B92,'Docs Signed Input'!E:E,0)),"N")</f>
        <v>Y</v>
      </c>
      <c r="I92" s="18" t="str">
        <f>IFERROR(INDEX('Docs Signed Input'!C:C,MATCH('Nate''s Evolution'!B92,'Docs Signed Input'!E:E,0)),"N")</f>
        <v>Y</v>
      </c>
      <c r="J92" s="18">
        <v>41983</v>
      </c>
      <c r="K92" s="18">
        <v>42039</v>
      </c>
      <c r="L92" t="s">
        <v>2258</v>
      </c>
      <c r="M92" t="s">
        <v>3902</v>
      </c>
      <c r="N92">
        <v>9.75</v>
      </c>
      <c r="O92">
        <v>9.75</v>
      </c>
      <c r="P92" s="6">
        <v>42034.616006944445</v>
      </c>
      <c r="Q92" t="s">
        <v>3896</v>
      </c>
      <c r="S92" t="s">
        <v>2400</v>
      </c>
      <c r="T92">
        <v>3</v>
      </c>
      <c r="X92" t="b">
        <v>1</v>
      </c>
      <c r="Y92" s="6">
        <v>42037.431944444441</v>
      </c>
    </row>
    <row r="93" spans="1:25" x14ac:dyDescent="0.25">
      <c r="A93" t="s">
        <v>4593</v>
      </c>
      <c r="B93" t="s">
        <v>4594</v>
      </c>
      <c r="C93">
        <v>10</v>
      </c>
      <c r="D93" t="s">
        <v>3922</v>
      </c>
      <c r="E93" t="s">
        <v>3951</v>
      </c>
      <c r="F93" s="18">
        <v>41974</v>
      </c>
      <c r="G93" s="18">
        <v>41979</v>
      </c>
      <c r="H93" s="18" t="str">
        <f>IFERROR(INDEX('Docs Signed Input'!B:B,MATCH('Nate''s Evolution'!$B93,'Docs Signed Input'!E:E,0)),"N")</f>
        <v>Y</v>
      </c>
      <c r="I93" s="18" t="str">
        <f>IFERROR(INDEX('Docs Signed Input'!C:C,MATCH('Nate''s Evolution'!B93,'Docs Signed Input'!E:E,0)),"N")</f>
        <v>Y</v>
      </c>
      <c r="J93" s="18">
        <v>42004</v>
      </c>
      <c r="K93" s="18">
        <v>42057</v>
      </c>
      <c r="L93" t="s">
        <v>2258</v>
      </c>
      <c r="M93" t="s">
        <v>3926</v>
      </c>
      <c r="N93">
        <v>10</v>
      </c>
      <c r="O93">
        <v>10</v>
      </c>
      <c r="P93" s="6">
        <v>42033.670219907406</v>
      </c>
      <c r="Q93" t="s">
        <v>3896</v>
      </c>
      <c r="S93" t="s">
        <v>2591</v>
      </c>
      <c r="T93">
        <v>4</v>
      </c>
      <c r="X93" t="b">
        <v>1</v>
      </c>
      <c r="Y93" s="6">
        <v>42037.431944444441</v>
      </c>
    </row>
    <row r="94" spans="1:25" x14ac:dyDescent="0.25">
      <c r="A94" t="s">
        <v>4655</v>
      </c>
      <c r="B94" t="s">
        <v>4656</v>
      </c>
      <c r="C94">
        <v>7.75</v>
      </c>
      <c r="D94" t="s">
        <v>2230</v>
      </c>
      <c r="E94" t="s">
        <v>3984</v>
      </c>
      <c r="F94" s="18">
        <v>41974</v>
      </c>
      <c r="G94" s="18">
        <v>41979</v>
      </c>
      <c r="H94" s="18" t="str">
        <f>IFERROR(INDEX('Docs Signed Input'!B:B,MATCH('Nate''s Evolution'!$B94,'Docs Signed Input'!E:E,0)),"N")</f>
        <v>N</v>
      </c>
      <c r="I94" s="18" t="str">
        <f>IFERROR(INDEX('Docs Signed Input'!C:C,MATCH('Nate''s Evolution'!B94,'Docs Signed Input'!E:E,0)),"N")</f>
        <v>N</v>
      </c>
      <c r="J94" s="18">
        <v>42016</v>
      </c>
      <c r="L94" t="s">
        <v>2258</v>
      </c>
      <c r="M94" t="s">
        <v>3942</v>
      </c>
      <c r="N94">
        <v>7.75</v>
      </c>
      <c r="O94">
        <v>7.75</v>
      </c>
      <c r="P94" s="6">
        <v>42024.683738425927</v>
      </c>
      <c r="Q94" t="s">
        <v>3896</v>
      </c>
      <c r="R94" t="s">
        <v>3918</v>
      </c>
      <c r="S94" t="s">
        <v>3943</v>
      </c>
      <c r="T94">
        <v>13</v>
      </c>
      <c r="U94" t="b">
        <v>1</v>
      </c>
      <c r="Y94" s="6">
        <v>42037.431944444441</v>
      </c>
    </row>
    <row r="95" spans="1:25" x14ac:dyDescent="0.25">
      <c r="A95" t="s">
        <v>4767</v>
      </c>
      <c r="B95" t="s">
        <v>4768</v>
      </c>
      <c r="C95">
        <v>13.25</v>
      </c>
      <c r="D95" t="s">
        <v>2230</v>
      </c>
      <c r="E95" t="s">
        <v>3984</v>
      </c>
      <c r="F95" s="18">
        <v>41974</v>
      </c>
      <c r="G95" s="18">
        <v>41979</v>
      </c>
      <c r="H95" s="18" t="str">
        <f>IFERROR(INDEX('Docs Signed Input'!B:B,MATCH('Nate''s Evolution'!$B95,'Docs Signed Input'!E:E,0)),"N")</f>
        <v>Y</v>
      </c>
      <c r="I95" s="18" t="str">
        <f>IFERROR(INDEX('Docs Signed Input'!C:C,MATCH('Nate''s Evolution'!B95,'Docs Signed Input'!E:E,0)),"N")</f>
        <v>Y</v>
      </c>
      <c r="J95" s="18">
        <v>42004</v>
      </c>
      <c r="L95" t="s">
        <v>2258</v>
      </c>
      <c r="M95" t="s">
        <v>3926</v>
      </c>
      <c r="N95">
        <v>13</v>
      </c>
      <c r="O95">
        <v>13.25</v>
      </c>
      <c r="P95" s="6">
        <v>42016.817962962959</v>
      </c>
      <c r="Q95" t="s">
        <v>3896</v>
      </c>
      <c r="R95" t="s">
        <v>3918</v>
      </c>
      <c r="S95" t="s">
        <v>2591</v>
      </c>
      <c r="T95">
        <v>21</v>
      </c>
      <c r="U95" t="b">
        <v>1</v>
      </c>
      <c r="Y95" s="6">
        <v>42037.431944444441</v>
      </c>
    </row>
    <row r="96" spans="1:25" x14ac:dyDescent="0.25">
      <c r="A96" t="s">
        <v>5073</v>
      </c>
      <c r="B96" t="s">
        <v>5074</v>
      </c>
      <c r="C96">
        <v>16</v>
      </c>
      <c r="D96" t="s">
        <v>3893</v>
      </c>
      <c r="E96" t="s">
        <v>3894</v>
      </c>
      <c r="F96" s="18">
        <v>41974</v>
      </c>
      <c r="G96" s="18">
        <v>41979</v>
      </c>
      <c r="H96" s="18" t="str">
        <f>IFERROR(INDEX('Docs Signed Input'!B:B,MATCH('Nate''s Evolution'!$B96,'Docs Signed Input'!E:E,0)),"N")</f>
        <v>Y</v>
      </c>
      <c r="I96" s="18" t="str">
        <f>IFERROR(INDEX('Docs Signed Input'!C:C,MATCH('Nate''s Evolution'!B96,'Docs Signed Input'!E:E,0)),"N")</f>
        <v>N</v>
      </c>
      <c r="L96" t="s">
        <v>2258</v>
      </c>
      <c r="M96" t="s">
        <v>3926</v>
      </c>
      <c r="N96">
        <v>16</v>
      </c>
      <c r="O96">
        <v>19.25</v>
      </c>
      <c r="P96" s="6">
        <v>42035.818124999998</v>
      </c>
      <c r="Q96" t="s">
        <v>3896</v>
      </c>
      <c r="S96" t="s">
        <v>2591</v>
      </c>
      <c r="T96">
        <v>2</v>
      </c>
      <c r="X96" t="b">
        <v>1</v>
      </c>
      <c r="Y96" s="6">
        <v>42037.431944444441</v>
      </c>
    </row>
    <row r="97" spans="1:25" x14ac:dyDescent="0.25">
      <c r="A97" t="s">
        <v>5744</v>
      </c>
      <c r="B97" t="s">
        <v>5745</v>
      </c>
      <c r="C97">
        <v>5.5</v>
      </c>
      <c r="D97" t="s">
        <v>2230</v>
      </c>
      <c r="E97" t="s">
        <v>3984</v>
      </c>
      <c r="F97" s="18">
        <v>41974</v>
      </c>
      <c r="G97" s="18">
        <v>41979</v>
      </c>
      <c r="H97" s="18" t="str">
        <f>IFERROR(INDEX('Docs Signed Input'!B:B,MATCH('Nate''s Evolution'!$B97,'Docs Signed Input'!E:E,0)),"N")</f>
        <v>Y</v>
      </c>
      <c r="I97" s="18" t="str">
        <f>IFERROR(INDEX('Docs Signed Input'!C:C,MATCH('Nate''s Evolution'!B97,'Docs Signed Input'!E:E,0)),"N")</f>
        <v>Y</v>
      </c>
      <c r="J97" s="18">
        <v>41990</v>
      </c>
      <c r="L97" t="s">
        <v>2258</v>
      </c>
      <c r="M97" t="s">
        <v>3895</v>
      </c>
      <c r="N97">
        <v>5.5</v>
      </c>
      <c r="O97">
        <v>5.5</v>
      </c>
      <c r="P97" s="6">
        <v>42016.817962962959</v>
      </c>
      <c r="Q97" t="s">
        <v>3896</v>
      </c>
      <c r="S97" t="s">
        <v>2591</v>
      </c>
      <c r="T97">
        <v>21</v>
      </c>
      <c r="U97" t="b">
        <v>1</v>
      </c>
      <c r="Y97" s="6">
        <v>42037.431944444441</v>
      </c>
    </row>
    <row r="98" spans="1:25" x14ac:dyDescent="0.25">
      <c r="A98" t="s">
        <v>5837</v>
      </c>
      <c r="B98" t="s">
        <v>5838</v>
      </c>
      <c r="C98">
        <v>6.5</v>
      </c>
      <c r="D98" t="s">
        <v>3909</v>
      </c>
      <c r="E98" t="s">
        <v>3937</v>
      </c>
      <c r="F98" s="18">
        <v>41974</v>
      </c>
      <c r="G98" s="18">
        <v>41979</v>
      </c>
      <c r="H98" s="18" t="str">
        <f>IFERROR(INDEX('Docs Signed Input'!B:B,MATCH('Nate''s Evolution'!$B98,'Docs Signed Input'!E:E,0)),"N")</f>
        <v>N</v>
      </c>
      <c r="I98" s="18" t="str">
        <f>IFERROR(INDEX('Docs Signed Input'!C:C,MATCH('Nate''s Evolution'!B98,'Docs Signed Input'!E:E,0)),"N")</f>
        <v>N</v>
      </c>
      <c r="L98" t="s">
        <v>2258</v>
      </c>
      <c r="M98" t="s">
        <v>4317</v>
      </c>
      <c r="N98">
        <v>6.5</v>
      </c>
      <c r="O98">
        <v>6.5</v>
      </c>
      <c r="P98" s="6">
        <v>42002.592002314814</v>
      </c>
      <c r="Q98" t="s">
        <v>3896</v>
      </c>
      <c r="R98" t="s">
        <v>3915</v>
      </c>
      <c r="S98" t="s">
        <v>3566</v>
      </c>
      <c r="T98">
        <v>35</v>
      </c>
      <c r="V98" t="b">
        <v>1</v>
      </c>
      <c r="Y98" s="6">
        <v>42037.431944444441</v>
      </c>
    </row>
    <row r="99" spans="1:25" x14ac:dyDescent="0.25">
      <c r="A99" t="s">
        <v>6052</v>
      </c>
      <c r="B99" t="s">
        <v>6053</v>
      </c>
      <c r="C99">
        <v>5</v>
      </c>
      <c r="D99" t="s">
        <v>3909</v>
      </c>
      <c r="E99" t="s">
        <v>3937</v>
      </c>
      <c r="F99" s="18">
        <v>41974</v>
      </c>
      <c r="G99" s="18">
        <v>41979</v>
      </c>
      <c r="H99" s="18" t="str">
        <f>IFERROR(INDEX('Docs Signed Input'!B:B,MATCH('Nate''s Evolution'!$B99,'Docs Signed Input'!E:E,0)),"N")</f>
        <v>N</v>
      </c>
      <c r="I99" s="18" t="str">
        <f>IFERROR(INDEX('Docs Signed Input'!C:C,MATCH('Nate''s Evolution'!B99,'Docs Signed Input'!E:E,0)),"N")</f>
        <v>N</v>
      </c>
      <c r="L99" t="s">
        <v>2258</v>
      </c>
      <c r="M99" t="s">
        <v>4027</v>
      </c>
      <c r="N99">
        <v>5</v>
      </c>
      <c r="O99">
        <v>5</v>
      </c>
      <c r="P99" s="6">
        <v>42006.52783564815</v>
      </c>
      <c r="Q99" t="s">
        <v>3896</v>
      </c>
      <c r="R99" t="s">
        <v>3897</v>
      </c>
      <c r="S99" t="s">
        <v>3676</v>
      </c>
      <c r="T99">
        <v>31</v>
      </c>
      <c r="V99" t="b">
        <v>1</v>
      </c>
      <c r="Y99" s="6">
        <v>42037.431944444441</v>
      </c>
    </row>
    <row r="100" spans="1:25" x14ac:dyDescent="0.25">
      <c r="A100" t="s">
        <v>6073</v>
      </c>
      <c r="B100" t="s">
        <v>6074</v>
      </c>
      <c r="C100">
        <v>9</v>
      </c>
      <c r="D100" t="s">
        <v>3893</v>
      </c>
      <c r="E100" t="s">
        <v>3894</v>
      </c>
      <c r="F100" s="18">
        <v>41974</v>
      </c>
      <c r="G100" s="18">
        <v>41979</v>
      </c>
      <c r="H100" s="18" t="str">
        <f>IFERROR(INDEX('Docs Signed Input'!B:B,MATCH('Nate''s Evolution'!$B100,'Docs Signed Input'!E:E,0)),"N")</f>
        <v>Y</v>
      </c>
      <c r="I100" s="18" t="str">
        <f>IFERROR(INDEX('Docs Signed Input'!C:C,MATCH('Nate''s Evolution'!B100,'Docs Signed Input'!E:E,0)),"N")</f>
        <v>N</v>
      </c>
      <c r="L100" t="s">
        <v>2258</v>
      </c>
      <c r="M100" t="s">
        <v>3895</v>
      </c>
      <c r="N100">
        <v>8.75</v>
      </c>
      <c r="O100">
        <v>9</v>
      </c>
      <c r="P100" s="6">
        <v>42035.818124999998</v>
      </c>
      <c r="Q100" t="s">
        <v>3896</v>
      </c>
      <c r="R100" t="s">
        <v>4222</v>
      </c>
      <c r="S100" t="s">
        <v>3344</v>
      </c>
      <c r="T100">
        <v>2</v>
      </c>
      <c r="X100" t="b">
        <v>1</v>
      </c>
      <c r="Y100" s="6">
        <v>42037.431944444441</v>
      </c>
    </row>
    <row r="101" spans="1:25" x14ac:dyDescent="0.25">
      <c r="A101" t="s">
        <v>6284</v>
      </c>
      <c r="B101" t="s">
        <v>6285</v>
      </c>
      <c r="C101">
        <v>8.32</v>
      </c>
      <c r="D101" t="s">
        <v>3900</v>
      </c>
      <c r="E101" t="s">
        <v>3960</v>
      </c>
      <c r="F101" s="18">
        <v>41974</v>
      </c>
      <c r="G101" s="18">
        <v>41979</v>
      </c>
      <c r="H101" s="18" t="str">
        <f>IFERROR(INDEX('Docs Signed Input'!B:B,MATCH('Nate''s Evolution'!$B101,'Docs Signed Input'!E:E,0)),"N")</f>
        <v>Y</v>
      </c>
      <c r="I101" s="18" t="str">
        <f>IFERROR(INDEX('Docs Signed Input'!C:C,MATCH('Nate''s Evolution'!B101,'Docs Signed Input'!E:E,0)),"N")</f>
        <v>Y</v>
      </c>
      <c r="J101" s="18">
        <v>41986</v>
      </c>
      <c r="K101" s="18">
        <v>42016</v>
      </c>
      <c r="L101" t="s">
        <v>2258</v>
      </c>
      <c r="M101" t="s">
        <v>4048</v>
      </c>
      <c r="N101">
        <v>8</v>
      </c>
      <c r="O101">
        <v>8.32</v>
      </c>
      <c r="P101" s="6">
        <v>42030.751979166664</v>
      </c>
      <c r="Q101" t="s">
        <v>3896</v>
      </c>
      <c r="R101" t="s">
        <v>4400</v>
      </c>
      <c r="S101" t="s">
        <v>3581</v>
      </c>
      <c r="T101">
        <v>7</v>
      </c>
      <c r="W101" t="b">
        <v>1</v>
      </c>
      <c r="Y101" s="6">
        <v>42037.431944444441</v>
      </c>
    </row>
    <row r="102" spans="1:25" x14ac:dyDescent="0.25">
      <c r="A102" t="s">
        <v>6409</v>
      </c>
      <c r="B102" t="s">
        <v>6410</v>
      </c>
      <c r="C102">
        <v>7</v>
      </c>
      <c r="D102" t="s">
        <v>3893</v>
      </c>
      <c r="E102" t="s">
        <v>4117</v>
      </c>
      <c r="F102" s="18">
        <v>41974</v>
      </c>
      <c r="G102" s="18">
        <v>41979</v>
      </c>
      <c r="H102" s="18" t="str">
        <f>IFERROR(INDEX('Docs Signed Input'!B:B,MATCH('Nate''s Evolution'!$B102,'Docs Signed Input'!E:E,0)),"N")</f>
        <v>Y</v>
      </c>
      <c r="I102" s="18" t="str">
        <f>IFERROR(INDEX('Docs Signed Input'!C:C,MATCH('Nate''s Evolution'!B102,'Docs Signed Input'!E:E,0)),"N")</f>
        <v>N</v>
      </c>
      <c r="L102" t="s">
        <v>2258</v>
      </c>
      <c r="M102" t="s">
        <v>3926</v>
      </c>
      <c r="N102">
        <v>7</v>
      </c>
      <c r="O102">
        <v>7</v>
      </c>
      <c r="P102" s="6">
        <v>42035.818124999998</v>
      </c>
      <c r="Q102" t="s">
        <v>3896</v>
      </c>
      <c r="S102" t="s">
        <v>2591</v>
      </c>
      <c r="T102">
        <v>2</v>
      </c>
      <c r="X102" t="b">
        <v>1</v>
      </c>
      <c r="Y102" s="6">
        <v>42037.431944444441</v>
      </c>
    </row>
    <row r="103" spans="1:25" x14ac:dyDescent="0.25">
      <c r="A103" t="s">
        <v>6471</v>
      </c>
      <c r="B103" t="s">
        <v>6472</v>
      </c>
      <c r="C103">
        <v>7.75</v>
      </c>
      <c r="D103" t="s">
        <v>3893</v>
      </c>
      <c r="E103" t="s">
        <v>4117</v>
      </c>
      <c r="F103" s="18">
        <v>41974</v>
      </c>
      <c r="G103" s="18">
        <v>41979</v>
      </c>
      <c r="H103" s="18" t="str">
        <f>IFERROR(INDEX('Docs Signed Input'!B:B,MATCH('Nate''s Evolution'!$B103,'Docs Signed Input'!E:E,0)),"N")</f>
        <v>N</v>
      </c>
      <c r="I103" s="18" t="str">
        <f>IFERROR(INDEX('Docs Signed Input'!C:C,MATCH('Nate''s Evolution'!B103,'Docs Signed Input'!E:E,0)),"N")</f>
        <v>N</v>
      </c>
      <c r="L103" t="s">
        <v>2258</v>
      </c>
      <c r="M103" t="s">
        <v>3948</v>
      </c>
      <c r="N103">
        <v>7.75</v>
      </c>
      <c r="O103">
        <v>7.75</v>
      </c>
      <c r="P103" s="6">
        <v>42035.818124999998</v>
      </c>
      <c r="Q103" t="s">
        <v>3896</v>
      </c>
      <c r="S103" t="s">
        <v>3485</v>
      </c>
      <c r="T103">
        <v>2</v>
      </c>
      <c r="X103" t="b">
        <v>1</v>
      </c>
      <c r="Y103" s="6">
        <v>42037.431944444441</v>
      </c>
    </row>
    <row r="104" spans="1:25" x14ac:dyDescent="0.25">
      <c r="A104" t="s">
        <v>6476</v>
      </c>
      <c r="B104" t="s">
        <v>6477</v>
      </c>
      <c r="C104">
        <v>5.5</v>
      </c>
      <c r="D104" t="s">
        <v>3893</v>
      </c>
      <c r="E104" t="s">
        <v>3925</v>
      </c>
      <c r="F104" s="18">
        <v>41974</v>
      </c>
      <c r="G104" s="18">
        <v>41979</v>
      </c>
      <c r="H104" s="18" t="str">
        <f>IFERROR(INDEX('Docs Signed Input'!B:B,MATCH('Nate''s Evolution'!$B104,'Docs Signed Input'!E:E,0)),"N")</f>
        <v>Y</v>
      </c>
      <c r="I104" s="18" t="str">
        <f>IFERROR(INDEX('Docs Signed Input'!C:C,MATCH('Nate''s Evolution'!B104,'Docs Signed Input'!E:E,0)),"N")</f>
        <v>N</v>
      </c>
      <c r="J104" s="18">
        <v>42037</v>
      </c>
      <c r="L104" t="s">
        <v>2258</v>
      </c>
      <c r="M104" t="s">
        <v>3942</v>
      </c>
      <c r="N104">
        <v>5.5</v>
      </c>
      <c r="O104">
        <v>8.5</v>
      </c>
      <c r="P104" s="6">
        <v>42037.321400462963</v>
      </c>
      <c r="Q104" t="s">
        <v>3896</v>
      </c>
      <c r="R104" t="s">
        <v>4222</v>
      </c>
      <c r="S104" t="s">
        <v>2680</v>
      </c>
      <c r="T104">
        <v>0</v>
      </c>
      <c r="X104" t="b">
        <v>1</v>
      </c>
      <c r="Y104" s="6">
        <v>42037.431944444441</v>
      </c>
    </row>
    <row r="105" spans="1:25" x14ac:dyDescent="0.25">
      <c r="A105" t="s">
        <v>6515</v>
      </c>
      <c r="B105" t="s">
        <v>6516</v>
      </c>
      <c r="C105">
        <v>7</v>
      </c>
      <c r="D105" t="s">
        <v>3900</v>
      </c>
      <c r="E105" t="s">
        <v>3960</v>
      </c>
      <c r="F105" s="18">
        <v>41974</v>
      </c>
      <c r="G105" s="18">
        <v>41979</v>
      </c>
      <c r="H105" s="18" t="str">
        <f>IFERROR(INDEX('Docs Signed Input'!B:B,MATCH('Nate''s Evolution'!$B105,'Docs Signed Input'!E:E,0)),"N")</f>
        <v>Y</v>
      </c>
      <c r="I105" s="18" t="str">
        <f>IFERROR(INDEX('Docs Signed Input'!C:C,MATCH('Nate''s Evolution'!B105,'Docs Signed Input'!E:E,0)),"N")</f>
        <v>Y</v>
      </c>
      <c r="J105" s="18">
        <v>42018</v>
      </c>
      <c r="K105" s="18">
        <v>42030</v>
      </c>
      <c r="L105" t="s">
        <v>2258</v>
      </c>
      <c r="M105" t="s">
        <v>3942</v>
      </c>
      <c r="N105">
        <v>4</v>
      </c>
      <c r="O105">
        <v>7</v>
      </c>
      <c r="P105" s="6">
        <v>42031.553391203706</v>
      </c>
      <c r="Q105" t="s">
        <v>3896</v>
      </c>
      <c r="S105" t="s">
        <v>3943</v>
      </c>
      <c r="T105">
        <v>6</v>
      </c>
      <c r="W105" t="b">
        <v>1</v>
      </c>
      <c r="Y105" s="6">
        <v>42037.431944444441</v>
      </c>
    </row>
    <row r="106" spans="1:25" x14ac:dyDescent="0.25">
      <c r="A106" t="s">
        <v>7463</v>
      </c>
      <c r="B106" t="s">
        <v>7464</v>
      </c>
      <c r="C106">
        <v>8.25</v>
      </c>
      <c r="D106" t="s">
        <v>2230</v>
      </c>
      <c r="E106" t="s">
        <v>3984</v>
      </c>
      <c r="F106" s="18">
        <v>41974</v>
      </c>
      <c r="G106" s="18">
        <v>41979</v>
      </c>
      <c r="H106" s="18" t="str">
        <f>IFERROR(INDEX('Docs Signed Input'!B:B,MATCH('Nate''s Evolution'!$B106,'Docs Signed Input'!E:E,0)),"N")</f>
        <v>Y</v>
      </c>
      <c r="I106" s="18" t="str">
        <f>IFERROR(INDEX('Docs Signed Input'!C:C,MATCH('Nate''s Evolution'!B106,'Docs Signed Input'!E:E,0)),"N")</f>
        <v>Y</v>
      </c>
      <c r="J106" s="18">
        <v>42011</v>
      </c>
      <c r="L106" t="s">
        <v>2258</v>
      </c>
      <c r="M106" t="s">
        <v>3895</v>
      </c>
      <c r="N106">
        <v>8.25</v>
      </c>
      <c r="O106">
        <v>8.5</v>
      </c>
      <c r="P106" s="6">
        <v>42016.817962962959</v>
      </c>
      <c r="Q106" t="s">
        <v>3896</v>
      </c>
      <c r="S106" t="s">
        <v>2937</v>
      </c>
      <c r="T106">
        <v>21</v>
      </c>
      <c r="U106" t="b">
        <v>1</v>
      </c>
      <c r="Y106" s="6">
        <v>42037.431944444441</v>
      </c>
    </row>
    <row r="107" spans="1:25" x14ac:dyDescent="0.25">
      <c r="A107" t="s">
        <v>7543</v>
      </c>
      <c r="B107" t="s">
        <v>7544</v>
      </c>
      <c r="C107">
        <v>4.75</v>
      </c>
      <c r="D107" t="s">
        <v>2230</v>
      </c>
      <c r="E107" t="s">
        <v>3984</v>
      </c>
      <c r="F107" s="18">
        <v>41974</v>
      </c>
      <c r="G107" s="18">
        <v>41979</v>
      </c>
      <c r="H107" s="18" t="str">
        <f>IFERROR(INDEX('Docs Signed Input'!B:B,MATCH('Nate''s Evolution'!$B107,'Docs Signed Input'!E:E,0)),"N")</f>
        <v>N</v>
      </c>
      <c r="I107" s="18" t="str">
        <f>IFERROR(INDEX('Docs Signed Input'!C:C,MATCH('Nate''s Evolution'!B107,'Docs Signed Input'!E:E,0)),"N")</f>
        <v>N</v>
      </c>
      <c r="L107" t="s">
        <v>2258</v>
      </c>
      <c r="M107" t="s">
        <v>3895</v>
      </c>
      <c r="N107">
        <v>4.75</v>
      </c>
      <c r="O107">
        <v>6.75</v>
      </c>
      <c r="P107" s="6">
        <v>42016.817962962959</v>
      </c>
      <c r="Q107" t="s">
        <v>3896</v>
      </c>
      <c r="R107" t="s">
        <v>3915</v>
      </c>
      <c r="S107" t="s">
        <v>8524</v>
      </c>
      <c r="T107">
        <v>21</v>
      </c>
      <c r="U107" t="b">
        <v>1</v>
      </c>
      <c r="Y107" s="6">
        <v>42037.431944444441</v>
      </c>
    </row>
    <row r="108" spans="1:25" x14ac:dyDescent="0.25">
      <c r="A108" t="s">
        <v>7754</v>
      </c>
      <c r="B108" t="s">
        <v>7755</v>
      </c>
      <c r="C108">
        <v>13.5</v>
      </c>
      <c r="D108" t="s">
        <v>3922</v>
      </c>
      <c r="E108" t="s">
        <v>3923</v>
      </c>
      <c r="F108" s="18">
        <v>41974</v>
      </c>
      <c r="G108" s="18">
        <v>41979</v>
      </c>
      <c r="H108" s="18" t="str">
        <f>IFERROR(INDEX('Docs Signed Input'!B:B,MATCH('Nate''s Evolution'!$B108,'Docs Signed Input'!E:E,0)),"N")</f>
        <v>Y</v>
      </c>
      <c r="I108" s="18" t="str">
        <f>IFERROR(INDEX('Docs Signed Input'!C:C,MATCH('Nate''s Evolution'!B108,'Docs Signed Input'!E:E,0)),"N")</f>
        <v>Y</v>
      </c>
      <c r="J108" s="18">
        <v>41992</v>
      </c>
      <c r="L108" t="s">
        <v>2258</v>
      </c>
      <c r="M108" t="s">
        <v>3942</v>
      </c>
      <c r="N108">
        <v>13.5</v>
      </c>
      <c r="O108">
        <v>13.5</v>
      </c>
      <c r="P108" s="6">
        <v>42035.818124999998</v>
      </c>
      <c r="Q108" t="s">
        <v>3896</v>
      </c>
      <c r="R108" t="s">
        <v>3918</v>
      </c>
      <c r="S108" t="s">
        <v>3545</v>
      </c>
      <c r="T108">
        <v>2</v>
      </c>
      <c r="X108" t="b">
        <v>1</v>
      </c>
      <c r="Y108" s="6">
        <v>42037.431944444441</v>
      </c>
    </row>
    <row r="109" spans="1:25" x14ac:dyDescent="0.25">
      <c r="A109" t="s">
        <v>7871</v>
      </c>
      <c r="B109" t="s">
        <v>7872</v>
      </c>
      <c r="C109">
        <v>6.75</v>
      </c>
      <c r="D109" t="s">
        <v>3893</v>
      </c>
      <c r="E109" t="s">
        <v>4117</v>
      </c>
      <c r="F109" s="18">
        <v>41974</v>
      </c>
      <c r="G109" s="18">
        <v>41979</v>
      </c>
      <c r="H109" s="18" t="str">
        <f>IFERROR(INDEX('Docs Signed Input'!B:B,MATCH('Nate''s Evolution'!$B109,'Docs Signed Input'!E:E,0)),"N")</f>
        <v>Y</v>
      </c>
      <c r="I109" s="18" t="str">
        <f>IFERROR(INDEX('Docs Signed Input'!C:C,MATCH('Nate''s Evolution'!B109,'Docs Signed Input'!E:E,0)),"N")</f>
        <v>N</v>
      </c>
      <c r="L109" t="s">
        <v>2258</v>
      </c>
      <c r="M109" t="s">
        <v>12287</v>
      </c>
      <c r="N109">
        <v>6.75</v>
      </c>
      <c r="O109">
        <v>6.75</v>
      </c>
      <c r="P109" s="6">
        <v>42035.818124999998</v>
      </c>
      <c r="Q109" t="s">
        <v>3896</v>
      </c>
      <c r="R109" t="s">
        <v>11687</v>
      </c>
      <c r="S109" t="s">
        <v>3634</v>
      </c>
      <c r="T109">
        <v>2</v>
      </c>
      <c r="X109" t="b">
        <v>1</v>
      </c>
      <c r="Y109" s="6">
        <v>42037.431944444441</v>
      </c>
    </row>
    <row r="110" spans="1:25" x14ac:dyDescent="0.25">
      <c r="A110" t="s">
        <v>8251</v>
      </c>
      <c r="B110" t="s">
        <v>8252</v>
      </c>
      <c r="C110">
        <v>10.5</v>
      </c>
      <c r="D110" t="s">
        <v>3893</v>
      </c>
      <c r="E110" t="s">
        <v>3894</v>
      </c>
      <c r="F110" s="18">
        <v>41974</v>
      </c>
      <c r="G110" s="18">
        <v>41979</v>
      </c>
      <c r="H110" s="18" t="str">
        <f>IFERROR(INDEX('Docs Signed Input'!B:B,MATCH('Nate''s Evolution'!$B110,'Docs Signed Input'!E:E,0)),"N")</f>
        <v>Y</v>
      </c>
      <c r="I110" s="18" t="str">
        <f>IFERROR(INDEX('Docs Signed Input'!C:C,MATCH('Nate''s Evolution'!B110,'Docs Signed Input'!E:E,0)),"N")</f>
        <v>N</v>
      </c>
      <c r="L110" t="s">
        <v>2258</v>
      </c>
      <c r="M110" t="s">
        <v>3895</v>
      </c>
      <c r="N110">
        <v>10.5</v>
      </c>
      <c r="O110">
        <v>14</v>
      </c>
      <c r="P110" s="6">
        <v>42035.818124999998</v>
      </c>
      <c r="Q110" t="s">
        <v>3896</v>
      </c>
      <c r="S110" t="s">
        <v>2587</v>
      </c>
      <c r="T110">
        <v>2</v>
      </c>
      <c r="X110" t="b">
        <v>1</v>
      </c>
      <c r="Y110" s="6">
        <v>42037.431944444441</v>
      </c>
    </row>
    <row r="111" spans="1:25" x14ac:dyDescent="0.25">
      <c r="A111" t="s">
        <v>8700</v>
      </c>
      <c r="B111" t="s">
        <v>8701</v>
      </c>
      <c r="C111">
        <v>8.5</v>
      </c>
      <c r="D111" t="s">
        <v>3922</v>
      </c>
      <c r="E111" t="s">
        <v>3985</v>
      </c>
      <c r="F111" s="18">
        <v>41974</v>
      </c>
      <c r="G111" s="18">
        <v>41979</v>
      </c>
      <c r="H111" s="18" t="str">
        <f>IFERROR(INDEX('Docs Signed Input'!B:B,MATCH('Nate''s Evolution'!$B111,'Docs Signed Input'!E:E,0)),"N")</f>
        <v>Y</v>
      </c>
      <c r="I111" s="18" t="str">
        <f>IFERROR(INDEX('Docs Signed Input'!C:C,MATCH('Nate''s Evolution'!B111,'Docs Signed Input'!E:E,0)),"N")</f>
        <v>Y</v>
      </c>
      <c r="J111" s="18">
        <v>42018</v>
      </c>
      <c r="L111" t="s">
        <v>2258</v>
      </c>
      <c r="M111" t="s">
        <v>3895</v>
      </c>
      <c r="N111">
        <v>4.25</v>
      </c>
      <c r="O111">
        <v>8.5</v>
      </c>
      <c r="P111" s="6">
        <v>42024.696064814816</v>
      </c>
      <c r="Q111" t="s">
        <v>3896</v>
      </c>
      <c r="R111" t="s">
        <v>4222</v>
      </c>
      <c r="S111" t="s">
        <v>3344</v>
      </c>
      <c r="T111">
        <v>13</v>
      </c>
      <c r="X111" t="b">
        <v>1</v>
      </c>
      <c r="Y111" s="6">
        <v>42037.431944444441</v>
      </c>
    </row>
    <row r="112" spans="1:25" x14ac:dyDescent="0.25">
      <c r="A112" t="s">
        <v>8773</v>
      </c>
      <c r="B112" t="s">
        <v>8774</v>
      </c>
      <c r="C112">
        <v>11.22</v>
      </c>
      <c r="D112" t="s">
        <v>3893</v>
      </c>
      <c r="E112" t="s">
        <v>3916</v>
      </c>
      <c r="F112" s="18">
        <v>41974</v>
      </c>
      <c r="G112" s="18">
        <v>41979</v>
      </c>
      <c r="H112" s="18" t="str">
        <f>IFERROR(INDEX('Docs Signed Input'!B:B,MATCH('Nate''s Evolution'!$B112,'Docs Signed Input'!E:E,0)),"N")</f>
        <v>N</v>
      </c>
      <c r="I112" s="18" t="str">
        <f>IFERROR(INDEX('Docs Signed Input'!C:C,MATCH('Nate''s Evolution'!B112,'Docs Signed Input'!E:E,0)),"N")</f>
        <v>N</v>
      </c>
      <c r="L112" t="s">
        <v>2258</v>
      </c>
      <c r="M112" t="s">
        <v>3932</v>
      </c>
      <c r="N112">
        <v>10.25</v>
      </c>
      <c r="O112">
        <v>11.22</v>
      </c>
      <c r="P112" s="6">
        <v>42035.818124999998</v>
      </c>
      <c r="Q112" t="s">
        <v>3896</v>
      </c>
      <c r="R112" t="s">
        <v>4198</v>
      </c>
      <c r="S112" t="s">
        <v>3547</v>
      </c>
      <c r="T112">
        <v>2</v>
      </c>
      <c r="X112" t="b">
        <v>1</v>
      </c>
      <c r="Y112" s="6">
        <v>42037.431944444441</v>
      </c>
    </row>
    <row r="113" spans="1:25" x14ac:dyDescent="0.25">
      <c r="A113" t="s">
        <v>8864</v>
      </c>
      <c r="B113" t="s">
        <v>8865</v>
      </c>
      <c r="C113">
        <v>5.5</v>
      </c>
      <c r="D113" t="s">
        <v>2230</v>
      </c>
      <c r="E113" t="s">
        <v>3984</v>
      </c>
      <c r="F113" s="18">
        <v>41974</v>
      </c>
      <c r="G113" s="18">
        <v>41979</v>
      </c>
      <c r="H113" s="18" t="str">
        <f>IFERROR(INDEX('Docs Signed Input'!B:B,MATCH('Nate''s Evolution'!$B113,'Docs Signed Input'!E:E,0)),"N")</f>
        <v>N</v>
      </c>
      <c r="I113" s="18" t="str">
        <f>IFERROR(INDEX('Docs Signed Input'!C:C,MATCH('Nate''s Evolution'!B113,'Docs Signed Input'!E:E,0)),"N")</f>
        <v>N</v>
      </c>
      <c r="L113" t="s">
        <v>2258</v>
      </c>
      <c r="M113" t="s">
        <v>3948</v>
      </c>
      <c r="N113">
        <v>5.5</v>
      </c>
      <c r="O113">
        <v>5.5</v>
      </c>
      <c r="P113" s="6">
        <v>42013.58315972222</v>
      </c>
      <c r="Q113" t="s">
        <v>3896</v>
      </c>
      <c r="R113" t="s">
        <v>3897</v>
      </c>
      <c r="S113" t="s">
        <v>2251</v>
      </c>
      <c r="T113">
        <v>24</v>
      </c>
      <c r="U113" t="b">
        <v>1</v>
      </c>
      <c r="Y113" s="6">
        <v>42037.431944444441</v>
      </c>
    </row>
    <row r="114" spans="1:25" x14ac:dyDescent="0.25">
      <c r="A114" t="s">
        <v>8876</v>
      </c>
      <c r="B114" t="s">
        <v>8877</v>
      </c>
      <c r="C114">
        <v>15.25</v>
      </c>
      <c r="D114" t="s">
        <v>3893</v>
      </c>
      <c r="E114" t="s">
        <v>3894</v>
      </c>
      <c r="F114" s="18">
        <v>41974</v>
      </c>
      <c r="G114" s="18">
        <v>41979</v>
      </c>
      <c r="H114" s="18" t="str">
        <f>IFERROR(INDEX('Docs Signed Input'!B:B,MATCH('Nate''s Evolution'!$B114,'Docs Signed Input'!E:E,0)),"N")</f>
        <v>Y</v>
      </c>
      <c r="I114" s="18" t="str">
        <f>IFERROR(INDEX('Docs Signed Input'!C:C,MATCH('Nate''s Evolution'!B114,'Docs Signed Input'!E:E,0)),"N")</f>
        <v>N</v>
      </c>
      <c r="L114" t="s">
        <v>2258</v>
      </c>
      <c r="M114" t="s">
        <v>3926</v>
      </c>
      <c r="N114">
        <v>15.25</v>
      </c>
      <c r="O114">
        <v>15.75</v>
      </c>
      <c r="P114" s="6">
        <v>42035.818124999998</v>
      </c>
      <c r="Q114" t="s">
        <v>3896</v>
      </c>
      <c r="S114" t="s">
        <v>2591</v>
      </c>
      <c r="T114">
        <v>2</v>
      </c>
      <c r="X114" t="b">
        <v>1</v>
      </c>
      <c r="Y114" s="6">
        <v>42037.431944444441</v>
      </c>
    </row>
    <row r="115" spans="1:25" x14ac:dyDescent="0.25">
      <c r="A115" t="s">
        <v>8955</v>
      </c>
      <c r="B115" t="s">
        <v>8956</v>
      </c>
      <c r="C115">
        <v>13.5</v>
      </c>
      <c r="D115" t="s">
        <v>3893</v>
      </c>
      <c r="E115" t="s">
        <v>3894</v>
      </c>
      <c r="F115" s="18">
        <v>41974</v>
      </c>
      <c r="G115" s="18">
        <v>41979</v>
      </c>
      <c r="H115" s="18" t="str">
        <f>IFERROR(INDEX('Docs Signed Input'!B:B,MATCH('Nate''s Evolution'!$B115,'Docs Signed Input'!E:E,0)),"N")</f>
        <v>Y</v>
      </c>
      <c r="I115" s="18" t="str">
        <f>IFERROR(INDEX('Docs Signed Input'!C:C,MATCH('Nate''s Evolution'!B115,'Docs Signed Input'!E:E,0)),"N")</f>
        <v>N</v>
      </c>
      <c r="L115" t="s">
        <v>2258</v>
      </c>
      <c r="M115" t="s">
        <v>3926</v>
      </c>
      <c r="N115">
        <v>13.5</v>
      </c>
      <c r="O115">
        <v>14.25</v>
      </c>
      <c r="P115" s="6">
        <v>42035.818124999998</v>
      </c>
      <c r="Q115" t="s">
        <v>3896</v>
      </c>
      <c r="S115" t="s">
        <v>2591</v>
      </c>
      <c r="T115">
        <v>2</v>
      </c>
      <c r="X115" t="b">
        <v>1</v>
      </c>
      <c r="Y115" s="6">
        <v>42037.431944444441</v>
      </c>
    </row>
    <row r="116" spans="1:25" x14ac:dyDescent="0.25">
      <c r="A116" t="s">
        <v>8977</v>
      </c>
      <c r="B116" t="s">
        <v>8978</v>
      </c>
      <c r="C116">
        <v>8.75</v>
      </c>
      <c r="D116" t="s">
        <v>3909</v>
      </c>
      <c r="E116" t="s">
        <v>3937</v>
      </c>
      <c r="F116" s="18">
        <v>41974</v>
      </c>
      <c r="G116" s="18">
        <v>41979</v>
      </c>
      <c r="H116" s="18" t="str">
        <f>IFERROR(INDEX('Docs Signed Input'!B:B,MATCH('Nate''s Evolution'!$B116,'Docs Signed Input'!E:E,0)),"N")</f>
        <v>N</v>
      </c>
      <c r="I116" s="18" t="str">
        <f>IFERROR(INDEX('Docs Signed Input'!C:C,MATCH('Nate''s Evolution'!B116,'Docs Signed Input'!E:E,0)),"N")</f>
        <v>N</v>
      </c>
      <c r="L116" t="s">
        <v>2258</v>
      </c>
      <c r="M116" t="s">
        <v>3932</v>
      </c>
      <c r="N116">
        <v>8.75</v>
      </c>
      <c r="O116">
        <v>8.75</v>
      </c>
      <c r="P116" s="6">
        <v>42010.595486111109</v>
      </c>
      <c r="Q116" t="s">
        <v>3896</v>
      </c>
      <c r="R116" t="s">
        <v>11563</v>
      </c>
      <c r="S116" t="s">
        <v>3718</v>
      </c>
      <c r="T116">
        <v>27</v>
      </c>
      <c r="V116" t="b">
        <v>1</v>
      </c>
      <c r="Y116" s="6">
        <v>42037.431944444441</v>
      </c>
    </row>
    <row r="117" spans="1:25" x14ac:dyDescent="0.25">
      <c r="A117" t="s">
        <v>9003</v>
      </c>
      <c r="B117" t="s">
        <v>9004</v>
      </c>
      <c r="C117">
        <v>7.75</v>
      </c>
      <c r="D117" t="s">
        <v>2230</v>
      </c>
      <c r="E117" t="s">
        <v>3984</v>
      </c>
      <c r="F117" s="18">
        <v>41974</v>
      </c>
      <c r="G117" s="18">
        <v>41979</v>
      </c>
      <c r="H117" s="18" t="str">
        <f>IFERROR(INDEX('Docs Signed Input'!B:B,MATCH('Nate''s Evolution'!$B117,'Docs Signed Input'!E:E,0)),"N")</f>
        <v>N</v>
      </c>
      <c r="I117" s="18" t="str">
        <f>IFERROR(INDEX('Docs Signed Input'!C:C,MATCH('Nate''s Evolution'!B117,'Docs Signed Input'!E:E,0)),"N")</f>
        <v>N</v>
      </c>
      <c r="L117" t="s">
        <v>2258</v>
      </c>
      <c r="M117" t="s">
        <v>3895</v>
      </c>
      <c r="N117">
        <v>7.75</v>
      </c>
      <c r="O117">
        <v>7.75</v>
      </c>
      <c r="P117" s="6">
        <v>41995.818009259259</v>
      </c>
      <c r="Q117" t="s">
        <v>3896</v>
      </c>
      <c r="R117" t="s">
        <v>3897</v>
      </c>
      <c r="S117" t="s">
        <v>2937</v>
      </c>
      <c r="T117">
        <v>42</v>
      </c>
      <c r="U117" t="b">
        <v>1</v>
      </c>
      <c r="Y117" s="6">
        <v>42037.431944444441</v>
      </c>
    </row>
    <row r="118" spans="1:25" x14ac:dyDescent="0.25">
      <c r="A118" t="s">
        <v>9256</v>
      </c>
      <c r="B118" t="s">
        <v>9257</v>
      </c>
      <c r="C118">
        <v>3.8250000000000002</v>
      </c>
      <c r="D118" t="s">
        <v>3893</v>
      </c>
      <c r="E118" t="s">
        <v>3894</v>
      </c>
      <c r="F118" s="18">
        <v>41974</v>
      </c>
      <c r="G118" s="18">
        <v>41979</v>
      </c>
      <c r="H118" s="18" t="str">
        <f>IFERROR(INDEX('Docs Signed Input'!B:B,MATCH('Nate''s Evolution'!$B118,'Docs Signed Input'!E:E,0)),"N")</f>
        <v>N</v>
      </c>
      <c r="I118" s="18" t="str">
        <f>IFERROR(INDEX('Docs Signed Input'!C:C,MATCH('Nate''s Evolution'!B118,'Docs Signed Input'!E:E,0)),"N")</f>
        <v>Y</v>
      </c>
      <c r="J118" s="18">
        <v>41983</v>
      </c>
      <c r="L118" t="s">
        <v>2258</v>
      </c>
      <c r="M118" t="s">
        <v>3933</v>
      </c>
      <c r="N118">
        <v>3.75</v>
      </c>
      <c r="O118">
        <v>3.8250000000000002</v>
      </c>
      <c r="P118" s="6">
        <v>42035.818124999998</v>
      </c>
      <c r="Q118" t="s">
        <v>3896</v>
      </c>
      <c r="R118" t="s">
        <v>3918</v>
      </c>
      <c r="S118" t="s">
        <v>2275</v>
      </c>
      <c r="T118">
        <v>2</v>
      </c>
      <c r="X118" t="b">
        <v>1</v>
      </c>
      <c r="Y118" s="6">
        <v>42037.431944444441</v>
      </c>
    </row>
    <row r="119" spans="1:25" x14ac:dyDescent="0.25">
      <c r="A119" t="s">
        <v>9281</v>
      </c>
      <c r="B119" t="s">
        <v>9282</v>
      </c>
      <c r="C119">
        <v>7.25</v>
      </c>
      <c r="D119" t="s">
        <v>3893</v>
      </c>
      <c r="E119" t="s">
        <v>4117</v>
      </c>
      <c r="F119" s="18">
        <v>41974</v>
      </c>
      <c r="G119" s="18">
        <v>41979</v>
      </c>
      <c r="H119" s="18" t="str">
        <f>IFERROR(INDEX('Docs Signed Input'!B:B,MATCH('Nate''s Evolution'!$B119,'Docs Signed Input'!E:E,0)),"N")</f>
        <v>N</v>
      </c>
      <c r="I119" s="18" t="str">
        <f>IFERROR(INDEX('Docs Signed Input'!C:C,MATCH('Nate''s Evolution'!B119,'Docs Signed Input'!E:E,0)),"N")</f>
        <v>N</v>
      </c>
      <c r="L119" t="s">
        <v>2258</v>
      </c>
      <c r="M119" t="s">
        <v>3932</v>
      </c>
      <c r="N119">
        <v>7.25</v>
      </c>
      <c r="O119">
        <v>7.25</v>
      </c>
      <c r="P119" s="6">
        <v>42035.818124999998</v>
      </c>
      <c r="Q119" t="s">
        <v>3896</v>
      </c>
      <c r="R119" t="s">
        <v>3897</v>
      </c>
      <c r="S119" t="s">
        <v>3758</v>
      </c>
      <c r="T119">
        <v>2</v>
      </c>
      <c r="X119" t="b">
        <v>1</v>
      </c>
      <c r="Y119" s="6">
        <v>42037.431944444441</v>
      </c>
    </row>
    <row r="120" spans="1:25" x14ac:dyDescent="0.25">
      <c r="A120" t="s">
        <v>9316</v>
      </c>
      <c r="B120" t="s">
        <v>9317</v>
      </c>
      <c r="C120">
        <v>7.65</v>
      </c>
      <c r="D120" t="s">
        <v>3893</v>
      </c>
      <c r="E120" t="s">
        <v>3894</v>
      </c>
      <c r="F120" s="18">
        <v>41974</v>
      </c>
      <c r="G120" s="18">
        <v>41979</v>
      </c>
      <c r="H120" s="18" t="str">
        <f>IFERROR(INDEX('Docs Signed Input'!B:B,MATCH('Nate''s Evolution'!$B120,'Docs Signed Input'!E:E,0)),"N")</f>
        <v>N</v>
      </c>
      <c r="I120" s="18" t="str">
        <f>IFERROR(INDEX('Docs Signed Input'!C:C,MATCH('Nate''s Evolution'!B120,'Docs Signed Input'!E:E,0)),"N")</f>
        <v>N</v>
      </c>
      <c r="L120" t="s">
        <v>2258</v>
      </c>
      <c r="M120" t="s">
        <v>3933</v>
      </c>
      <c r="N120">
        <v>7.65</v>
      </c>
      <c r="O120">
        <v>10.199999999999999</v>
      </c>
      <c r="P120" s="6">
        <v>42035.818124999998</v>
      </c>
      <c r="Q120" t="s">
        <v>3896</v>
      </c>
      <c r="R120" t="s">
        <v>11563</v>
      </c>
      <c r="S120" t="s">
        <v>2275</v>
      </c>
      <c r="T120">
        <v>2</v>
      </c>
      <c r="X120" t="b">
        <v>1</v>
      </c>
      <c r="Y120" s="6">
        <v>42037.431944444441</v>
      </c>
    </row>
    <row r="121" spans="1:25" x14ac:dyDescent="0.25">
      <c r="A121" t="s">
        <v>9318</v>
      </c>
      <c r="B121" t="s">
        <v>9319</v>
      </c>
      <c r="C121">
        <v>5.0999999999999996</v>
      </c>
      <c r="D121" t="s">
        <v>3893</v>
      </c>
      <c r="E121" t="s">
        <v>3894</v>
      </c>
      <c r="F121" s="18">
        <v>41974</v>
      </c>
      <c r="G121" s="18">
        <v>41979</v>
      </c>
      <c r="H121" s="18" t="str">
        <f>IFERROR(INDEX('Docs Signed Input'!B:B,MATCH('Nate''s Evolution'!$B121,'Docs Signed Input'!E:E,0)),"N")</f>
        <v>N</v>
      </c>
      <c r="I121" s="18" t="str">
        <f>IFERROR(INDEX('Docs Signed Input'!C:C,MATCH('Nate''s Evolution'!B121,'Docs Signed Input'!E:E,0)),"N")</f>
        <v>Y</v>
      </c>
      <c r="J121" s="18">
        <v>41983</v>
      </c>
      <c r="L121" t="s">
        <v>2258</v>
      </c>
      <c r="M121" t="s">
        <v>3933</v>
      </c>
      <c r="N121">
        <v>5</v>
      </c>
      <c r="O121">
        <v>5.0999999999999996</v>
      </c>
      <c r="P121" s="6">
        <v>42035.818124999998</v>
      </c>
      <c r="Q121" t="s">
        <v>3896</v>
      </c>
      <c r="R121" t="s">
        <v>3897</v>
      </c>
      <c r="S121" t="s">
        <v>2275</v>
      </c>
      <c r="T121">
        <v>2</v>
      </c>
      <c r="X121" t="b">
        <v>1</v>
      </c>
      <c r="Y121" s="6">
        <v>42037.431944444441</v>
      </c>
    </row>
    <row r="122" spans="1:25" x14ac:dyDescent="0.25">
      <c r="A122" t="s">
        <v>9527</v>
      </c>
      <c r="B122" t="s">
        <v>9528</v>
      </c>
      <c r="C122">
        <v>10.199999999999999</v>
      </c>
      <c r="D122" t="s">
        <v>3893</v>
      </c>
      <c r="E122" t="s">
        <v>3925</v>
      </c>
      <c r="F122" s="18">
        <v>41974</v>
      </c>
      <c r="G122" s="18">
        <v>41979</v>
      </c>
      <c r="H122" s="18" t="str">
        <f>IFERROR(INDEX('Docs Signed Input'!B:B,MATCH('Nate''s Evolution'!$B122,'Docs Signed Input'!E:E,0)),"N")</f>
        <v>N</v>
      </c>
      <c r="I122" s="18" t="str">
        <f>IFERROR(INDEX('Docs Signed Input'!C:C,MATCH('Nate''s Evolution'!B122,'Docs Signed Input'!E:E,0)),"N")</f>
        <v>Y</v>
      </c>
      <c r="J122" s="18">
        <v>41985</v>
      </c>
      <c r="L122" t="s">
        <v>2258</v>
      </c>
      <c r="M122" t="s">
        <v>3932</v>
      </c>
      <c r="N122">
        <v>8.25</v>
      </c>
      <c r="O122">
        <v>10.199999999999999</v>
      </c>
      <c r="P122" s="6">
        <v>42035.818124999998</v>
      </c>
      <c r="Q122" t="s">
        <v>3896</v>
      </c>
      <c r="R122" t="s">
        <v>3897</v>
      </c>
      <c r="S122" t="s">
        <v>3511</v>
      </c>
      <c r="T122">
        <v>2</v>
      </c>
      <c r="X122" t="b">
        <v>1</v>
      </c>
      <c r="Y122" s="6">
        <v>42037.431944444441</v>
      </c>
    </row>
    <row r="123" spans="1:25" x14ac:dyDescent="0.25">
      <c r="A123" t="s">
        <v>9874</v>
      </c>
      <c r="B123" t="s">
        <v>9875</v>
      </c>
      <c r="C123">
        <v>6.375</v>
      </c>
      <c r="D123" t="s">
        <v>3893</v>
      </c>
      <c r="E123" t="s">
        <v>3894</v>
      </c>
      <c r="F123" s="18">
        <v>41974</v>
      </c>
      <c r="G123" s="18">
        <v>41979</v>
      </c>
      <c r="H123" s="18" t="str">
        <f>IFERROR(INDEX('Docs Signed Input'!B:B,MATCH('Nate''s Evolution'!$B123,'Docs Signed Input'!E:E,0)),"N")</f>
        <v>N</v>
      </c>
      <c r="I123" s="18" t="str">
        <f>IFERROR(INDEX('Docs Signed Input'!C:C,MATCH('Nate''s Evolution'!B123,'Docs Signed Input'!E:E,0)),"N")</f>
        <v>Y</v>
      </c>
      <c r="J123" s="18">
        <v>41990</v>
      </c>
      <c r="L123" t="s">
        <v>2258</v>
      </c>
      <c r="M123" t="s">
        <v>3948</v>
      </c>
      <c r="N123">
        <v>6.25</v>
      </c>
      <c r="O123">
        <v>6.375</v>
      </c>
      <c r="P123" s="6">
        <v>42035.818124999998</v>
      </c>
      <c r="Q123" t="s">
        <v>3896</v>
      </c>
      <c r="R123" t="s">
        <v>11563</v>
      </c>
      <c r="S123" t="s">
        <v>2889</v>
      </c>
      <c r="T123">
        <v>2</v>
      </c>
      <c r="X123" t="b">
        <v>1</v>
      </c>
      <c r="Y123" s="6">
        <v>42037.431944444441</v>
      </c>
    </row>
    <row r="124" spans="1:25" x14ac:dyDescent="0.25">
      <c r="A124" t="s">
        <v>10646</v>
      </c>
      <c r="B124" t="s">
        <v>10647</v>
      </c>
      <c r="C124">
        <v>4.9400000000000004</v>
      </c>
      <c r="D124" t="s">
        <v>2230</v>
      </c>
      <c r="E124" t="s">
        <v>3984</v>
      </c>
      <c r="F124" s="18">
        <v>41974</v>
      </c>
      <c r="G124" s="18">
        <v>41979</v>
      </c>
      <c r="H124" s="18" t="str">
        <f>IFERROR(INDEX('Docs Signed Input'!B:B,MATCH('Nate''s Evolution'!$B124,'Docs Signed Input'!E:E,0)),"N")</f>
        <v>Y</v>
      </c>
      <c r="I124" s="18" t="str">
        <f>IFERROR(INDEX('Docs Signed Input'!C:C,MATCH('Nate''s Evolution'!B124,'Docs Signed Input'!E:E,0)),"N")</f>
        <v>N</v>
      </c>
      <c r="L124" t="s">
        <v>2258</v>
      </c>
      <c r="M124" t="s">
        <v>4677</v>
      </c>
      <c r="N124">
        <v>4.9400000000000004</v>
      </c>
      <c r="O124">
        <v>5</v>
      </c>
      <c r="P124" s="6">
        <v>42011.817465277774</v>
      </c>
      <c r="Q124" t="s">
        <v>3896</v>
      </c>
      <c r="R124" t="s">
        <v>4598</v>
      </c>
      <c r="S124" t="s">
        <v>3634</v>
      </c>
      <c r="T124">
        <v>26</v>
      </c>
      <c r="U124" t="b">
        <v>1</v>
      </c>
      <c r="Y124" s="6">
        <v>42037.431944444441</v>
      </c>
    </row>
    <row r="125" spans="1:25" x14ac:dyDescent="0.25">
      <c r="A125" t="s">
        <v>11136</v>
      </c>
      <c r="B125" t="s">
        <v>11137</v>
      </c>
      <c r="C125">
        <v>5.61</v>
      </c>
      <c r="D125" t="s">
        <v>3893</v>
      </c>
      <c r="E125" t="s">
        <v>3894</v>
      </c>
      <c r="F125" s="18">
        <v>41974</v>
      </c>
      <c r="G125" s="18">
        <v>41979</v>
      </c>
      <c r="H125" s="18" t="str">
        <f>IFERROR(INDEX('Docs Signed Input'!B:B,MATCH('Nate''s Evolution'!$B125,'Docs Signed Input'!E:E,0)),"N")</f>
        <v>N</v>
      </c>
      <c r="I125" s="18" t="str">
        <f>IFERROR(INDEX('Docs Signed Input'!C:C,MATCH('Nate''s Evolution'!B125,'Docs Signed Input'!E:E,0)),"N")</f>
        <v>N</v>
      </c>
      <c r="L125" t="s">
        <v>2258</v>
      </c>
      <c r="M125" t="s">
        <v>12770</v>
      </c>
      <c r="N125">
        <v>4.5</v>
      </c>
      <c r="O125">
        <v>5.61</v>
      </c>
      <c r="P125" s="6">
        <v>42035.818124999998</v>
      </c>
      <c r="Q125" t="s">
        <v>3896</v>
      </c>
      <c r="S125" t="s">
        <v>3376</v>
      </c>
      <c r="T125">
        <v>2</v>
      </c>
      <c r="X125" t="b">
        <v>1</v>
      </c>
      <c r="Y125" s="6">
        <v>42037.431944444441</v>
      </c>
    </row>
    <row r="126" spans="1:25" x14ac:dyDescent="0.25">
      <c r="A126" t="s">
        <v>11181</v>
      </c>
      <c r="B126" t="s">
        <v>11182</v>
      </c>
      <c r="C126">
        <v>16</v>
      </c>
      <c r="D126" t="s">
        <v>3893</v>
      </c>
      <c r="E126" t="s">
        <v>4117</v>
      </c>
      <c r="F126" s="18">
        <v>41974</v>
      </c>
      <c r="G126" s="18">
        <v>41979</v>
      </c>
      <c r="H126" s="18" t="str">
        <f>IFERROR(INDEX('Docs Signed Input'!B:B,MATCH('Nate''s Evolution'!$B126,'Docs Signed Input'!E:E,0)),"N")</f>
        <v>N</v>
      </c>
      <c r="I126" s="18" t="str">
        <f>IFERROR(INDEX('Docs Signed Input'!C:C,MATCH('Nate''s Evolution'!B126,'Docs Signed Input'!E:E,0)),"N")</f>
        <v>N</v>
      </c>
      <c r="L126" t="s">
        <v>2258</v>
      </c>
      <c r="M126" t="s">
        <v>4317</v>
      </c>
      <c r="N126">
        <v>16</v>
      </c>
      <c r="O126">
        <v>16</v>
      </c>
      <c r="P126" s="6">
        <v>42035.818124999998</v>
      </c>
      <c r="Q126" t="s">
        <v>3896</v>
      </c>
      <c r="R126" t="s">
        <v>3897</v>
      </c>
      <c r="S126" t="s">
        <v>3459</v>
      </c>
      <c r="T126">
        <v>2</v>
      </c>
      <c r="X126" t="b">
        <v>1</v>
      </c>
      <c r="Y126" s="6">
        <v>42037.431944444441</v>
      </c>
    </row>
    <row r="127" spans="1:25" x14ac:dyDescent="0.25">
      <c r="A127" t="s">
        <v>11407</v>
      </c>
      <c r="B127" t="s">
        <v>11408</v>
      </c>
      <c r="C127">
        <v>6.12</v>
      </c>
      <c r="D127" t="s">
        <v>3893</v>
      </c>
      <c r="E127" t="s">
        <v>3894</v>
      </c>
      <c r="F127" s="18">
        <v>41974</v>
      </c>
      <c r="G127" s="18">
        <v>41979</v>
      </c>
      <c r="H127" s="18" t="str">
        <f>IFERROR(INDEX('Docs Signed Input'!B:B,MATCH('Nate''s Evolution'!$B127,'Docs Signed Input'!E:E,0)),"N")</f>
        <v>N</v>
      </c>
      <c r="I127" s="18" t="str">
        <f>IFERROR(INDEX('Docs Signed Input'!C:C,MATCH('Nate''s Evolution'!B127,'Docs Signed Input'!E:E,0)),"N")</f>
        <v>Y</v>
      </c>
      <c r="J127" s="18">
        <v>41985</v>
      </c>
      <c r="L127" t="s">
        <v>2258</v>
      </c>
      <c r="M127" t="s">
        <v>3948</v>
      </c>
      <c r="N127">
        <v>6.12</v>
      </c>
      <c r="O127">
        <v>7</v>
      </c>
      <c r="P127" s="6">
        <v>42035.818124999998</v>
      </c>
      <c r="Q127" t="s">
        <v>3896</v>
      </c>
      <c r="R127" t="s">
        <v>13767</v>
      </c>
      <c r="S127" t="s">
        <v>2889</v>
      </c>
      <c r="T127">
        <v>2</v>
      </c>
      <c r="X127" t="b">
        <v>1</v>
      </c>
      <c r="Y127" s="6">
        <v>42037.431944444441</v>
      </c>
    </row>
    <row r="128" spans="1:25" x14ac:dyDescent="0.25">
      <c r="A128" t="s">
        <v>4187</v>
      </c>
      <c r="B128" t="s">
        <v>4188</v>
      </c>
      <c r="C128">
        <v>4</v>
      </c>
      <c r="D128" t="s">
        <v>3922</v>
      </c>
      <c r="E128" t="s">
        <v>3923</v>
      </c>
      <c r="F128" s="18">
        <v>41974</v>
      </c>
      <c r="G128" s="18">
        <v>41980</v>
      </c>
      <c r="H128" s="18" t="str">
        <f>IFERROR(INDEX('Docs Signed Input'!B:B,MATCH('Nate''s Evolution'!$B128,'Docs Signed Input'!E:E,0)),"N")</f>
        <v>Y</v>
      </c>
      <c r="I128" s="18" t="str">
        <f>IFERROR(INDEX('Docs Signed Input'!C:C,MATCH('Nate''s Evolution'!B128,'Docs Signed Input'!E:E,0)),"N")</f>
        <v>Y</v>
      </c>
      <c r="J128" s="18">
        <v>42003</v>
      </c>
      <c r="L128" t="s">
        <v>2258</v>
      </c>
      <c r="M128" t="s">
        <v>3895</v>
      </c>
      <c r="N128">
        <v>4</v>
      </c>
      <c r="O128">
        <v>4</v>
      </c>
      <c r="P128" s="6">
        <v>42035.818124999998</v>
      </c>
      <c r="Q128" t="s">
        <v>3896</v>
      </c>
      <c r="R128" t="s">
        <v>4189</v>
      </c>
      <c r="S128" t="s">
        <v>3106</v>
      </c>
      <c r="T128">
        <v>2</v>
      </c>
      <c r="X128" t="b">
        <v>1</v>
      </c>
      <c r="Y128" s="6">
        <v>42037.431944444441</v>
      </c>
    </row>
    <row r="129" spans="1:25" x14ac:dyDescent="0.25">
      <c r="A129" t="s">
        <v>5254</v>
      </c>
      <c r="B129" t="s">
        <v>5255</v>
      </c>
      <c r="C129">
        <v>7.75</v>
      </c>
      <c r="D129" t="s">
        <v>3893</v>
      </c>
      <c r="E129" t="s">
        <v>3894</v>
      </c>
      <c r="F129" s="18">
        <v>41974</v>
      </c>
      <c r="G129" s="18">
        <v>41980</v>
      </c>
      <c r="H129" s="18" t="str">
        <f>IFERROR(INDEX('Docs Signed Input'!B:B,MATCH('Nate''s Evolution'!$B129,'Docs Signed Input'!E:E,0)),"N")</f>
        <v>Y</v>
      </c>
      <c r="I129" s="18" t="str">
        <f>IFERROR(INDEX('Docs Signed Input'!C:C,MATCH('Nate''s Evolution'!B129,'Docs Signed Input'!E:E,0)),"N")</f>
        <v>N</v>
      </c>
      <c r="L129" t="s">
        <v>2258</v>
      </c>
      <c r="M129" t="s">
        <v>3930</v>
      </c>
      <c r="N129">
        <v>7.75</v>
      </c>
      <c r="O129">
        <v>12.75</v>
      </c>
      <c r="P129" s="6">
        <v>42035.818124999998</v>
      </c>
      <c r="Q129" t="s">
        <v>3896</v>
      </c>
      <c r="S129" t="s">
        <v>2680</v>
      </c>
      <c r="T129">
        <v>2</v>
      </c>
      <c r="X129" t="b">
        <v>1</v>
      </c>
      <c r="Y129" s="6">
        <v>42037.431944444441</v>
      </c>
    </row>
    <row r="130" spans="1:25" x14ac:dyDescent="0.25">
      <c r="A130" t="s">
        <v>9643</v>
      </c>
      <c r="B130" t="s">
        <v>9644</v>
      </c>
      <c r="C130">
        <v>7.5</v>
      </c>
      <c r="D130" t="s">
        <v>2230</v>
      </c>
      <c r="E130" t="s">
        <v>3984</v>
      </c>
      <c r="F130" s="18">
        <v>41974</v>
      </c>
      <c r="G130" s="18">
        <v>41980</v>
      </c>
      <c r="H130" s="18" t="str">
        <f>IFERROR(INDEX('Docs Signed Input'!B:B,MATCH('Nate''s Evolution'!$B130,'Docs Signed Input'!E:E,0)),"N")</f>
        <v>Y</v>
      </c>
      <c r="I130" s="18" t="str">
        <f>IFERROR(INDEX('Docs Signed Input'!C:C,MATCH('Nate''s Evolution'!B130,'Docs Signed Input'!E:E,0)),"N")</f>
        <v>N</v>
      </c>
      <c r="L130" t="s">
        <v>2258</v>
      </c>
      <c r="M130" t="s">
        <v>3895</v>
      </c>
      <c r="N130">
        <v>7</v>
      </c>
      <c r="O130">
        <v>7.5</v>
      </c>
      <c r="P130" s="6">
        <v>42016.817962962959</v>
      </c>
      <c r="Q130" t="s">
        <v>3896</v>
      </c>
      <c r="S130" t="s">
        <v>3521</v>
      </c>
      <c r="T130">
        <v>21</v>
      </c>
      <c r="U130" t="b">
        <v>1</v>
      </c>
      <c r="Y130" s="6">
        <v>42037.431944444441</v>
      </c>
    </row>
    <row r="131" spans="1:25" x14ac:dyDescent="0.25">
      <c r="A131" t="s">
        <v>10196</v>
      </c>
      <c r="B131" t="s">
        <v>10197</v>
      </c>
      <c r="C131">
        <v>8.5</v>
      </c>
      <c r="D131" t="s">
        <v>3900</v>
      </c>
      <c r="E131" t="s">
        <v>3960</v>
      </c>
      <c r="F131" s="18">
        <v>41974</v>
      </c>
      <c r="G131" s="18">
        <v>41980</v>
      </c>
      <c r="H131" s="18" t="str">
        <f>IFERROR(INDEX('Docs Signed Input'!B:B,MATCH('Nate''s Evolution'!$B131,'Docs Signed Input'!E:E,0)),"N")</f>
        <v>Y</v>
      </c>
      <c r="I131" s="18" t="str">
        <f>IFERROR(INDEX('Docs Signed Input'!C:C,MATCH('Nate''s Evolution'!B131,'Docs Signed Input'!E:E,0)),"N")</f>
        <v>Y</v>
      </c>
      <c r="J131" s="18">
        <v>42003</v>
      </c>
      <c r="K131" s="18">
        <v>42032</v>
      </c>
      <c r="L131" t="s">
        <v>2258</v>
      </c>
      <c r="M131" t="s">
        <v>3942</v>
      </c>
      <c r="N131">
        <v>8.5</v>
      </c>
      <c r="O131">
        <v>8.5</v>
      </c>
      <c r="P131" s="6">
        <v>42033.53601851852</v>
      </c>
      <c r="Q131" t="s">
        <v>3896</v>
      </c>
      <c r="S131" t="s">
        <v>3545</v>
      </c>
      <c r="T131">
        <v>4</v>
      </c>
      <c r="W131" t="b">
        <v>1</v>
      </c>
      <c r="Y131" s="6">
        <v>42037.431944444441</v>
      </c>
    </row>
    <row r="132" spans="1:25" x14ac:dyDescent="0.25">
      <c r="A132" t="s">
        <v>11537</v>
      </c>
      <c r="B132" t="s">
        <v>11538</v>
      </c>
      <c r="C132">
        <v>6.12</v>
      </c>
      <c r="D132" t="s">
        <v>3922</v>
      </c>
      <c r="E132" t="s">
        <v>3951</v>
      </c>
      <c r="F132" s="18">
        <v>41974</v>
      </c>
      <c r="G132" s="18">
        <v>41981</v>
      </c>
      <c r="H132" s="18" t="str">
        <f>IFERROR(INDEX('Docs Signed Input'!B:B,MATCH('Nate''s Evolution'!$B132,'Docs Signed Input'!E:E,0)),"N")</f>
        <v>Y</v>
      </c>
      <c r="I132" s="18" t="str">
        <f>IFERROR(INDEX('Docs Signed Input'!C:C,MATCH('Nate''s Evolution'!B132,'Docs Signed Input'!E:E,0)),"N")</f>
        <v>Y</v>
      </c>
      <c r="J132" s="18">
        <v>42007</v>
      </c>
      <c r="K132" s="18">
        <v>42040</v>
      </c>
      <c r="L132" t="s">
        <v>2258</v>
      </c>
      <c r="M132" t="s">
        <v>3917</v>
      </c>
      <c r="N132">
        <v>6.12</v>
      </c>
      <c r="O132">
        <v>6.75</v>
      </c>
      <c r="P132" s="6">
        <v>42032.743900462963</v>
      </c>
      <c r="Q132" t="s">
        <v>3896</v>
      </c>
      <c r="S132" t="s">
        <v>2277</v>
      </c>
      <c r="T132">
        <v>5</v>
      </c>
      <c r="X132" t="b">
        <v>1</v>
      </c>
      <c r="Y132" s="6">
        <v>42037.431944444441</v>
      </c>
    </row>
    <row r="133" spans="1:25" x14ac:dyDescent="0.25">
      <c r="A133" t="s">
        <v>11539</v>
      </c>
      <c r="B133" t="s">
        <v>11540</v>
      </c>
      <c r="C133">
        <v>7.25</v>
      </c>
      <c r="D133" t="s">
        <v>3922</v>
      </c>
      <c r="E133" t="s">
        <v>3985</v>
      </c>
      <c r="F133" s="18">
        <v>41974</v>
      </c>
      <c r="G133" s="18">
        <v>41981</v>
      </c>
      <c r="H133" s="18" t="str">
        <f>IFERROR(INDEX('Docs Signed Input'!B:B,MATCH('Nate''s Evolution'!$B133,'Docs Signed Input'!E:E,0)),"N")</f>
        <v>N</v>
      </c>
      <c r="I133" s="18" t="str">
        <f>IFERROR(INDEX('Docs Signed Input'!C:C,MATCH('Nate''s Evolution'!B133,'Docs Signed Input'!E:E,0)),"N")</f>
        <v>Y</v>
      </c>
      <c r="J133" s="18">
        <v>41990</v>
      </c>
      <c r="L133" t="s">
        <v>2258</v>
      </c>
      <c r="M133" t="s">
        <v>3902</v>
      </c>
      <c r="N133">
        <v>7.25</v>
      </c>
      <c r="O133">
        <v>7.75</v>
      </c>
      <c r="P133" s="6">
        <v>42003.311516203707</v>
      </c>
      <c r="Q133" t="s">
        <v>3896</v>
      </c>
      <c r="R133" t="s">
        <v>3918</v>
      </c>
      <c r="S133" t="s">
        <v>2400</v>
      </c>
      <c r="T133">
        <v>34</v>
      </c>
      <c r="X133" t="b">
        <v>1</v>
      </c>
      <c r="Y133" s="6">
        <v>42037.431944444441</v>
      </c>
    </row>
    <row r="134" spans="1:25" x14ac:dyDescent="0.25">
      <c r="A134" t="s">
        <v>11547</v>
      </c>
      <c r="B134" t="s">
        <v>11548</v>
      </c>
      <c r="C134">
        <v>3.75</v>
      </c>
      <c r="D134" t="s">
        <v>2230</v>
      </c>
      <c r="E134" t="s">
        <v>3984</v>
      </c>
      <c r="F134" s="18">
        <v>41974</v>
      </c>
      <c r="G134" s="18">
        <v>41981</v>
      </c>
      <c r="H134" s="18" t="str">
        <f>IFERROR(INDEX('Docs Signed Input'!B:B,MATCH('Nate''s Evolution'!$B134,'Docs Signed Input'!E:E,0)),"N")</f>
        <v>N</v>
      </c>
      <c r="I134" s="18" t="str">
        <f>IFERROR(INDEX('Docs Signed Input'!C:C,MATCH('Nate''s Evolution'!B134,'Docs Signed Input'!E:E,0)),"N")</f>
        <v>N</v>
      </c>
      <c r="L134" t="s">
        <v>2258</v>
      </c>
      <c r="M134" t="s">
        <v>3926</v>
      </c>
      <c r="N134">
        <v>3.75</v>
      </c>
      <c r="O134">
        <v>3.75</v>
      </c>
      <c r="P134" s="6">
        <v>42016.817962962959</v>
      </c>
      <c r="Q134" t="s">
        <v>3896</v>
      </c>
      <c r="R134" t="s">
        <v>4400</v>
      </c>
      <c r="S134" t="s">
        <v>11455</v>
      </c>
      <c r="T134">
        <v>21</v>
      </c>
      <c r="U134" t="b">
        <v>1</v>
      </c>
      <c r="Y134" s="6">
        <v>42037.431944444441</v>
      </c>
    </row>
    <row r="135" spans="1:25" x14ac:dyDescent="0.25">
      <c r="A135" t="s">
        <v>11551</v>
      </c>
      <c r="B135" t="s">
        <v>11552</v>
      </c>
      <c r="C135">
        <v>11.25</v>
      </c>
      <c r="D135" t="s">
        <v>3893</v>
      </c>
      <c r="E135" t="s">
        <v>4117</v>
      </c>
      <c r="F135" s="18">
        <v>41974</v>
      </c>
      <c r="G135" s="18">
        <v>41981</v>
      </c>
      <c r="H135" s="18" t="str">
        <f>IFERROR(INDEX('Docs Signed Input'!B:B,MATCH('Nate''s Evolution'!$B135,'Docs Signed Input'!E:E,0)),"N")</f>
        <v>N</v>
      </c>
      <c r="I135" s="18" t="str">
        <f>IFERROR(INDEX('Docs Signed Input'!C:C,MATCH('Nate''s Evolution'!B135,'Docs Signed Input'!E:E,0)),"N")</f>
        <v>N</v>
      </c>
      <c r="L135" t="s">
        <v>2258</v>
      </c>
      <c r="M135" t="s">
        <v>3933</v>
      </c>
      <c r="N135">
        <v>11.25</v>
      </c>
      <c r="O135">
        <v>11.25</v>
      </c>
      <c r="P135" s="6">
        <v>42035.818124999998</v>
      </c>
      <c r="Q135" t="s">
        <v>3896</v>
      </c>
      <c r="R135" t="s">
        <v>3897</v>
      </c>
      <c r="S135" t="s">
        <v>3002</v>
      </c>
      <c r="T135">
        <v>2</v>
      </c>
      <c r="X135" t="b">
        <v>1</v>
      </c>
      <c r="Y135" s="6">
        <v>42037.431944444441</v>
      </c>
    </row>
    <row r="136" spans="1:25" x14ac:dyDescent="0.25">
      <c r="A136" t="s">
        <v>11577</v>
      </c>
      <c r="B136" t="s">
        <v>11578</v>
      </c>
      <c r="C136">
        <v>4.335</v>
      </c>
      <c r="D136" t="s">
        <v>3893</v>
      </c>
      <c r="E136" t="s">
        <v>3925</v>
      </c>
      <c r="F136" s="18">
        <v>41974</v>
      </c>
      <c r="G136" s="18">
        <v>41981</v>
      </c>
      <c r="H136" s="18" t="str">
        <f>IFERROR(INDEX('Docs Signed Input'!B:B,MATCH('Nate''s Evolution'!$B136,'Docs Signed Input'!E:E,0)),"N")</f>
        <v>N</v>
      </c>
      <c r="I136" s="18" t="str">
        <f>IFERROR(INDEX('Docs Signed Input'!C:C,MATCH('Nate''s Evolution'!B136,'Docs Signed Input'!E:E,0)),"N")</f>
        <v>N</v>
      </c>
      <c r="L136" t="s">
        <v>2258</v>
      </c>
      <c r="M136" t="s">
        <v>4032</v>
      </c>
      <c r="N136">
        <v>4.08</v>
      </c>
      <c r="O136">
        <v>5.75</v>
      </c>
      <c r="P136" s="6">
        <v>42035.818124999998</v>
      </c>
      <c r="Q136" t="s">
        <v>3896</v>
      </c>
      <c r="R136" t="s">
        <v>3918</v>
      </c>
      <c r="S136" t="s">
        <v>3746</v>
      </c>
      <c r="T136">
        <v>2</v>
      </c>
      <c r="X136" t="b">
        <v>1</v>
      </c>
      <c r="Y136" s="6">
        <v>42037.431944444441</v>
      </c>
    </row>
    <row r="137" spans="1:25" x14ac:dyDescent="0.25">
      <c r="A137" t="s">
        <v>11597</v>
      </c>
      <c r="B137" t="s">
        <v>11598</v>
      </c>
      <c r="C137">
        <v>7.75</v>
      </c>
      <c r="D137" t="s">
        <v>3909</v>
      </c>
      <c r="E137" t="s">
        <v>3937</v>
      </c>
      <c r="F137" s="18">
        <v>41974</v>
      </c>
      <c r="G137" s="18">
        <v>41981</v>
      </c>
      <c r="H137" s="18" t="str">
        <f>IFERROR(INDEX('Docs Signed Input'!B:B,MATCH('Nate''s Evolution'!$B137,'Docs Signed Input'!E:E,0)),"N")</f>
        <v>N</v>
      </c>
      <c r="I137" s="18" t="str">
        <f>IFERROR(INDEX('Docs Signed Input'!C:C,MATCH('Nate''s Evolution'!B137,'Docs Signed Input'!E:E,0)),"N")</f>
        <v>N</v>
      </c>
      <c r="L137" t="s">
        <v>11599</v>
      </c>
      <c r="M137" t="s">
        <v>3942</v>
      </c>
      <c r="N137">
        <v>7.75</v>
      </c>
      <c r="O137">
        <v>7.75</v>
      </c>
      <c r="P137" s="6">
        <v>41990.413530092592</v>
      </c>
      <c r="Q137" t="s">
        <v>3896</v>
      </c>
      <c r="T137">
        <v>47</v>
      </c>
      <c r="V137" t="b">
        <v>1</v>
      </c>
      <c r="Y137" s="6">
        <v>42037.431944444441</v>
      </c>
    </row>
    <row r="138" spans="1:25" x14ac:dyDescent="0.25">
      <c r="A138" t="s">
        <v>11606</v>
      </c>
      <c r="B138" t="s">
        <v>11607</v>
      </c>
      <c r="C138">
        <v>4</v>
      </c>
      <c r="D138" t="s">
        <v>3909</v>
      </c>
      <c r="E138" t="s">
        <v>3937</v>
      </c>
      <c r="F138" s="18">
        <v>41974</v>
      </c>
      <c r="G138" s="18">
        <v>41981</v>
      </c>
      <c r="H138" s="18" t="str">
        <f>IFERROR(INDEX('Docs Signed Input'!B:B,MATCH('Nate''s Evolution'!$B138,'Docs Signed Input'!E:E,0)),"N")</f>
        <v>N</v>
      </c>
      <c r="I138" s="18" t="str">
        <f>IFERROR(INDEX('Docs Signed Input'!C:C,MATCH('Nate''s Evolution'!B138,'Docs Signed Input'!E:E,0)),"N")</f>
        <v>N</v>
      </c>
      <c r="L138" t="s">
        <v>2258</v>
      </c>
      <c r="M138" t="s">
        <v>4317</v>
      </c>
      <c r="N138">
        <v>4</v>
      </c>
      <c r="O138">
        <v>4</v>
      </c>
      <c r="P138" s="6">
        <v>42002.608437499999</v>
      </c>
      <c r="Q138" t="s">
        <v>3896</v>
      </c>
      <c r="R138" t="s">
        <v>3897</v>
      </c>
      <c r="S138" t="s">
        <v>3566</v>
      </c>
      <c r="T138">
        <v>35</v>
      </c>
      <c r="V138" t="b">
        <v>1</v>
      </c>
      <c r="Y138" s="6">
        <v>42037.431944444441</v>
      </c>
    </row>
    <row r="139" spans="1:25" x14ac:dyDescent="0.25">
      <c r="A139" t="s">
        <v>11613</v>
      </c>
      <c r="B139" t="s">
        <v>11614</v>
      </c>
      <c r="C139">
        <v>6</v>
      </c>
      <c r="D139" t="s">
        <v>3893</v>
      </c>
      <c r="E139" t="s">
        <v>4117</v>
      </c>
      <c r="F139" s="18">
        <v>41974</v>
      </c>
      <c r="G139" s="18">
        <v>41981</v>
      </c>
      <c r="H139" s="18" t="str">
        <f>IFERROR(INDEX('Docs Signed Input'!B:B,MATCH('Nate''s Evolution'!$B139,'Docs Signed Input'!E:E,0)),"N")</f>
        <v>N</v>
      </c>
      <c r="I139" s="18" t="str">
        <f>IFERROR(INDEX('Docs Signed Input'!C:C,MATCH('Nate''s Evolution'!B139,'Docs Signed Input'!E:E,0)),"N")</f>
        <v>N</v>
      </c>
      <c r="L139" t="s">
        <v>2258</v>
      </c>
      <c r="M139" t="s">
        <v>4423</v>
      </c>
      <c r="N139">
        <v>6</v>
      </c>
      <c r="O139">
        <v>6</v>
      </c>
      <c r="P139" s="6">
        <v>42035.818124999998</v>
      </c>
      <c r="Q139" t="s">
        <v>3896</v>
      </c>
      <c r="R139" t="s">
        <v>3897</v>
      </c>
      <c r="S139" t="s">
        <v>3746</v>
      </c>
      <c r="T139">
        <v>2</v>
      </c>
      <c r="X139" t="b">
        <v>1</v>
      </c>
      <c r="Y139" s="6">
        <v>42037.431944444441</v>
      </c>
    </row>
    <row r="140" spans="1:25" x14ac:dyDescent="0.25">
      <c r="A140" t="s">
        <v>11652</v>
      </c>
      <c r="B140" t="s">
        <v>11653</v>
      </c>
      <c r="C140">
        <v>4.75</v>
      </c>
      <c r="D140" t="s">
        <v>3893</v>
      </c>
      <c r="E140" t="s">
        <v>4117</v>
      </c>
      <c r="F140" s="18">
        <v>41974</v>
      </c>
      <c r="G140" s="18">
        <v>41981</v>
      </c>
      <c r="H140" s="18" t="str">
        <f>IFERROR(INDEX('Docs Signed Input'!B:B,MATCH('Nate''s Evolution'!$B140,'Docs Signed Input'!E:E,0)),"N")</f>
        <v>N</v>
      </c>
      <c r="I140" s="18" t="str">
        <f>IFERROR(INDEX('Docs Signed Input'!C:C,MATCH('Nate''s Evolution'!B140,'Docs Signed Input'!E:E,0)),"N")</f>
        <v>N</v>
      </c>
      <c r="L140" t="s">
        <v>2258</v>
      </c>
      <c r="M140" t="s">
        <v>3948</v>
      </c>
      <c r="N140">
        <v>4.75</v>
      </c>
      <c r="O140">
        <v>4.75</v>
      </c>
      <c r="P140" s="6">
        <v>42035.818124999998</v>
      </c>
      <c r="Q140" t="s">
        <v>3896</v>
      </c>
      <c r="S140" t="s">
        <v>2889</v>
      </c>
      <c r="T140">
        <v>2</v>
      </c>
      <c r="X140" t="b">
        <v>1</v>
      </c>
      <c r="Y140" s="6">
        <v>42037.431944444441</v>
      </c>
    </row>
    <row r="141" spans="1:25" x14ac:dyDescent="0.25">
      <c r="A141" t="s">
        <v>11674</v>
      </c>
      <c r="B141" t="s">
        <v>11675</v>
      </c>
      <c r="C141">
        <v>6.12</v>
      </c>
      <c r="D141" t="s">
        <v>2230</v>
      </c>
      <c r="E141" t="s">
        <v>3984</v>
      </c>
      <c r="F141" s="18">
        <v>41974</v>
      </c>
      <c r="G141" s="18">
        <v>41981</v>
      </c>
      <c r="H141" s="18" t="str">
        <f>IFERROR(INDEX('Docs Signed Input'!B:B,MATCH('Nate''s Evolution'!$B141,'Docs Signed Input'!E:E,0)),"N")</f>
        <v>N</v>
      </c>
      <c r="I141" s="18" t="str">
        <f>IFERROR(INDEX('Docs Signed Input'!C:C,MATCH('Nate''s Evolution'!B141,'Docs Signed Input'!E:E,0)),"N")</f>
        <v>N</v>
      </c>
      <c r="L141" t="s">
        <v>2258</v>
      </c>
      <c r="M141" t="s">
        <v>3932</v>
      </c>
      <c r="N141">
        <v>6.12</v>
      </c>
      <c r="O141">
        <v>14</v>
      </c>
      <c r="P141" s="6">
        <v>42018.81790509259</v>
      </c>
      <c r="Q141" t="s">
        <v>3896</v>
      </c>
      <c r="R141" t="s">
        <v>3897</v>
      </c>
      <c r="S141" t="s">
        <v>3547</v>
      </c>
      <c r="T141">
        <v>19</v>
      </c>
      <c r="U141" t="b">
        <v>1</v>
      </c>
      <c r="Y141" s="6">
        <v>42037.431944444441</v>
      </c>
    </row>
    <row r="142" spans="1:25" x14ac:dyDescent="0.25">
      <c r="A142" t="s">
        <v>11676</v>
      </c>
      <c r="B142" t="s">
        <v>11677</v>
      </c>
      <c r="C142">
        <v>2.5</v>
      </c>
      <c r="D142" t="s">
        <v>3909</v>
      </c>
      <c r="E142" t="s">
        <v>3937</v>
      </c>
      <c r="F142" s="18">
        <v>41974</v>
      </c>
      <c r="G142" s="18">
        <v>41981</v>
      </c>
      <c r="H142" s="18" t="str">
        <f>IFERROR(INDEX('Docs Signed Input'!B:B,MATCH('Nate''s Evolution'!$B142,'Docs Signed Input'!E:E,0)),"N")</f>
        <v>N</v>
      </c>
      <c r="I142" s="18" t="str">
        <f>IFERROR(INDEX('Docs Signed Input'!C:C,MATCH('Nate''s Evolution'!B142,'Docs Signed Input'!E:E,0)),"N")</f>
        <v>N</v>
      </c>
      <c r="L142" t="s">
        <v>2258</v>
      </c>
      <c r="M142" t="s">
        <v>3932</v>
      </c>
      <c r="N142">
        <v>2.5</v>
      </c>
      <c r="O142">
        <v>2.5</v>
      </c>
      <c r="P142" s="6">
        <v>41995.439375000002</v>
      </c>
      <c r="Q142" t="s">
        <v>3896</v>
      </c>
      <c r="R142" t="s">
        <v>3897</v>
      </c>
      <c r="S142" t="s">
        <v>3547</v>
      </c>
      <c r="T142">
        <v>42</v>
      </c>
      <c r="V142" t="b">
        <v>1</v>
      </c>
      <c r="Y142" s="6">
        <v>42037.431944444441</v>
      </c>
    </row>
    <row r="143" spans="1:25" x14ac:dyDescent="0.25">
      <c r="A143" t="s">
        <v>11676</v>
      </c>
      <c r="B143" t="s">
        <v>11678</v>
      </c>
      <c r="C143">
        <v>4.335</v>
      </c>
      <c r="D143" t="s">
        <v>3893</v>
      </c>
      <c r="E143" t="s">
        <v>3925</v>
      </c>
      <c r="F143" s="18">
        <v>41974</v>
      </c>
      <c r="G143" s="18">
        <v>41981</v>
      </c>
      <c r="H143" s="18" t="str">
        <f>IFERROR(INDEX('Docs Signed Input'!B:B,MATCH('Nate''s Evolution'!$B143,'Docs Signed Input'!E:E,0)),"N")</f>
        <v>N</v>
      </c>
      <c r="I143" s="18" t="str">
        <f>IFERROR(INDEX('Docs Signed Input'!C:C,MATCH('Nate''s Evolution'!B143,'Docs Signed Input'!E:E,0)),"N")</f>
        <v>N</v>
      </c>
      <c r="J143" s="18">
        <v>41990</v>
      </c>
      <c r="L143" t="s">
        <v>2258</v>
      </c>
      <c r="M143" t="s">
        <v>3932</v>
      </c>
      <c r="N143">
        <v>4.335</v>
      </c>
      <c r="O143">
        <v>4.5</v>
      </c>
      <c r="P143" s="6">
        <v>42035.818124999998</v>
      </c>
      <c r="Q143" t="s">
        <v>3896</v>
      </c>
      <c r="R143" t="s">
        <v>3897</v>
      </c>
      <c r="S143" t="s">
        <v>3547</v>
      </c>
      <c r="T143">
        <v>2</v>
      </c>
      <c r="X143" t="b">
        <v>1</v>
      </c>
      <c r="Y143" s="6">
        <v>42037.431944444441</v>
      </c>
    </row>
    <row r="144" spans="1:25" x14ac:dyDescent="0.25">
      <c r="A144" t="s">
        <v>11685</v>
      </c>
      <c r="B144" t="s">
        <v>11686</v>
      </c>
      <c r="C144">
        <v>7.25</v>
      </c>
      <c r="D144" t="s">
        <v>3909</v>
      </c>
      <c r="E144" t="s">
        <v>3937</v>
      </c>
      <c r="F144" s="18">
        <v>41974</v>
      </c>
      <c r="G144" s="18">
        <v>41981</v>
      </c>
      <c r="H144" s="18" t="str">
        <f>IFERROR(INDEX('Docs Signed Input'!B:B,MATCH('Nate''s Evolution'!$B144,'Docs Signed Input'!E:E,0)),"N")</f>
        <v>N</v>
      </c>
      <c r="I144" s="18" t="str">
        <f>IFERROR(INDEX('Docs Signed Input'!C:C,MATCH('Nate''s Evolution'!B144,'Docs Signed Input'!E:E,0)),"N")</f>
        <v>N</v>
      </c>
      <c r="L144" t="s">
        <v>2258</v>
      </c>
      <c r="M144" t="s">
        <v>3932</v>
      </c>
      <c r="N144">
        <v>7.25</v>
      </c>
      <c r="O144">
        <v>7.25</v>
      </c>
      <c r="P144" s="6">
        <v>41995.464583333334</v>
      </c>
      <c r="Q144" t="s">
        <v>3896</v>
      </c>
      <c r="R144" t="s">
        <v>3897</v>
      </c>
      <c r="S144" t="s">
        <v>3511</v>
      </c>
      <c r="T144">
        <v>42</v>
      </c>
      <c r="V144" t="b">
        <v>1</v>
      </c>
      <c r="Y144" s="6">
        <v>42037.431944444441</v>
      </c>
    </row>
    <row r="145" spans="1:25" x14ac:dyDescent="0.25">
      <c r="A145" t="s">
        <v>11709</v>
      </c>
      <c r="B145" t="s">
        <v>11710</v>
      </c>
      <c r="C145">
        <v>5.3550000000000004</v>
      </c>
      <c r="D145" t="s">
        <v>3893</v>
      </c>
      <c r="E145" t="s">
        <v>3894</v>
      </c>
      <c r="F145" s="18">
        <v>41974</v>
      </c>
      <c r="G145" s="18">
        <v>41981</v>
      </c>
      <c r="H145" s="18" t="str">
        <f>IFERROR(INDEX('Docs Signed Input'!B:B,MATCH('Nate''s Evolution'!$B145,'Docs Signed Input'!E:E,0)),"N")</f>
        <v>Y</v>
      </c>
      <c r="I145" s="18" t="str">
        <f>IFERROR(INDEX('Docs Signed Input'!C:C,MATCH('Nate''s Evolution'!B145,'Docs Signed Input'!E:E,0)),"N")</f>
        <v>Y</v>
      </c>
      <c r="J145" s="18">
        <v>41985</v>
      </c>
      <c r="L145" t="s">
        <v>2258</v>
      </c>
      <c r="M145" t="s">
        <v>3932</v>
      </c>
      <c r="N145">
        <v>5.25</v>
      </c>
      <c r="O145">
        <v>5.3550000000000004</v>
      </c>
      <c r="P145" s="6">
        <v>42035.818124999998</v>
      </c>
      <c r="Q145" t="s">
        <v>3896</v>
      </c>
      <c r="S145" t="s">
        <v>3712</v>
      </c>
      <c r="T145">
        <v>2</v>
      </c>
      <c r="X145" t="b">
        <v>1</v>
      </c>
      <c r="Y145" s="6">
        <v>42037.431944444441</v>
      </c>
    </row>
    <row r="146" spans="1:25" x14ac:dyDescent="0.25">
      <c r="A146" t="s">
        <v>11720</v>
      </c>
      <c r="B146" t="s">
        <v>11721</v>
      </c>
      <c r="C146">
        <v>3.75</v>
      </c>
      <c r="D146" t="s">
        <v>3893</v>
      </c>
      <c r="E146" t="s">
        <v>4117</v>
      </c>
      <c r="F146" s="18">
        <v>41974</v>
      </c>
      <c r="G146" s="18">
        <v>41981</v>
      </c>
      <c r="H146" s="18" t="str">
        <f>IFERROR(INDEX('Docs Signed Input'!B:B,MATCH('Nate''s Evolution'!$B146,'Docs Signed Input'!E:E,0)),"N")</f>
        <v>N</v>
      </c>
      <c r="I146" s="18" t="str">
        <f>IFERROR(INDEX('Docs Signed Input'!C:C,MATCH('Nate''s Evolution'!B146,'Docs Signed Input'!E:E,0)),"N")</f>
        <v>N</v>
      </c>
      <c r="L146" t="s">
        <v>2258</v>
      </c>
      <c r="M146" t="s">
        <v>4032</v>
      </c>
      <c r="N146">
        <v>3.75</v>
      </c>
      <c r="O146">
        <v>3.75</v>
      </c>
      <c r="P146" s="6">
        <v>42035.818124999998</v>
      </c>
      <c r="Q146" t="s">
        <v>3896</v>
      </c>
      <c r="R146" t="s">
        <v>3897</v>
      </c>
      <c r="S146" t="s">
        <v>3746</v>
      </c>
      <c r="T146">
        <v>2</v>
      </c>
      <c r="X146" t="b">
        <v>1</v>
      </c>
      <c r="Y146" s="6">
        <v>42037.431944444441</v>
      </c>
    </row>
    <row r="147" spans="1:25" x14ac:dyDescent="0.25">
      <c r="A147" t="s">
        <v>11738</v>
      </c>
      <c r="B147" t="s">
        <v>11739</v>
      </c>
      <c r="C147">
        <v>8.5</v>
      </c>
      <c r="D147" t="s">
        <v>2230</v>
      </c>
      <c r="E147" t="s">
        <v>3984</v>
      </c>
      <c r="F147" s="18">
        <v>41974</v>
      </c>
      <c r="G147" s="18">
        <v>41981</v>
      </c>
      <c r="H147" s="18" t="str">
        <f>IFERROR(INDEX('Docs Signed Input'!B:B,MATCH('Nate''s Evolution'!$B147,'Docs Signed Input'!E:E,0)),"N")</f>
        <v>N</v>
      </c>
      <c r="I147" s="18" t="str">
        <f>IFERROR(INDEX('Docs Signed Input'!C:C,MATCH('Nate''s Evolution'!B147,'Docs Signed Input'!E:E,0)),"N")</f>
        <v>Y</v>
      </c>
      <c r="J147" s="18">
        <v>41992</v>
      </c>
      <c r="L147" t="s">
        <v>2258</v>
      </c>
      <c r="M147" t="s">
        <v>3895</v>
      </c>
      <c r="N147">
        <v>8.5</v>
      </c>
      <c r="O147">
        <v>8.5</v>
      </c>
      <c r="P147" s="6">
        <v>42016.817962962959</v>
      </c>
      <c r="Q147" t="s">
        <v>3896</v>
      </c>
      <c r="R147" t="s">
        <v>3897</v>
      </c>
      <c r="S147" t="s">
        <v>3750</v>
      </c>
      <c r="T147">
        <v>21</v>
      </c>
      <c r="U147" t="b">
        <v>1</v>
      </c>
      <c r="Y147" s="6">
        <v>42037.431944444441</v>
      </c>
    </row>
    <row r="148" spans="1:25" x14ac:dyDescent="0.25">
      <c r="A148" t="s">
        <v>11750</v>
      </c>
      <c r="B148" t="s">
        <v>11751</v>
      </c>
      <c r="C148">
        <v>4.75</v>
      </c>
      <c r="D148" t="s">
        <v>3893</v>
      </c>
      <c r="E148" t="s">
        <v>3989</v>
      </c>
      <c r="F148" s="18">
        <v>41974</v>
      </c>
      <c r="G148" s="18">
        <v>41981</v>
      </c>
      <c r="H148" s="18" t="str">
        <f>IFERROR(INDEX('Docs Signed Input'!B:B,MATCH('Nate''s Evolution'!$B148,'Docs Signed Input'!E:E,0)),"N")</f>
        <v>Y</v>
      </c>
      <c r="I148" s="18" t="str">
        <f>IFERROR(INDEX('Docs Signed Input'!C:C,MATCH('Nate''s Evolution'!B148,'Docs Signed Input'!E:E,0)),"N")</f>
        <v>Y</v>
      </c>
      <c r="L148" t="s">
        <v>2258</v>
      </c>
      <c r="M148" t="s">
        <v>6056</v>
      </c>
      <c r="N148">
        <v>4.75</v>
      </c>
      <c r="O148">
        <v>4.75</v>
      </c>
      <c r="P148" s="6">
        <v>42035.818124999998</v>
      </c>
      <c r="Q148" t="s">
        <v>3896</v>
      </c>
      <c r="S148" t="s">
        <v>8140</v>
      </c>
      <c r="T148">
        <v>2</v>
      </c>
      <c r="X148" t="b">
        <v>1</v>
      </c>
      <c r="Y148" s="6">
        <v>42037.431944444441</v>
      </c>
    </row>
    <row r="149" spans="1:25" x14ac:dyDescent="0.25">
      <c r="A149" t="s">
        <v>11756</v>
      </c>
      <c r="B149" t="s">
        <v>11757</v>
      </c>
      <c r="C149">
        <v>7.5</v>
      </c>
      <c r="D149" t="s">
        <v>3893</v>
      </c>
      <c r="E149" t="s">
        <v>4117</v>
      </c>
      <c r="F149" s="18">
        <v>41974</v>
      </c>
      <c r="G149" s="18">
        <v>41981</v>
      </c>
      <c r="H149" s="18" t="str">
        <f>IFERROR(INDEX('Docs Signed Input'!B:B,MATCH('Nate''s Evolution'!$B149,'Docs Signed Input'!E:E,0)),"N")</f>
        <v>N</v>
      </c>
      <c r="I149" s="18" t="str">
        <f>IFERROR(INDEX('Docs Signed Input'!C:C,MATCH('Nate''s Evolution'!B149,'Docs Signed Input'!E:E,0)),"N")</f>
        <v>N</v>
      </c>
      <c r="L149" t="s">
        <v>2258</v>
      </c>
      <c r="M149" t="s">
        <v>3948</v>
      </c>
      <c r="N149">
        <v>7.5</v>
      </c>
      <c r="O149">
        <v>7.5</v>
      </c>
      <c r="P149" s="6">
        <v>42035.818124999998</v>
      </c>
      <c r="Q149" t="s">
        <v>3896</v>
      </c>
      <c r="R149" t="s">
        <v>3897</v>
      </c>
      <c r="S149" t="s">
        <v>2689</v>
      </c>
      <c r="T149">
        <v>2</v>
      </c>
      <c r="X149" t="b">
        <v>1</v>
      </c>
      <c r="Y149" s="6">
        <v>42037.431944444441</v>
      </c>
    </row>
    <row r="150" spans="1:25" x14ac:dyDescent="0.25">
      <c r="A150" t="s">
        <v>11802</v>
      </c>
      <c r="B150" t="s">
        <v>11803</v>
      </c>
      <c r="C150">
        <v>6</v>
      </c>
      <c r="D150" t="s">
        <v>2230</v>
      </c>
      <c r="E150" t="s">
        <v>3984</v>
      </c>
      <c r="F150" s="18">
        <v>41974</v>
      </c>
      <c r="G150" s="18">
        <v>41981</v>
      </c>
      <c r="H150" s="18" t="str">
        <f>IFERROR(INDEX('Docs Signed Input'!B:B,MATCH('Nate''s Evolution'!$B150,'Docs Signed Input'!E:E,0)),"N")</f>
        <v>N</v>
      </c>
      <c r="I150" s="18" t="str">
        <f>IFERROR(INDEX('Docs Signed Input'!C:C,MATCH('Nate''s Evolution'!B150,'Docs Signed Input'!E:E,0)),"N")</f>
        <v>N</v>
      </c>
      <c r="L150" t="s">
        <v>2258</v>
      </c>
      <c r="M150" t="s">
        <v>3926</v>
      </c>
      <c r="N150">
        <v>6</v>
      </c>
      <c r="O150">
        <v>6</v>
      </c>
      <c r="P150" s="6">
        <v>42016.817962962959</v>
      </c>
      <c r="Q150" t="s">
        <v>3896</v>
      </c>
      <c r="R150" t="s">
        <v>3918</v>
      </c>
      <c r="S150" t="s">
        <v>11455</v>
      </c>
      <c r="T150">
        <v>21</v>
      </c>
      <c r="U150" t="b">
        <v>1</v>
      </c>
      <c r="Y150" s="6">
        <v>42037.431944444441</v>
      </c>
    </row>
    <row r="151" spans="1:25" x14ac:dyDescent="0.25">
      <c r="A151" t="s">
        <v>11586</v>
      </c>
      <c r="B151" t="s">
        <v>11587</v>
      </c>
      <c r="C151">
        <v>5.3550000000000004</v>
      </c>
      <c r="D151" t="s">
        <v>3900</v>
      </c>
      <c r="E151" t="s">
        <v>3901</v>
      </c>
      <c r="F151" s="18">
        <v>41974</v>
      </c>
      <c r="G151" s="18">
        <v>41982</v>
      </c>
      <c r="H151" s="18" t="str">
        <f>IFERROR(INDEX('Docs Signed Input'!B:B,MATCH('Nate''s Evolution'!$B151,'Docs Signed Input'!E:E,0)),"N")</f>
        <v>Y</v>
      </c>
      <c r="I151" s="18" t="str">
        <f>IFERROR(INDEX('Docs Signed Input'!C:C,MATCH('Nate''s Evolution'!B151,'Docs Signed Input'!E:E,0)),"N")</f>
        <v>Y</v>
      </c>
      <c r="J151" s="18">
        <v>41986</v>
      </c>
      <c r="K151" s="18">
        <v>42006</v>
      </c>
      <c r="L151" t="s">
        <v>2258</v>
      </c>
      <c r="M151" t="s">
        <v>4027</v>
      </c>
      <c r="N151">
        <v>5.3550000000000004</v>
      </c>
      <c r="O151">
        <v>5.5</v>
      </c>
      <c r="P151" s="6">
        <v>42032.711284722223</v>
      </c>
      <c r="Q151" t="s">
        <v>3896</v>
      </c>
      <c r="S151" t="s">
        <v>2978</v>
      </c>
      <c r="T151">
        <v>5</v>
      </c>
      <c r="W151" t="b">
        <v>1</v>
      </c>
      <c r="Y151" s="6">
        <v>42037.431944444441</v>
      </c>
    </row>
    <row r="152" spans="1:25" x14ac:dyDescent="0.25">
      <c r="A152" t="s">
        <v>11590</v>
      </c>
      <c r="B152" t="s">
        <v>11591</v>
      </c>
      <c r="C152">
        <v>2</v>
      </c>
      <c r="D152" t="s">
        <v>3893</v>
      </c>
      <c r="E152" t="s">
        <v>3894</v>
      </c>
      <c r="F152" s="18">
        <v>41974</v>
      </c>
      <c r="G152" s="18">
        <v>41982</v>
      </c>
      <c r="H152" s="18" t="str">
        <f>IFERROR(INDEX('Docs Signed Input'!B:B,MATCH('Nate''s Evolution'!$B152,'Docs Signed Input'!E:E,0)),"N")</f>
        <v>N</v>
      </c>
      <c r="I152" s="18" t="str">
        <f>IFERROR(INDEX('Docs Signed Input'!C:C,MATCH('Nate''s Evolution'!B152,'Docs Signed Input'!E:E,0)),"N")</f>
        <v>N</v>
      </c>
      <c r="L152" t="s">
        <v>2258</v>
      </c>
      <c r="M152" t="s">
        <v>12976</v>
      </c>
      <c r="N152">
        <v>2</v>
      </c>
      <c r="O152">
        <v>2.5</v>
      </c>
      <c r="P152" s="6">
        <v>42035.818124999998</v>
      </c>
      <c r="Q152" t="s">
        <v>3896</v>
      </c>
      <c r="R152" t="s">
        <v>3897</v>
      </c>
      <c r="S152" t="s">
        <v>3434</v>
      </c>
      <c r="T152">
        <v>2</v>
      </c>
      <c r="X152" t="b">
        <v>1</v>
      </c>
      <c r="Y152" s="6">
        <v>42037.431944444441</v>
      </c>
    </row>
    <row r="153" spans="1:25" x14ac:dyDescent="0.25">
      <c r="A153" t="s">
        <v>11634</v>
      </c>
      <c r="B153" t="s">
        <v>11635</v>
      </c>
      <c r="C153">
        <v>2.75</v>
      </c>
      <c r="D153" t="s">
        <v>3893</v>
      </c>
      <c r="E153" t="s">
        <v>4117</v>
      </c>
      <c r="F153" s="18">
        <v>41974</v>
      </c>
      <c r="G153" s="18">
        <v>41982</v>
      </c>
      <c r="H153" s="18" t="str">
        <f>IFERROR(INDEX('Docs Signed Input'!B:B,MATCH('Nate''s Evolution'!$B153,'Docs Signed Input'!E:E,0)),"N")</f>
        <v>N</v>
      </c>
      <c r="I153" s="18" t="str">
        <f>IFERROR(INDEX('Docs Signed Input'!C:C,MATCH('Nate''s Evolution'!B153,'Docs Signed Input'!E:E,0)),"N")</f>
        <v>N</v>
      </c>
      <c r="L153" t="s">
        <v>2258</v>
      </c>
      <c r="M153" t="s">
        <v>3930</v>
      </c>
      <c r="N153">
        <v>2.75</v>
      </c>
      <c r="O153">
        <v>2.75</v>
      </c>
      <c r="P153" s="6">
        <v>42035.818124999998</v>
      </c>
      <c r="Q153" t="s">
        <v>3896</v>
      </c>
      <c r="R153" t="s">
        <v>3897</v>
      </c>
      <c r="S153" t="s">
        <v>11485</v>
      </c>
      <c r="T153">
        <v>2</v>
      </c>
      <c r="X153" t="b">
        <v>1</v>
      </c>
      <c r="Y153" s="6">
        <v>42037.431944444441</v>
      </c>
    </row>
    <row r="154" spans="1:25" x14ac:dyDescent="0.25">
      <c r="A154" t="s">
        <v>11640</v>
      </c>
      <c r="B154" t="s">
        <v>11641</v>
      </c>
      <c r="C154">
        <v>9</v>
      </c>
      <c r="D154" t="s">
        <v>3893</v>
      </c>
      <c r="E154" t="s">
        <v>4117</v>
      </c>
      <c r="F154" s="18">
        <v>41974</v>
      </c>
      <c r="G154" s="18">
        <v>41982</v>
      </c>
      <c r="H154" s="18" t="str">
        <f>IFERROR(INDEX('Docs Signed Input'!B:B,MATCH('Nate''s Evolution'!$B154,'Docs Signed Input'!E:E,0)),"N")</f>
        <v>N</v>
      </c>
      <c r="I154" s="18" t="str">
        <f>IFERROR(INDEX('Docs Signed Input'!C:C,MATCH('Nate''s Evolution'!B154,'Docs Signed Input'!E:E,0)),"N")</f>
        <v>N</v>
      </c>
      <c r="L154" t="s">
        <v>2258</v>
      </c>
      <c r="M154" t="s">
        <v>3930</v>
      </c>
      <c r="N154">
        <v>9</v>
      </c>
      <c r="O154">
        <v>9</v>
      </c>
      <c r="P154" s="6">
        <v>42035.818124999998</v>
      </c>
      <c r="Q154" t="s">
        <v>3896</v>
      </c>
      <c r="S154" t="s">
        <v>2429</v>
      </c>
      <c r="T154">
        <v>2</v>
      </c>
      <c r="X154" t="b">
        <v>1</v>
      </c>
      <c r="Y154" s="6">
        <v>42037.431944444441</v>
      </c>
    </row>
    <row r="155" spans="1:25" x14ac:dyDescent="0.25">
      <c r="A155" t="s">
        <v>11644</v>
      </c>
      <c r="B155" t="s">
        <v>11645</v>
      </c>
      <c r="C155">
        <v>5.5</v>
      </c>
      <c r="D155" t="s">
        <v>3893</v>
      </c>
      <c r="E155" t="s">
        <v>3941</v>
      </c>
      <c r="F155" s="18">
        <v>41974</v>
      </c>
      <c r="G155" s="18">
        <v>41982</v>
      </c>
      <c r="H155" s="18" t="str">
        <f>IFERROR(INDEX('Docs Signed Input'!B:B,MATCH('Nate''s Evolution'!$B155,'Docs Signed Input'!E:E,0)),"N")</f>
        <v>N</v>
      </c>
      <c r="I155" s="18" t="str">
        <f>IFERROR(INDEX('Docs Signed Input'!C:C,MATCH('Nate''s Evolution'!B155,'Docs Signed Input'!E:E,0)),"N")</f>
        <v>N</v>
      </c>
      <c r="L155" t="s">
        <v>2258</v>
      </c>
      <c r="M155" t="s">
        <v>3986</v>
      </c>
      <c r="N155">
        <v>5.5</v>
      </c>
      <c r="O155">
        <v>5.5</v>
      </c>
      <c r="P155" s="6">
        <v>42035.818124999998</v>
      </c>
      <c r="Q155" t="s">
        <v>3896</v>
      </c>
      <c r="R155" t="s">
        <v>3897</v>
      </c>
      <c r="S155" t="s">
        <v>11493</v>
      </c>
      <c r="T155">
        <v>2</v>
      </c>
      <c r="X155" t="b">
        <v>1</v>
      </c>
      <c r="Y155" s="6">
        <v>42037.431944444441</v>
      </c>
    </row>
    <row r="156" spans="1:25" x14ac:dyDescent="0.25">
      <c r="A156" t="s">
        <v>11730</v>
      </c>
      <c r="B156" t="s">
        <v>11731</v>
      </c>
      <c r="C156">
        <v>6.8849999999999998</v>
      </c>
      <c r="D156" t="s">
        <v>3893</v>
      </c>
      <c r="E156" t="s">
        <v>3894</v>
      </c>
      <c r="F156" s="18">
        <v>41974</v>
      </c>
      <c r="G156" s="18">
        <v>41982</v>
      </c>
      <c r="H156" s="18" t="str">
        <f>IFERROR(INDEX('Docs Signed Input'!B:B,MATCH('Nate''s Evolution'!$B156,'Docs Signed Input'!E:E,0)),"N")</f>
        <v>Y</v>
      </c>
      <c r="I156" s="18" t="str">
        <f>IFERROR(INDEX('Docs Signed Input'!C:C,MATCH('Nate''s Evolution'!B156,'Docs Signed Input'!E:E,0)),"N")</f>
        <v>Y</v>
      </c>
      <c r="J156" s="18">
        <v>42010</v>
      </c>
      <c r="L156" t="s">
        <v>2258</v>
      </c>
      <c r="M156" t="s">
        <v>4317</v>
      </c>
      <c r="N156">
        <v>5</v>
      </c>
      <c r="O156">
        <v>6.8849999999999998</v>
      </c>
      <c r="P156" s="6">
        <v>42035.818124999998</v>
      </c>
      <c r="Q156" t="s">
        <v>3896</v>
      </c>
      <c r="S156" t="s">
        <v>3566</v>
      </c>
      <c r="T156">
        <v>2</v>
      </c>
      <c r="X156" t="b">
        <v>1</v>
      </c>
      <c r="Y156" s="6">
        <v>42037.431944444441</v>
      </c>
    </row>
    <row r="157" spans="1:25" x14ac:dyDescent="0.25">
      <c r="A157" t="s">
        <v>11758</v>
      </c>
      <c r="B157" t="s">
        <v>11759</v>
      </c>
      <c r="C157">
        <v>8.5</v>
      </c>
      <c r="D157" t="s">
        <v>3893</v>
      </c>
      <c r="E157" t="s">
        <v>4117</v>
      </c>
      <c r="F157" s="18">
        <v>41974</v>
      </c>
      <c r="G157" s="18">
        <v>41982</v>
      </c>
      <c r="H157" s="18" t="str">
        <f>IFERROR(INDEX('Docs Signed Input'!B:B,MATCH('Nate''s Evolution'!$B157,'Docs Signed Input'!E:E,0)),"N")</f>
        <v>N</v>
      </c>
      <c r="I157" s="18" t="str">
        <f>IFERROR(INDEX('Docs Signed Input'!C:C,MATCH('Nate''s Evolution'!B157,'Docs Signed Input'!E:E,0)),"N")</f>
        <v>N</v>
      </c>
      <c r="L157" t="s">
        <v>2258</v>
      </c>
      <c r="M157" t="s">
        <v>3948</v>
      </c>
      <c r="N157">
        <v>8.5</v>
      </c>
      <c r="O157">
        <v>8.5</v>
      </c>
      <c r="P157" s="6">
        <v>42035.818124999998</v>
      </c>
      <c r="Q157" t="s">
        <v>3896</v>
      </c>
      <c r="R157" t="s">
        <v>3897</v>
      </c>
      <c r="S157" t="s">
        <v>3485</v>
      </c>
      <c r="T157">
        <v>2</v>
      </c>
      <c r="X157" t="b">
        <v>1</v>
      </c>
      <c r="Y157" s="6">
        <v>42037.431944444441</v>
      </c>
    </row>
    <row r="158" spans="1:25" x14ac:dyDescent="0.25">
      <c r="A158" t="s">
        <v>11808</v>
      </c>
      <c r="B158" t="s">
        <v>11809</v>
      </c>
      <c r="C158">
        <v>10.965</v>
      </c>
      <c r="D158" t="s">
        <v>3893</v>
      </c>
      <c r="E158" t="s">
        <v>3894</v>
      </c>
      <c r="F158" s="18">
        <v>41974</v>
      </c>
      <c r="G158" s="18">
        <v>41982</v>
      </c>
      <c r="H158" s="18" t="str">
        <f>IFERROR(INDEX('Docs Signed Input'!B:B,MATCH('Nate''s Evolution'!$B158,'Docs Signed Input'!E:E,0)),"N")</f>
        <v>N</v>
      </c>
      <c r="I158" s="18" t="str">
        <f>IFERROR(INDEX('Docs Signed Input'!C:C,MATCH('Nate''s Evolution'!B158,'Docs Signed Input'!E:E,0)),"N")</f>
        <v>Y</v>
      </c>
      <c r="J158" s="18">
        <v>41991</v>
      </c>
      <c r="L158" t="s">
        <v>2258</v>
      </c>
      <c r="M158" t="s">
        <v>3948</v>
      </c>
      <c r="N158">
        <v>10.75</v>
      </c>
      <c r="O158">
        <v>10.965</v>
      </c>
      <c r="P158" s="6">
        <v>42035.818124999998</v>
      </c>
      <c r="Q158" t="s">
        <v>3896</v>
      </c>
      <c r="R158" t="s">
        <v>3897</v>
      </c>
      <c r="S158" t="s">
        <v>2703</v>
      </c>
      <c r="T158">
        <v>2</v>
      </c>
      <c r="X158" t="b">
        <v>1</v>
      </c>
      <c r="Y158" s="6">
        <v>42037.431944444441</v>
      </c>
    </row>
    <row r="159" spans="1:25" x14ac:dyDescent="0.25">
      <c r="A159" t="s">
        <v>11553</v>
      </c>
      <c r="B159" t="s">
        <v>11554</v>
      </c>
      <c r="C159">
        <v>8.25</v>
      </c>
      <c r="D159" t="s">
        <v>3893</v>
      </c>
      <c r="E159" t="s">
        <v>4117</v>
      </c>
      <c r="F159" s="18">
        <v>41974</v>
      </c>
      <c r="G159" s="18">
        <v>41983</v>
      </c>
      <c r="H159" s="18" t="str">
        <f>IFERROR(INDEX('Docs Signed Input'!B:B,MATCH('Nate''s Evolution'!$B159,'Docs Signed Input'!E:E,0)),"N")</f>
        <v>N</v>
      </c>
      <c r="I159" s="18" t="str">
        <f>IFERROR(INDEX('Docs Signed Input'!C:C,MATCH('Nate''s Evolution'!B159,'Docs Signed Input'!E:E,0)),"N")</f>
        <v>N</v>
      </c>
      <c r="L159" t="s">
        <v>2258</v>
      </c>
      <c r="M159" t="s">
        <v>3933</v>
      </c>
      <c r="N159">
        <v>8.25</v>
      </c>
      <c r="O159">
        <v>8.25</v>
      </c>
      <c r="P159" s="6">
        <v>42035.818124999998</v>
      </c>
      <c r="Q159" t="s">
        <v>3896</v>
      </c>
      <c r="R159" t="s">
        <v>3897</v>
      </c>
      <c r="S159" t="s">
        <v>3570</v>
      </c>
      <c r="T159">
        <v>2</v>
      </c>
      <c r="X159" t="b">
        <v>1</v>
      </c>
      <c r="Y159" s="6">
        <v>42037.431944444441</v>
      </c>
    </row>
    <row r="160" spans="1:25" x14ac:dyDescent="0.25">
      <c r="A160" t="s">
        <v>11602</v>
      </c>
      <c r="B160" t="s">
        <v>11603</v>
      </c>
      <c r="C160">
        <v>8</v>
      </c>
      <c r="D160" t="s">
        <v>3893</v>
      </c>
      <c r="E160" t="s">
        <v>4117</v>
      </c>
      <c r="F160" s="18">
        <v>41974</v>
      </c>
      <c r="G160" s="18">
        <v>41983</v>
      </c>
      <c r="H160" s="18" t="str">
        <f>IFERROR(INDEX('Docs Signed Input'!B:B,MATCH('Nate''s Evolution'!$B160,'Docs Signed Input'!E:E,0)),"N")</f>
        <v>N</v>
      </c>
      <c r="I160" s="18" t="str">
        <f>IFERROR(INDEX('Docs Signed Input'!C:C,MATCH('Nate''s Evolution'!B160,'Docs Signed Input'!E:E,0)),"N")</f>
        <v>N</v>
      </c>
      <c r="L160" t="s">
        <v>2258</v>
      </c>
      <c r="M160" t="s">
        <v>3933</v>
      </c>
      <c r="N160">
        <v>8</v>
      </c>
      <c r="O160">
        <v>8</v>
      </c>
      <c r="P160" s="6">
        <v>42035.818124999998</v>
      </c>
      <c r="Q160" t="s">
        <v>3896</v>
      </c>
      <c r="R160" t="s">
        <v>3897</v>
      </c>
      <c r="S160" t="s">
        <v>3002</v>
      </c>
      <c r="T160">
        <v>2</v>
      </c>
      <c r="X160" t="b">
        <v>1</v>
      </c>
      <c r="Y160" s="6">
        <v>42037.431944444441</v>
      </c>
    </row>
    <row r="161" spans="1:25" x14ac:dyDescent="0.25">
      <c r="A161" t="s">
        <v>11615</v>
      </c>
      <c r="B161" t="s">
        <v>11616</v>
      </c>
      <c r="C161">
        <v>9.5</v>
      </c>
      <c r="D161" t="s">
        <v>3900</v>
      </c>
      <c r="E161" t="s">
        <v>3960</v>
      </c>
      <c r="F161" s="18">
        <v>41974</v>
      </c>
      <c r="G161" s="18">
        <v>41983</v>
      </c>
      <c r="H161" s="18" t="str">
        <f>IFERROR(INDEX('Docs Signed Input'!B:B,MATCH('Nate''s Evolution'!$B161,'Docs Signed Input'!E:E,0)),"N")</f>
        <v>Y</v>
      </c>
      <c r="I161" s="18" t="str">
        <f>IFERROR(INDEX('Docs Signed Input'!C:C,MATCH('Nate''s Evolution'!B161,'Docs Signed Input'!E:E,0)),"N")</f>
        <v>Y</v>
      </c>
      <c r="J161" s="18">
        <v>42001</v>
      </c>
      <c r="K161" s="18">
        <v>42016</v>
      </c>
      <c r="L161" t="s">
        <v>2258</v>
      </c>
      <c r="M161" t="s">
        <v>3902</v>
      </c>
      <c r="N161">
        <v>9.5</v>
      </c>
      <c r="O161">
        <v>9.75</v>
      </c>
      <c r="P161" s="6">
        <v>42020.523113425923</v>
      </c>
      <c r="Q161" t="s">
        <v>3896</v>
      </c>
      <c r="S161" t="s">
        <v>2400</v>
      </c>
      <c r="T161">
        <v>17</v>
      </c>
      <c r="W161" t="b">
        <v>1</v>
      </c>
      <c r="Y161" s="6">
        <v>42037.431944444441</v>
      </c>
    </row>
    <row r="162" spans="1:25" x14ac:dyDescent="0.25">
      <c r="A162" t="s">
        <v>11615</v>
      </c>
      <c r="B162" t="s">
        <v>11617</v>
      </c>
      <c r="C162">
        <v>7.5</v>
      </c>
      <c r="D162" t="s">
        <v>3900</v>
      </c>
      <c r="E162" t="s">
        <v>3960</v>
      </c>
      <c r="F162" s="18">
        <v>41974</v>
      </c>
      <c r="G162" s="18">
        <v>41983</v>
      </c>
      <c r="H162" s="18" t="str">
        <f>IFERROR(INDEX('Docs Signed Input'!B:B,MATCH('Nate''s Evolution'!$B162,'Docs Signed Input'!E:E,0)),"N")</f>
        <v>N</v>
      </c>
      <c r="I162" s="18" t="str">
        <f>IFERROR(INDEX('Docs Signed Input'!C:C,MATCH('Nate''s Evolution'!B162,'Docs Signed Input'!E:E,0)),"N")</f>
        <v>N</v>
      </c>
      <c r="J162" s="18">
        <v>42016</v>
      </c>
      <c r="K162" s="18">
        <v>42028</v>
      </c>
      <c r="L162" t="s">
        <v>2258</v>
      </c>
      <c r="M162" t="s">
        <v>3930</v>
      </c>
      <c r="N162">
        <v>7</v>
      </c>
      <c r="O162">
        <v>8</v>
      </c>
      <c r="P162" s="6">
        <v>42034.431192129632</v>
      </c>
      <c r="Q162" t="s">
        <v>3896</v>
      </c>
      <c r="S162" t="s">
        <v>2400</v>
      </c>
      <c r="T162">
        <v>3</v>
      </c>
      <c r="W162" t="b">
        <v>1</v>
      </c>
      <c r="Y162" s="6">
        <v>42037.431944444441</v>
      </c>
    </row>
    <row r="163" spans="1:25" x14ac:dyDescent="0.25">
      <c r="A163" t="s">
        <v>11642</v>
      </c>
      <c r="B163" t="s">
        <v>11643</v>
      </c>
      <c r="C163">
        <v>8.16</v>
      </c>
      <c r="D163" t="s">
        <v>3900</v>
      </c>
      <c r="E163" t="s">
        <v>3960</v>
      </c>
      <c r="F163" s="18">
        <v>41974</v>
      </c>
      <c r="G163" s="18">
        <v>41983</v>
      </c>
      <c r="H163" s="18" t="str">
        <f>IFERROR(INDEX('Docs Signed Input'!B:B,MATCH('Nate''s Evolution'!$B163,'Docs Signed Input'!E:E,0)),"N")</f>
        <v>Y</v>
      </c>
      <c r="I163" s="18" t="str">
        <f>IFERROR(INDEX('Docs Signed Input'!C:C,MATCH('Nate''s Evolution'!B163,'Docs Signed Input'!E:E,0)),"N")</f>
        <v>Y</v>
      </c>
      <c r="J163" s="18">
        <v>41995</v>
      </c>
      <c r="K163" s="18">
        <v>42020</v>
      </c>
      <c r="L163" t="s">
        <v>2258</v>
      </c>
      <c r="M163" t="s">
        <v>3948</v>
      </c>
      <c r="N163">
        <v>7.3949999999999996</v>
      </c>
      <c r="O163">
        <v>11.73</v>
      </c>
      <c r="P163" s="6">
        <v>42034.52584490741</v>
      </c>
      <c r="Q163" t="s">
        <v>3896</v>
      </c>
      <c r="R163" t="s">
        <v>11563</v>
      </c>
      <c r="S163" t="s">
        <v>2689</v>
      </c>
      <c r="T163">
        <v>3</v>
      </c>
      <c r="W163" t="b">
        <v>1</v>
      </c>
      <c r="Y163" s="6">
        <v>42037.431944444441</v>
      </c>
    </row>
    <row r="164" spans="1:25" x14ac:dyDescent="0.25">
      <c r="A164" t="s">
        <v>11657</v>
      </c>
      <c r="B164" t="s">
        <v>11658</v>
      </c>
      <c r="C164">
        <v>9.5</v>
      </c>
      <c r="D164" t="s">
        <v>3893</v>
      </c>
      <c r="E164" t="s">
        <v>4117</v>
      </c>
      <c r="F164" s="18">
        <v>41974</v>
      </c>
      <c r="G164" s="18">
        <v>41983</v>
      </c>
      <c r="H164" s="18" t="str">
        <f>IFERROR(INDEX('Docs Signed Input'!B:B,MATCH('Nate''s Evolution'!$B164,'Docs Signed Input'!E:E,0)),"N")</f>
        <v>N</v>
      </c>
      <c r="I164" s="18" t="str">
        <f>IFERROR(INDEX('Docs Signed Input'!C:C,MATCH('Nate''s Evolution'!B164,'Docs Signed Input'!E:E,0)),"N")</f>
        <v>N</v>
      </c>
      <c r="L164" t="s">
        <v>2258</v>
      </c>
      <c r="M164" t="s">
        <v>3948</v>
      </c>
      <c r="N164">
        <v>9.5</v>
      </c>
      <c r="O164">
        <v>9.5</v>
      </c>
      <c r="P164" s="6">
        <v>42035.818124999998</v>
      </c>
      <c r="Q164" t="s">
        <v>3896</v>
      </c>
      <c r="R164" t="s">
        <v>5107</v>
      </c>
      <c r="S164" t="s">
        <v>2689</v>
      </c>
      <c r="T164">
        <v>2</v>
      </c>
      <c r="X164" t="b">
        <v>1</v>
      </c>
      <c r="Y164" s="6">
        <v>42037.431944444441</v>
      </c>
    </row>
    <row r="165" spans="1:25" x14ac:dyDescent="0.25">
      <c r="A165" t="s">
        <v>11659</v>
      </c>
      <c r="B165" t="s">
        <v>11660</v>
      </c>
      <c r="C165">
        <v>3.36</v>
      </c>
      <c r="D165" t="s">
        <v>3893</v>
      </c>
      <c r="E165" t="s">
        <v>3894</v>
      </c>
      <c r="F165" s="18">
        <v>41974</v>
      </c>
      <c r="G165" s="18">
        <v>41983</v>
      </c>
      <c r="H165" s="18" t="str">
        <f>IFERROR(INDEX('Docs Signed Input'!B:B,MATCH('Nate''s Evolution'!$B165,'Docs Signed Input'!E:E,0)),"N")</f>
        <v>N</v>
      </c>
      <c r="I165" s="18" t="str">
        <f>IFERROR(INDEX('Docs Signed Input'!C:C,MATCH('Nate''s Evolution'!B165,'Docs Signed Input'!E:E,0)),"N")</f>
        <v>N</v>
      </c>
      <c r="L165" t="s">
        <v>2258</v>
      </c>
      <c r="M165" t="s">
        <v>12976</v>
      </c>
      <c r="N165">
        <v>3.25</v>
      </c>
      <c r="O165">
        <v>3.36</v>
      </c>
      <c r="P165" s="6">
        <v>42035.818124999998</v>
      </c>
      <c r="Q165" t="s">
        <v>3896</v>
      </c>
      <c r="R165" t="s">
        <v>3918</v>
      </c>
      <c r="S165" t="s">
        <v>3406</v>
      </c>
      <c r="T165">
        <v>2</v>
      </c>
      <c r="X165" t="b">
        <v>1</v>
      </c>
      <c r="Y165" s="6">
        <v>42037.431944444441</v>
      </c>
    </row>
    <row r="166" spans="1:25" x14ac:dyDescent="0.25">
      <c r="A166" t="s">
        <v>11670</v>
      </c>
      <c r="B166" t="s">
        <v>11671</v>
      </c>
      <c r="C166">
        <v>8.67</v>
      </c>
      <c r="D166" t="s">
        <v>3893</v>
      </c>
      <c r="E166" t="s">
        <v>3894</v>
      </c>
      <c r="F166" s="18">
        <v>41974</v>
      </c>
      <c r="G166" s="18">
        <v>41983</v>
      </c>
      <c r="H166" s="18" t="str">
        <f>IFERROR(INDEX('Docs Signed Input'!B:B,MATCH('Nate''s Evolution'!$B166,'Docs Signed Input'!E:E,0)),"N")</f>
        <v>N</v>
      </c>
      <c r="I166" s="18" t="str">
        <f>IFERROR(INDEX('Docs Signed Input'!C:C,MATCH('Nate''s Evolution'!B166,'Docs Signed Input'!E:E,0)),"N")</f>
        <v>Y</v>
      </c>
      <c r="J166" s="18">
        <v>42003</v>
      </c>
      <c r="L166" t="s">
        <v>2258</v>
      </c>
      <c r="M166" t="s">
        <v>3948</v>
      </c>
      <c r="N166">
        <v>8.5</v>
      </c>
      <c r="O166">
        <v>8.67</v>
      </c>
      <c r="P166" s="6">
        <v>42035.818124999998</v>
      </c>
      <c r="Q166" t="s">
        <v>3896</v>
      </c>
      <c r="R166" t="s">
        <v>3918</v>
      </c>
      <c r="S166" t="s">
        <v>3766</v>
      </c>
      <c r="T166">
        <v>2</v>
      </c>
      <c r="X166" t="b">
        <v>1</v>
      </c>
      <c r="Y166" s="6">
        <v>42037.431944444441</v>
      </c>
    </row>
    <row r="167" spans="1:25" x14ac:dyDescent="0.25">
      <c r="A167" t="s">
        <v>11696</v>
      </c>
      <c r="B167" t="s">
        <v>11697</v>
      </c>
      <c r="C167">
        <v>11</v>
      </c>
      <c r="D167" t="s">
        <v>3909</v>
      </c>
      <c r="E167" t="s">
        <v>3937</v>
      </c>
      <c r="F167" s="18">
        <v>41974</v>
      </c>
      <c r="G167" s="18">
        <v>41983</v>
      </c>
      <c r="H167" s="18" t="str">
        <f>IFERROR(INDEX('Docs Signed Input'!B:B,MATCH('Nate''s Evolution'!$B167,'Docs Signed Input'!E:E,0)),"N")</f>
        <v>N</v>
      </c>
      <c r="I167" s="18" t="str">
        <f>IFERROR(INDEX('Docs Signed Input'!C:C,MATCH('Nate''s Evolution'!B167,'Docs Signed Input'!E:E,0)),"N")</f>
        <v>N</v>
      </c>
      <c r="L167" t="s">
        <v>2258</v>
      </c>
      <c r="M167" t="s">
        <v>3932</v>
      </c>
      <c r="N167">
        <v>11</v>
      </c>
      <c r="O167">
        <v>11</v>
      </c>
      <c r="P167" s="6">
        <v>41995.649456018517</v>
      </c>
      <c r="Q167" t="s">
        <v>3896</v>
      </c>
      <c r="R167" t="s">
        <v>3897</v>
      </c>
      <c r="S167" t="s">
        <v>3589</v>
      </c>
      <c r="T167">
        <v>42</v>
      </c>
      <c r="V167" t="b">
        <v>1</v>
      </c>
      <c r="Y167" s="6">
        <v>42037.431944444441</v>
      </c>
    </row>
    <row r="168" spans="1:25" x14ac:dyDescent="0.25">
      <c r="A168" t="s">
        <v>11734</v>
      </c>
      <c r="B168" t="s">
        <v>11735</v>
      </c>
      <c r="C168">
        <v>6.25</v>
      </c>
      <c r="D168" t="s">
        <v>3893</v>
      </c>
      <c r="E168" t="s">
        <v>3894</v>
      </c>
      <c r="F168" s="18">
        <v>41974</v>
      </c>
      <c r="G168" s="18">
        <v>41983</v>
      </c>
      <c r="H168" s="18" t="str">
        <f>IFERROR(INDEX('Docs Signed Input'!B:B,MATCH('Nate''s Evolution'!$B168,'Docs Signed Input'!E:E,0)),"N")</f>
        <v>Y</v>
      </c>
      <c r="I168" s="18" t="str">
        <f>IFERROR(INDEX('Docs Signed Input'!C:C,MATCH('Nate''s Evolution'!B168,'Docs Signed Input'!E:E,0)),"N")</f>
        <v>N</v>
      </c>
      <c r="L168" t="s">
        <v>2258</v>
      </c>
      <c r="M168" t="s">
        <v>12976</v>
      </c>
      <c r="N168">
        <v>6.25</v>
      </c>
      <c r="O168">
        <v>11.5</v>
      </c>
      <c r="P168" s="6">
        <v>42035.818124999998</v>
      </c>
      <c r="Q168" t="s">
        <v>3896</v>
      </c>
      <c r="R168" t="s">
        <v>4222</v>
      </c>
      <c r="S168" t="s">
        <v>3434</v>
      </c>
      <c r="T168">
        <v>2</v>
      </c>
      <c r="X168" t="b">
        <v>1</v>
      </c>
      <c r="Y168" s="6">
        <v>42037.431944444441</v>
      </c>
    </row>
    <row r="169" spans="1:25" x14ac:dyDescent="0.25">
      <c r="A169" t="s">
        <v>11746</v>
      </c>
      <c r="B169" t="s">
        <v>11747</v>
      </c>
      <c r="C169">
        <v>5.25</v>
      </c>
      <c r="D169" t="s">
        <v>3893</v>
      </c>
      <c r="E169" t="s">
        <v>3925</v>
      </c>
      <c r="F169" s="18">
        <v>41974</v>
      </c>
      <c r="G169" s="18">
        <v>41983</v>
      </c>
      <c r="H169" s="18" t="str">
        <f>IFERROR(INDEX('Docs Signed Input'!B:B,MATCH('Nate''s Evolution'!$B169,'Docs Signed Input'!E:E,0)),"N")</f>
        <v>N</v>
      </c>
      <c r="I169" s="18" t="str">
        <f>IFERROR(INDEX('Docs Signed Input'!C:C,MATCH('Nate''s Evolution'!B169,'Docs Signed Input'!E:E,0)),"N")</f>
        <v>Y</v>
      </c>
      <c r="J169" s="18">
        <v>42008</v>
      </c>
      <c r="L169" t="s">
        <v>2258</v>
      </c>
      <c r="M169" t="s">
        <v>4000</v>
      </c>
      <c r="N169">
        <v>5.25</v>
      </c>
      <c r="O169">
        <v>5.25</v>
      </c>
      <c r="P169" s="6">
        <v>42035.818124999998</v>
      </c>
      <c r="Q169" t="s">
        <v>3896</v>
      </c>
      <c r="R169" t="s">
        <v>11563</v>
      </c>
      <c r="S169" t="s">
        <v>3438</v>
      </c>
      <c r="T169">
        <v>2</v>
      </c>
      <c r="X169" t="b">
        <v>1</v>
      </c>
      <c r="Y169" s="6">
        <v>42037.431944444441</v>
      </c>
    </row>
    <row r="170" spans="1:25" x14ac:dyDescent="0.25">
      <c r="A170" t="s">
        <v>11766</v>
      </c>
      <c r="B170" t="s">
        <v>11767</v>
      </c>
      <c r="C170">
        <v>11</v>
      </c>
      <c r="D170" t="s">
        <v>3909</v>
      </c>
      <c r="E170" t="s">
        <v>3937</v>
      </c>
      <c r="F170" s="18">
        <v>41974</v>
      </c>
      <c r="G170" s="18">
        <v>41983</v>
      </c>
      <c r="H170" s="18" t="str">
        <f>IFERROR(INDEX('Docs Signed Input'!B:B,MATCH('Nate''s Evolution'!$B170,'Docs Signed Input'!E:E,0)),"N")</f>
        <v>N</v>
      </c>
      <c r="I170" s="18" t="str">
        <f>IFERROR(INDEX('Docs Signed Input'!C:C,MATCH('Nate''s Evolution'!B170,'Docs Signed Input'!E:E,0)),"N")</f>
        <v>N</v>
      </c>
      <c r="L170" t="s">
        <v>2258</v>
      </c>
      <c r="M170" t="s">
        <v>4317</v>
      </c>
      <c r="N170">
        <v>11</v>
      </c>
      <c r="O170">
        <v>11</v>
      </c>
      <c r="P170" s="6">
        <v>42031.483020833337</v>
      </c>
      <c r="Q170" t="s">
        <v>3896</v>
      </c>
      <c r="R170" t="s">
        <v>3897</v>
      </c>
      <c r="S170" t="s">
        <v>3566</v>
      </c>
      <c r="T170">
        <v>6</v>
      </c>
      <c r="V170" t="b">
        <v>1</v>
      </c>
      <c r="Y170" s="6">
        <v>42037.431944444441</v>
      </c>
    </row>
    <row r="171" spans="1:25" x14ac:dyDescent="0.25">
      <c r="A171" t="s">
        <v>11768</v>
      </c>
      <c r="B171" t="s">
        <v>11769</v>
      </c>
      <c r="C171">
        <v>7.5</v>
      </c>
      <c r="D171" t="s">
        <v>2230</v>
      </c>
      <c r="E171" t="s">
        <v>3984</v>
      </c>
      <c r="F171" s="18">
        <v>41974</v>
      </c>
      <c r="G171" s="18">
        <v>41983</v>
      </c>
      <c r="H171" s="18" t="str">
        <f>IFERROR(INDEX('Docs Signed Input'!B:B,MATCH('Nate''s Evolution'!$B171,'Docs Signed Input'!E:E,0)),"N")</f>
        <v>N</v>
      </c>
      <c r="I171" s="18" t="str">
        <f>IFERROR(INDEX('Docs Signed Input'!C:C,MATCH('Nate''s Evolution'!B171,'Docs Signed Input'!E:E,0)),"N")</f>
        <v>N</v>
      </c>
      <c r="L171" t="s">
        <v>2258</v>
      </c>
      <c r="M171" t="s">
        <v>3926</v>
      </c>
      <c r="N171">
        <v>7.5</v>
      </c>
      <c r="O171">
        <v>7.5</v>
      </c>
      <c r="P171" s="6">
        <v>42002.637696759259</v>
      </c>
      <c r="Q171" t="s">
        <v>3896</v>
      </c>
      <c r="R171" t="s">
        <v>3897</v>
      </c>
      <c r="S171" t="s">
        <v>2943</v>
      </c>
      <c r="T171">
        <v>35</v>
      </c>
      <c r="U171" t="b">
        <v>1</v>
      </c>
      <c r="Y171" s="6">
        <v>42037.431944444441</v>
      </c>
    </row>
    <row r="172" spans="1:25" x14ac:dyDescent="0.25">
      <c r="A172" t="s">
        <v>11772</v>
      </c>
      <c r="B172" t="s">
        <v>11773</v>
      </c>
      <c r="C172">
        <v>15</v>
      </c>
      <c r="D172" t="s">
        <v>3893</v>
      </c>
      <c r="E172" t="s">
        <v>4117</v>
      </c>
      <c r="F172" s="18">
        <v>41974</v>
      </c>
      <c r="G172" s="18">
        <v>41983</v>
      </c>
      <c r="H172" s="18" t="str">
        <f>IFERROR(INDEX('Docs Signed Input'!B:B,MATCH('Nate''s Evolution'!$B172,'Docs Signed Input'!E:E,0)),"N")</f>
        <v>N</v>
      </c>
      <c r="I172" s="18" t="str">
        <f>IFERROR(INDEX('Docs Signed Input'!C:C,MATCH('Nate''s Evolution'!B172,'Docs Signed Input'!E:E,0)),"N")</f>
        <v>N</v>
      </c>
      <c r="L172" t="s">
        <v>2258</v>
      </c>
      <c r="M172" t="s">
        <v>12976</v>
      </c>
      <c r="N172">
        <v>15</v>
      </c>
      <c r="O172">
        <v>15</v>
      </c>
      <c r="P172" s="6">
        <v>42035.818124999998</v>
      </c>
      <c r="Q172" t="s">
        <v>3896</v>
      </c>
      <c r="R172" t="s">
        <v>3897</v>
      </c>
      <c r="S172" t="s">
        <v>3406</v>
      </c>
      <c r="T172">
        <v>2</v>
      </c>
      <c r="X172" t="b">
        <v>1</v>
      </c>
      <c r="Y172" s="6">
        <v>42037.431944444441</v>
      </c>
    </row>
    <row r="173" spans="1:25" x14ac:dyDescent="0.25">
      <c r="A173" t="s">
        <v>11784</v>
      </c>
      <c r="B173" t="s">
        <v>11785</v>
      </c>
      <c r="C173">
        <v>4.25</v>
      </c>
      <c r="D173" t="s">
        <v>3922</v>
      </c>
      <c r="E173" t="s">
        <v>3923</v>
      </c>
      <c r="F173" s="18">
        <v>41974</v>
      </c>
      <c r="G173" s="18">
        <v>41983</v>
      </c>
      <c r="H173" s="18" t="str">
        <f>IFERROR(INDEX('Docs Signed Input'!B:B,MATCH('Nate''s Evolution'!$B173,'Docs Signed Input'!E:E,0)),"N")</f>
        <v>N</v>
      </c>
      <c r="I173" s="18" t="str">
        <f>IFERROR(INDEX('Docs Signed Input'!C:C,MATCH('Nate''s Evolution'!B173,'Docs Signed Input'!E:E,0)),"N")</f>
        <v>Y</v>
      </c>
      <c r="J173" s="18">
        <v>42003</v>
      </c>
      <c r="L173" t="s">
        <v>2258</v>
      </c>
      <c r="M173" t="s">
        <v>12976</v>
      </c>
      <c r="N173">
        <v>4</v>
      </c>
      <c r="O173">
        <v>4.25</v>
      </c>
      <c r="P173" s="6">
        <v>42035.818124999998</v>
      </c>
      <c r="Q173" t="s">
        <v>3896</v>
      </c>
      <c r="R173" t="s">
        <v>11563</v>
      </c>
      <c r="S173" t="s">
        <v>3438</v>
      </c>
      <c r="T173">
        <v>2</v>
      </c>
      <c r="X173" t="b">
        <v>1</v>
      </c>
      <c r="Y173" s="6">
        <v>42037.431944444441</v>
      </c>
    </row>
    <row r="174" spans="1:25" x14ac:dyDescent="0.25">
      <c r="A174" t="s">
        <v>11790</v>
      </c>
      <c r="B174" t="s">
        <v>11791</v>
      </c>
      <c r="C174">
        <v>9</v>
      </c>
      <c r="D174" t="s">
        <v>3893</v>
      </c>
      <c r="E174" t="s">
        <v>3894</v>
      </c>
      <c r="F174" s="18">
        <v>41974</v>
      </c>
      <c r="G174" s="18">
        <v>41983</v>
      </c>
      <c r="H174" s="18" t="str">
        <f>IFERROR(INDEX('Docs Signed Input'!B:B,MATCH('Nate''s Evolution'!$B174,'Docs Signed Input'!E:E,0)),"N")</f>
        <v>N</v>
      </c>
      <c r="I174" s="18" t="str">
        <f>IFERROR(INDEX('Docs Signed Input'!C:C,MATCH('Nate''s Evolution'!B174,'Docs Signed Input'!E:E,0)),"N")</f>
        <v>N</v>
      </c>
      <c r="L174" t="s">
        <v>2258</v>
      </c>
      <c r="M174" t="s">
        <v>4013</v>
      </c>
      <c r="N174">
        <v>9</v>
      </c>
      <c r="O174">
        <v>13.25</v>
      </c>
      <c r="P174" s="6">
        <v>42035.818124999998</v>
      </c>
      <c r="Q174" t="s">
        <v>3896</v>
      </c>
      <c r="R174" t="s">
        <v>13035</v>
      </c>
      <c r="S174" t="s">
        <v>3674</v>
      </c>
      <c r="T174">
        <v>2</v>
      </c>
      <c r="X174" t="b">
        <v>1</v>
      </c>
      <c r="Y174" s="6">
        <v>42037.431944444441</v>
      </c>
    </row>
    <row r="175" spans="1:25" x14ac:dyDescent="0.25">
      <c r="A175" t="s">
        <v>11571</v>
      </c>
      <c r="B175" t="s">
        <v>11572</v>
      </c>
      <c r="C175">
        <v>14.25</v>
      </c>
      <c r="D175" t="s">
        <v>3893</v>
      </c>
      <c r="E175" t="s">
        <v>4117</v>
      </c>
      <c r="F175" s="18">
        <v>41974</v>
      </c>
      <c r="G175" s="18">
        <v>41984</v>
      </c>
      <c r="H175" s="18" t="str">
        <f>IFERROR(INDEX('Docs Signed Input'!B:B,MATCH('Nate''s Evolution'!$B175,'Docs Signed Input'!E:E,0)),"N")</f>
        <v>N</v>
      </c>
      <c r="I175" s="18" t="str">
        <f>IFERROR(INDEX('Docs Signed Input'!C:C,MATCH('Nate''s Evolution'!B175,'Docs Signed Input'!E:E,0)),"N")</f>
        <v>N</v>
      </c>
      <c r="L175" t="s">
        <v>2258</v>
      </c>
      <c r="M175" t="s">
        <v>4032</v>
      </c>
      <c r="N175">
        <v>14.25</v>
      </c>
      <c r="O175">
        <v>14.25</v>
      </c>
      <c r="P175" s="6">
        <v>42035.818124999998</v>
      </c>
      <c r="Q175" t="s">
        <v>3896</v>
      </c>
      <c r="R175" t="s">
        <v>11563</v>
      </c>
      <c r="S175" t="s">
        <v>3746</v>
      </c>
      <c r="T175">
        <v>2</v>
      </c>
      <c r="X175" t="b">
        <v>1</v>
      </c>
      <c r="Y175" s="6">
        <v>42037.431944444441</v>
      </c>
    </row>
    <row r="176" spans="1:25" x14ac:dyDescent="0.25">
      <c r="A176" t="s">
        <v>11588</v>
      </c>
      <c r="B176" t="s">
        <v>11589</v>
      </c>
      <c r="C176">
        <v>1.53</v>
      </c>
      <c r="D176" t="s">
        <v>3893</v>
      </c>
      <c r="E176" t="s">
        <v>3894</v>
      </c>
      <c r="F176" s="18">
        <v>41974</v>
      </c>
      <c r="G176" s="18">
        <v>41984</v>
      </c>
      <c r="H176" s="18" t="str">
        <f>IFERROR(INDEX('Docs Signed Input'!B:B,MATCH('Nate''s Evolution'!$B176,'Docs Signed Input'!E:E,0)),"N")</f>
        <v>N</v>
      </c>
      <c r="I176" s="18" t="str">
        <f>IFERROR(INDEX('Docs Signed Input'!C:C,MATCH('Nate''s Evolution'!B176,'Docs Signed Input'!E:E,0)),"N")</f>
        <v>N</v>
      </c>
      <c r="L176" t="s">
        <v>2258</v>
      </c>
      <c r="M176" t="s">
        <v>3933</v>
      </c>
      <c r="N176">
        <v>1.53</v>
      </c>
      <c r="O176">
        <v>4</v>
      </c>
      <c r="P176" s="6">
        <v>42035.818124999998</v>
      </c>
      <c r="Q176" t="s">
        <v>3896</v>
      </c>
      <c r="R176" t="s">
        <v>11563</v>
      </c>
      <c r="S176" t="s">
        <v>2317</v>
      </c>
      <c r="T176">
        <v>2</v>
      </c>
      <c r="X176" t="b">
        <v>1</v>
      </c>
      <c r="Y176" s="6">
        <v>42037.431944444441</v>
      </c>
    </row>
    <row r="177" spans="1:25" x14ac:dyDescent="0.25">
      <c r="A177" t="s">
        <v>11683</v>
      </c>
      <c r="B177" t="s">
        <v>11684</v>
      </c>
      <c r="C177">
        <v>2.75</v>
      </c>
      <c r="D177" t="s">
        <v>3893</v>
      </c>
      <c r="E177" t="s">
        <v>3989</v>
      </c>
      <c r="F177" s="18">
        <v>41974</v>
      </c>
      <c r="G177" s="18">
        <v>41984</v>
      </c>
      <c r="H177" s="18" t="str">
        <f>IFERROR(INDEX('Docs Signed Input'!B:B,MATCH('Nate''s Evolution'!$B177,'Docs Signed Input'!E:E,0)),"N")</f>
        <v>N</v>
      </c>
      <c r="I177" s="18" t="str">
        <f>IFERROR(INDEX('Docs Signed Input'!C:C,MATCH('Nate''s Evolution'!B177,'Docs Signed Input'!E:E,0)),"N")</f>
        <v>N</v>
      </c>
      <c r="L177" t="s">
        <v>2258</v>
      </c>
      <c r="M177" t="s">
        <v>3933</v>
      </c>
      <c r="N177">
        <v>2.75</v>
      </c>
      <c r="O177">
        <v>2.75</v>
      </c>
      <c r="P177" s="6">
        <v>42035.818124999998</v>
      </c>
      <c r="Q177" t="s">
        <v>3896</v>
      </c>
      <c r="R177" t="s">
        <v>3897</v>
      </c>
      <c r="S177" t="s">
        <v>11503</v>
      </c>
      <c r="T177">
        <v>2</v>
      </c>
      <c r="X177" t="b">
        <v>1</v>
      </c>
      <c r="Y177" s="6">
        <v>42037.431944444441</v>
      </c>
    </row>
    <row r="178" spans="1:25" x14ac:dyDescent="0.25">
      <c r="A178" t="s">
        <v>11701</v>
      </c>
      <c r="B178" t="s">
        <v>11702</v>
      </c>
      <c r="C178">
        <v>2.04</v>
      </c>
      <c r="D178" t="s">
        <v>3893</v>
      </c>
      <c r="E178" t="s">
        <v>3894</v>
      </c>
      <c r="F178" s="18">
        <v>41974</v>
      </c>
      <c r="G178" s="18">
        <v>41984</v>
      </c>
      <c r="H178" s="18" t="str">
        <f>IFERROR(INDEX('Docs Signed Input'!B:B,MATCH('Nate''s Evolution'!$B178,'Docs Signed Input'!E:E,0)),"N")</f>
        <v>N</v>
      </c>
      <c r="I178" s="18" t="str">
        <f>IFERROR(INDEX('Docs Signed Input'!C:C,MATCH('Nate''s Evolution'!B178,'Docs Signed Input'!E:E,0)),"N")</f>
        <v>N</v>
      </c>
      <c r="L178" t="s">
        <v>2258</v>
      </c>
      <c r="M178" t="s">
        <v>4020</v>
      </c>
      <c r="N178">
        <v>2.04</v>
      </c>
      <c r="O178">
        <v>7</v>
      </c>
      <c r="P178" s="6">
        <v>42035.818124999998</v>
      </c>
      <c r="Q178" t="s">
        <v>3896</v>
      </c>
      <c r="R178" t="s">
        <v>3897</v>
      </c>
      <c r="S178" t="s">
        <v>3511</v>
      </c>
      <c r="T178">
        <v>2</v>
      </c>
      <c r="X178" t="b">
        <v>1</v>
      </c>
      <c r="Y178" s="6">
        <v>42037.431944444441</v>
      </c>
    </row>
    <row r="179" spans="1:25" x14ac:dyDescent="0.25">
      <c r="A179" t="s">
        <v>11705</v>
      </c>
      <c r="B179" t="s">
        <v>11706</v>
      </c>
      <c r="C179">
        <v>2.2949999999999999</v>
      </c>
      <c r="D179" t="s">
        <v>3893</v>
      </c>
      <c r="E179" t="s">
        <v>3925</v>
      </c>
      <c r="F179" s="18">
        <v>41974</v>
      </c>
      <c r="G179" s="18">
        <v>41984</v>
      </c>
      <c r="H179" s="18" t="str">
        <f>IFERROR(INDEX('Docs Signed Input'!B:B,MATCH('Nate''s Evolution'!$B179,'Docs Signed Input'!E:E,0)),"N")</f>
        <v>N</v>
      </c>
      <c r="I179" s="18" t="str">
        <f>IFERROR(INDEX('Docs Signed Input'!C:C,MATCH('Nate''s Evolution'!B179,'Docs Signed Input'!E:E,0)),"N")</f>
        <v>Y</v>
      </c>
      <c r="J179" s="18">
        <v>42003</v>
      </c>
      <c r="L179" t="s">
        <v>2258</v>
      </c>
      <c r="M179" t="s">
        <v>3933</v>
      </c>
      <c r="N179">
        <v>2.04</v>
      </c>
      <c r="O179">
        <v>3</v>
      </c>
      <c r="P179" s="6">
        <v>42035.818124999998</v>
      </c>
      <c r="Q179" t="s">
        <v>3896</v>
      </c>
      <c r="R179" t="s">
        <v>11563</v>
      </c>
      <c r="S179" t="s">
        <v>2317</v>
      </c>
      <c r="T179">
        <v>2</v>
      </c>
      <c r="X179" t="b">
        <v>1</v>
      </c>
      <c r="Y179" s="6">
        <v>42037.431944444441</v>
      </c>
    </row>
    <row r="180" spans="1:25" x14ac:dyDescent="0.25">
      <c r="A180" t="s">
        <v>11718</v>
      </c>
      <c r="B180" t="s">
        <v>11719</v>
      </c>
      <c r="C180">
        <v>9.5</v>
      </c>
      <c r="D180" t="s">
        <v>3893</v>
      </c>
      <c r="E180" t="s">
        <v>4117</v>
      </c>
      <c r="F180" s="18">
        <v>41974</v>
      </c>
      <c r="G180" s="18">
        <v>41984</v>
      </c>
      <c r="H180" s="18" t="str">
        <f>IFERROR(INDEX('Docs Signed Input'!B:B,MATCH('Nate''s Evolution'!$B180,'Docs Signed Input'!E:E,0)),"N")</f>
        <v>N</v>
      </c>
      <c r="I180" s="18" t="str">
        <f>IFERROR(INDEX('Docs Signed Input'!C:C,MATCH('Nate''s Evolution'!B180,'Docs Signed Input'!E:E,0)),"N")</f>
        <v>N</v>
      </c>
      <c r="L180" t="s">
        <v>2258</v>
      </c>
      <c r="M180" t="s">
        <v>3902</v>
      </c>
      <c r="N180">
        <v>9.5</v>
      </c>
      <c r="O180">
        <v>9.5</v>
      </c>
      <c r="P180" s="6">
        <v>42035.818124999998</v>
      </c>
      <c r="Q180" t="s">
        <v>3896</v>
      </c>
      <c r="R180" t="s">
        <v>3897</v>
      </c>
      <c r="S180" t="s">
        <v>2813</v>
      </c>
      <c r="T180">
        <v>2</v>
      </c>
      <c r="X180" t="b">
        <v>1</v>
      </c>
      <c r="Y180" s="6">
        <v>42037.431944444441</v>
      </c>
    </row>
    <row r="181" spans="1:25" x14ac:dyDescent="0.25">
      <c r="A181" t="s">
        <v>11728</v>
      </c>
      <c r="B181" t="s">
        <v>11729</v>
      </c>
      <c r="C181">
        <v>3.64</v>
      </c>
      <c r="D181" t="s">
        <v>2230</v>
      </c>
      <c r="E181" t="s">
        <v>3984</v>
      </c>
      <c r="F181" s="18">
        <v>41974</v>
      </c>
      <c r="G181" s="18">
        <v>41984</v>
      </c>
      <c r="H181" s="18" t="str">
        <f>IFERROR(INDEX('Docs Signed Input'!B:B,MATCH('Nate''s Evolution'!$B181,'Docs Signed Input'!E:E,0)),"N")</f>
        <v>N</v>
      </c>
      <c r="I181" s="18" t="str">
        <f>IFERROR(INDEX('Docs Signed Input'!C:C,MATCH('Nate''s Evolution'!B181,'Docs Signed Input'!E:E,0)),"N")</f>
        <v>N</v>
      </c>
      <c r="L181" t="s">
        <v>2258</v>
      </c>
      <c r="M181" t="s">
        <v>4677</v>
      </c>
      <c r="N181">
        <v>3.5</v>
      </c>
      <c r="O181">
        <v>3.64</v>
      </c>
      <c r="P181" s="6">
        <v>42030.818576388891</v>
      </c>
      <c r="Q181" t="s">
        <v>3896</v>
      </c>
      <c r="R181" t="s">
        <v>3911</v>
      </c>
      <c r="S181" t="s">
        <v>3696</v>
      </c>
      <c r="T181">
        <v>7</v>
      </c>
      <c r="U181" t="b">
        <v>1</v>
      </c>
      <c r="Y181" s="6">
        <v>42037.431944444441</v>
      </c>
    </row>
    <row r="182" spans="1:25" x14ac:dyDescent="0.25">
      <c r="A182" t="s">
        <v>11778</v>
      </c>
      <c r="B182" t="s">
        <v>11779</v>
      </c>
      <c r="C182">
        <v>8.9250000000000007</v>
      </c>
      <c r="D182" t="s">
        <v>3893</v>
      </c>
      <c r="E182" t="s">
        <v>3925</v>
      </c>
      <c r="F182" s="18">
        <v>41974</v>
      </c>
      <c r="G182" s="18">
        <v>41984</v>
      </c>
      <c r="H182" s="18" t="str">
        <f>IFERROR(INDEX('Docs Signed Input'!B:B,MATCH('Nate''s Evolution'!$B182,'Docs Signed Input'!E:E,0)),"N")</f>
        <v>Y</v>
      </c>
      <c r="I182" s="18" t="str">
        <f>IFERROR(INDEX('Docs Signed Input'!C:C,MATCH('Nate''s Evolution'!B182,'Docs Signed Input'!E:E,0)),"N")</f>
        <v>Y</v>
      </c>
      <c r="J182" s="18">
        <v>41990</v>
      </c>
      <c r="L182" t="s">
        <v>2258</v>
      </c>
      <c r="M182" t="s">
        <v>3933</v>
      </c>
      <c r="N182">
        <v>8.5</v>
      </c>
      <c r="O182">
        <v>8.9250000000000007</v>
      </c>
      <c r="P182" s="6">
        <v>42035.818124999998</v>
      </c>
      <c r="Q182" t="s">
        <v>3896</v>
      </c>
      <c r="S182" t="s">
        <v>3244</v>
      </c>
      <c r="T182">
        <v>2</v>
      </c>
      <c r="X182" t="b">
        <v>1</v>
      </c>
      <c r="Y182" s="6">
        <v>42037.431944444441</v>
      </c>
    </row>
    <row r="183" spans="1:25" x14ac:dyDescent="0.25">
      <c r="A183" t="s">
        <v>11780</v>
      </c>
      <c r="B183" t="s">
        <v>11781</v>
      </c>
      <c r="C183">
        <v>12.5</v>
      </c>
      <c r="D183" t="s">
        <v>3900</v>
      </c>
      <c r="E183" t="s">
        <v>4277</v>
      </c>
      <c r="F183" s="18">
        <v>41974</v>
      </c>
      <c r="G183" s="18">
        <v>41984</v>
      </c>
      <c r="H183" s="18" t="str">
        <f>IFERROR(INDEX('Docs Signed Input'!B:B,MATCH('Nate''s Evolution'!$B183,'Docs Signed Input'!E:E,0)),"N")</f>
        <v>Y</v>
      </c>
      <c r="I183" s="18" t="str">
        <f>IFERROR(INDEX('Docs Signed Input'!C:C,MATCH('Nate''s Evolution'!B183,'Docs Signed Input'!E:E,0)),"N")</f>
        <v>Y</v>
      </c>
      <c r="J183" s="18">
        <v>42011</v>
      </c>
      <c r="K183" s="18">
        <v>42020</v>
      </c>
      <c r="L183" t="s">
        <v>2258</v>
      </c>
      <c r="M183" t="s">
        <v>3902</v>
      </c>
      <c r="N183">
        <v>12.5</v>
      </c>
      <c r="O183">
        <v>13</v>
      </c>
      <c r="P183" s="6">
        <v>42034.631863425922</v>
      </c>
      <c r="Q183" t="s">
        <v>3896</v>
      </c>
      <c r="S183" t="s">
        <v>2727</v>
      </c>
      <c r="T183">
        <v>3</v>
      </c>
      <c r="W183" t="b">
        <v>1</v>
      </c>
      <c r="Y183" s="6">
        <v>42037.431944444441</v>
      </c>
    </row>
    <row r="184" spans="1:25" x14ac:dyDescent="0.25">
      <c r="A184" t="s">
        <v>11782</v>
      </c>
      <c r="B184" t="s">
        <v>11783</v>
      </c>
      <c r="C184">
        <v>6</v>
      </c>
      <c r="D184" t="s">
        <v>3893</v>
      </c>
      <c r="E184" t="s">
        <v>4117</v>
      </c>
      <c r="F184" s="18">
        <v>41974</v>
      </c>
      <c r="G184" s="18">
        <v>41984</v>
      </c>
      <c r="H184" s="18" t="str">
        <f>IFERROR(INDEX('Docs Signed Input'!B:B,MATCH('Nate''s Evolution'!$B184,'Docs Signed Input'!E:E,0)),"N")</f>
        <v>N</v>
      </c>
      <c r="I184" s="18" t="str">
        <f>IFERROR(INDEX('Docs Signed Input'!C:C,MATCH('Nate''s Evolution'!B184,'Docs Signed Input'!E:E,0)),"N")</f>
        <v>N</v>
      </c>
      <c r="L184" t="s">
        <v>2258</v>
      </c>
      <c r="M184" t="s">
        <v>3933</v>
      </c>
      <c r="N184">
        <v>6</v>
      </c>
      <c r="O184">
        <v>6</v>
      </c>
      <c r="P184" s="6">
        <v>42035.818124999998</v>
      </c>
      <c r="Q184" t="s">
        <v>3896</v>
      </c>
      <c r="R184" t="s">
        <v>11563</v>
      </c>
      <c r="S184" t="s">
        <v>3568</v>
      </c>
      <c r="T184">
        <v>2</v>
      </c>
      <c r="X184" t="b">
        <v>1</v>
      </c>
      <c r="Y184" s="6">
        <v>42037.431944444441</v>
      </c>
    </row>
    <row r="185" spans="1:25" x14ac:dyDescent="0.25">
      <c r="A185" t="s">
        <v>11806</v>
      </c>
      <c r="B185" t="s">
        <v>11807</v>
      </c>
      <c r="C185">
        <v>6.63</v>
      </c>
      <c r="D185" t="s">
        <v>3922</v>
      </c>
      <c r="E185" t="s">
        <v>3923</v>
      </c>
      <c r="F185" s="18">
        <v>41974</v>
      </c>
      <c r="G185" s="18">
        <v>41984</v>
      </c>
      <c r="H185" s="18" t="str">
        <f>IFERROR(INDEX('Docs Signed Input'!B:B,MATCH('Nate''s Evolution'!$B185,'Docs Signed Input'!E:E,0)),"N")</f>
        <v>N</v>
      </c>
      <c r="I185" s="18" t="str">
        <f>IFERROR(INDEX('Docs Signed Input'!C:C,MATCH('Nate''s Evolution'!B185,'Docs Signed Input'!E:E,0)),"N")</f>
        <v>N</v>
      </c>
      <c r="L185" t="s">
        <v>2258</v>
      </c>
      <c r="M185" t="s">
        <v>4013</v>
      </c>
      <c r="N185">
        <v>5.25</v>
      </c>
      <c r="O185">
        <v>6.63</v>
      </c>
      <c r="P185" s="6">
        <v>42035.818124999998</v>
      </c>
      <c r="Q185" t="s">
        <v>3896</v>
      </c>
      <c r="R185" t="s">
        <v>3897</v>
      </c>
      <c r="S185" t="s">
        <v>3523</v>
      </c>
      <c r="T185">
        <v>2</v>
      </c>
      <c r="X185" t="b">
        <v>1</v>
      </c>
      <c r="Y185" s="6">
        <v>42037.431944444441</v>
      </c>
    </row>
    <row r="186" spans="1:25" x14ac:dyDescent="0.25">
      <c r="A186" t="s">
        <v>11535</v>
      </c>
      <c r="B186" t="s">
        <v>11536</v>
      </c>
      <c r="C186">
        <v>3.3149999999999999</v>
      </c>
      <c r="D186" t="s">
        <v>3893</v>
      </c>
      <c r="E186" t="s">
        <v>3894</v>
      </c>
      <c r="F186" s="18">
        <v>41974</v>
      </c>
      <c r="G186" s="18">
        <v>41985</v>
      </c>
      <c r="H186" s="18" t="str">
        <f>IFERROR(INDEX('Docs Signed Input'!B:B,MATCH('Nate''s Evolution'!$B186,'Docs Signed Input'!E:E,0)),"N")</f>
        <v>N</v>
      </c>
      <c r="I186" s="18" t="str">
        <f>IFERROR(INDEX('Docs Signed Input'!C:C,MATCH('Nate''s Evolution'!B186,'Docs Signed Input'!E:E,0)),"N")</f>
        <v>Y</v>
      </c>
      <c r="J186" s="18">
        <v>41990</v>
      </c>
      <c r="L186" t="s">
        <v>2258</v>
      </c>
      <c r="M186" t="s">
        <v>3933</v>
      </c>
      <c r="N186">
        <v>3.25</v>
      </c>
      <c r="O186">
        <v>3.3149999999999999</v>
      </c>
      <c r="P186" s="6">
        <v>42035.818124999998</v>
      </c>
      <c r="Q186" t="s">
        <v>3896</v>
      </c>
      <c r="R186" t="s">
        <v>3897</v>
      </c>
      <c r="S186" t="s">
        <v>3154</v>
      </c>
      <c r="T186">
        <v>2</v>
      </c>
      <c r="X186" t="b">
        <v>1</v>
      </c>
      <c r="Y186" s="6">
        <v>42037.431944444441</v>
      </c>
    </row>
    <row r="187" spans="1:25" x14ac:dyDescent="0.25">
      <c r="A187" t="s">
        <v>11561</v>
      </c>
      <c r="B187" t="s">
        <v>11562</v>
      </c>
      <c r="C187">
        <v>3.8250000000000002</v>
      </c>
      <c r="D187" t="s">
        <v>3893</v>
      </c>
      <c r="E187" t="s">
        <v>3894</v>
      </c>
      <c r="F187" s="18">
        <v>41974</v>
      </c>
      <c r="G187" s="18">
        <v>41985</v>
      </c>
      <c r="H187" s="18" t="str">
        <f>IFERROR(INDEX('Docs Signed Input'!B:B,MATCH('Nate''s Evolution'!$B187,'Docs Signed Input'!E:E,0)),"N")</f>
        <v>N</v>
      </c>
      <c r="I187" s="18" t="str">
        <f>IFERROR(INDEX('Docs Signed Input'!C:C,MATCH('Nate''s Evolution'!B187,'Docs Signed Input'!E:E,0)),"N")</f>
        <v>N</v>
      </c>
      <c r="L187" t="s">
        <v>2258</v>
      </c>
      <c r="M187" t="s">
        <v>3948</v>
      </c>
      <c r="N187">
        <v>3.8250000000000002</v>
      </c>
      <c r="O187">
        <v>6.63</v>
      </c>
      <c r="P187" s="6">
        <v>42035.818124999998</v>
      </c>
      <c r="Q187" t="s">
        <v>3896</v>
      </c>
      <c r="R187" t="s">
        <v>11563</v>
      </c>
      <c r="S187" t="s">
        <v>2689</v>
      </c>
      <c r="T187">
        <v>2</v>
      </c>
      <c r="X187" t="b">
        <v>1</v>
      </c>
      <c r="Y187" s="6">
        <v>42037.431944444441</v>
      </c>
    </row>
    <row r="188" spans="1:25" x14ac:dyDescent="0.25">
      <c r="A188" t="s">
        <v>11564</v>
      </c>
      <c r="B188" t="s">
        <v>11565</v>
      </c>
      <c r="C188">
        <v>9.18</v>
      </c>
      <c r="D188" t="s">
        <v>3922</v>
      </c>
      <c r="E188" t="s">
        <v>3923</v>
      </c>
      <c r="F188" s="18">
        <v>41974</v>
      </c>
      <c r="G188" s="18">
        <v>41985</v>
      </c>
      <c r="H188" s="18" t="str">
        <f>IFERROR(INDEX('Docs Signed Input'!B:B,MATCH('Nate''s Evolution'!$B188,'Docs Signed Input'!E:E,0)),"N")</f>
        <v>N</v>
      </c>
      <c r="I188" s="18" t="str">
        <f>IFERROR(INDEX('Docs Signed Input'!C:C,MATCH('Nate''s Evolution'!B188,'Docs Signed Input'!E:E,0)),"N")</f>
        <v>N</v>
      </c>
      <c r="L188" t="s">
        <v>2258</v>
      </c>
      <c r="M188" t="s">
        <v>3932</v>
      </c>
      <c r="N188">
        <v>9.18</v>
      </c>
      <c r="O188">
        <v>15.25</v>
      </c>
      <c r="P188" s="6">
        <v>42035.818124999998</v>
      </c>
      <c r="Q188" t="s">
        <v>3896</v>
      </c>
      <c r="R188" t="s">
        <v>11563</v>
      </c>
      <c r="S188" t="s">
        <v>3511</v>
      </c>
      <c r="T188">
        <v>2</v>
      </c>
      <c r="X188" t="b">
        <v>1</v>
      </c>
      <c r="Y188" s="6">
        <v>42037.431944444441</v>
      </c>
    </row>
    <row r="189" spans="1:25" x14ac:dyDescent="0.25">
      <c r="A189" t="s">
        <v>5042</v>
      </c>
      <c r="B189" t="s">
        <v>11568</v>
      </c>
      <c r="C189">
        <v>6</v>
      </c>
      <c r="D189" t="s">
        <v>3893</v>
      </c>
      <c r="E189" t="s">
        <v>4117</v>
      </c>
      <c r="F189" s="18">
        <v>41974</v>
      </c>
      <c r="G189" s="18">
        <v>41985</v>
      </c>
      <c r="H189" s="18" t="str">
        <f>IFERROR(INDEX('Docs Signed Input'!B:B,MATCH('Nate''s Evolution'!$B189,'Docs Signed Input'!E:E,0)),"N")</f>
        <v>N</v>
      </c>
      <c r="I189" s="18" t="str">
        <f>IFERROR(INDEX('Docs Signed Input'!C:C,MATCH('Nate''s Evolution'!B189,'Docs Signed Input'!E:E,0)),"N")</f>
        <v>N</v>
      </c>
      <c r="L189" t="s">
        <v>2258</v>
      </c>
      <c r="M189" t="s">
        <v>4013</v>
      </c>
      <c r="N189">
        <v>6</v>
      </c>
      <c r="O189">
        <v>6</v>
      </c>
      <c r="P189" s="6">
        <v>42035.818124999998</v>
      </c>
      <c r="Q189" t="s">
        <v>3896</v>
      </c>
      <c r="R189" t="s">
        <v>3911</v>
      </c>
      <c r="S189" t="s">
        <v>3523</v>
      </c>
      <c r="T189">
        <v>2</v>
      </c>
      <c r="X189" t="b">
        <v>1</v>
      </c>
      <c r="Y189" s="6">
        <v>42037.431944444441</v>
      </c>
    </row>
    <row r="190" spans="1:25" x14ac:dyDescent="0.25">
      <c r="A190" t="s">
        <v>11569</v>
      </c>
      <c r="B190" t="s">
        <v>11570</v>
      </c>
      <c r="C190">
        <v>11.475</v>
      </c>
      <c r="D190" t="s">
        <v>3893</v>
      </c>
      <c r="E190" t="s">
        <v>3925</v>
      </c>
      <c r="F190" s="18">
        <v>41974</v>
      </c>
      <c r="G190" s="18">
        <v>41985</v>
      </c>
      <c r="H190" s="18" t="str">
        <f>IFERROR(INDEX('Docs Signed Input'!B:B,MATCH('Nate''s Evolution'!$B190,'Docs Signed Input'!E:E,0)),"N")</f>
        <v>N</v>
      </c>
      <c r="I190" s="18" t="str">
        <f>IFERROR(INDEX('Docs Signed Input'!C:C,MATCH('Nate''s Evolution'!B190,'Docs Signed Input'!E:E,0)),"N")</f>
        <v>N</v>
      </c>
      <c r="L190" t="s">
        <v>2258</v>
      </c>
      <c r="M190" t="s">
        <v>4032</v>
      </c>
      <c r="N190">
        <v>11.475</v>
      </c>
      <c r="O190">
        <v>11.5</v>
      </c>
      <c r="P190" s="6">
        <v>42035.818124999998</v>
      </c>
      <c r="Q190" t="s">
        <v>3896</v>
      </c>
      <c r="R190" t="s">
        <v>3897</v>
      </c>
      <c r="S190" t="s">
        <v>3746</v>
      </c>
      <c r="T190">
        <v>2</v>
      </c>
      <c r="X190" t="b">
        <v>1</v>
      </c>
      <c r="Y190" s="6">
        <v>42037.431944444441</v>
      </c>
    </row>
    <row r="191" spans="1:25" x14ac:dyDescent="0.25">
      <c r="A191" t="s">
        <v>11575</v>
      </c>
      <c r="B191" t="s">
        <v>11576</v>
      </c>
      <c r="C191">
        <v>5</v>
      </c>
      <c r="D191" t="s">
        <v>3893</v>
      </c>
      <c r="E191" t="s">
        <v>4117</v>
      </c>
      <c r="F191" s="18">
        <v>41974</v>
      </c>
      <c r="G191" s="18">
        <v>41985</v>
      </c>
      <c r="H191" s="18" t="str">
        <f>IFERROR(INDEX('Docs Signed Input'!B:B,MATCH('Nate''s Evolution'!$B191,'Docs Signed Input'!E:E,0)),"N")</f>
        <v>N</v>
      </c>
      <c r="I191" s="18" t="str">
        <f>IFERROR(INDEX('Docs Signed Input'!C:C,MATCH('Nate''s Evolution'!B191,'Docs Signed Input'!E:E,0)),"N")</f>
        <v>N</v>
      </c>
      <c r="L191" t="s">
        <v>2258</v>
      </c>
      <c r="M191" t="s">
        <v>3902</v>
      </c>
      <c r="N191">
        <v>5</v>
      </c>
      <c r="O191">
        <v>5</v>
      </c>
      <c r="P191" s="6">
        <v>42035.818124999998</v>
      </c>
      <c r="Q191" t="s">
        <v>3896</v>
      </c>
      <c r="S191" t="s">
        <v>2341</v>
      </c>
      <c r="T191">
        <v>2</v>
      </c>
      <c r="X191" t="b">
        <v>1</v>
      </c>
      <c r="Y191" s="6">
        <v>42037.431944444441</v>
      </c>
    </row>
    <row r="192" spans="1:25" x14ac:dyDescent="0.25">
      <c r="A192" t="s">
        <v>11584</v>
      </c>
      <c r="B192" t="s">
        <v>11585</v>
      </c>
      <c r="C192">
        <v>7.5</v>
      </c>
      <c r="D192" t="s">
        <v>3893</v>
      </c>
      <c r="E192" t="s">
        <v>4117</v>
      </c>
      <c r="F192" s="18">
        <v>41974</v>
      </c>
      <c r="G192" s="18">
        <v>41985</v>
      </c>
      <c r="H192" s="18" t="str">
        <f>IFERROR(INDEX('Docs Signed Input'!B:B,MATCH('Nate''s Evolution'!$B192,'Docs Signed Input'!E:E,0)),"N")</f>
        <v>N</v>
      </c>
      <c r="I192" s="18" t="str">
        <f>IFERROR(INDEX('Docs Signed Input'!C:C,MATCH('Nate''s Evolution'!B192,'Docs Signed Input'!E:E,0)),"N")</f>
        <v>N</v>
      </c>
      <c r="L192" t="s">
        <v>2258</v>
      </c>
      <c r="M192" t="s">
        <v>3948</v>
      </c>
      <c r="N192">
        <v>7.5</v>
      </c>
      <c r="O192">
        <v>7.5</v>
      </c>
      <c r="P192" s="6">
        <v>42035.818124999998</v>
      </c>
      <c r="Q192" t="s">
        <v>3896</v>
      </c>
      <c r="R192" t="s">
        <v>13648</v>
      </c>
      <c r="S192" t="s">
        <v>2889</v>
      </c>
      <c r="T192">
        <v>2</v>
      </c>
      <c r="X192" t="b">
        <v>1</v>
      </c>
      <c r="Y192" s="6">
        <v>42037.431944444441</v>
      </c>
    </row>
    <row r="193" spans="1:25" x14ac:dyDescent="0.25">
      <c r="A193" t="s">
        <v>11594</v>
      </c>
      <c r="B193" t="s">
        <v>11595</v>
      </c>
      <c r="C193">
        <v>4.8449999999999998</v>
      </c>
      <c r="D193" t="s">
        <v>3893</v>
      </c>
      <c r="E193" t="s">
        <v>3894</v>
      </c>
      <c r="F193" s="18">
        <v>41974</v>
      </c>
      <c r="G193" s="18">
        <v>41985</v>
      </c>
      <c r="H193" s="18" t="str">
        <f>IFERROR(INDEX('Docs Signed Input'!B:B,MATCH('Nate''s Evolution'!$B193,'Docs Signed Input'!E:E,0)),"N")</f>
        <v>N</v>
      </c>
      <c r="I193" s="18" t="str">
        <f>IFERROR(INDEX('Docs Signed Input'!C:C,MATCH('Nate''s Evolution'!B193,'Docs Signed Input'!E:E,0)),"N")</f>
        <v>N</v>
      </c>
      <c r="L193" t="s">
        <v>2258</v>
      </c>
      <c r="M193" t="s">
        <v>4009</v>
      </c>
      <c r="N193">
        <v>4.5</v>
      </c>
      <c r="O193">
        <v>4.8449999999999998</v>
      </c>
      <c r="P193" s="6">
        <v>42035.818124999998</v>
      </c>
      <c r="Q193" t="s">
        <v>3896</v>
      </c>
      <c r="R193" t="s">
        <v>3897</v>
      </c>
      <c r="S193" t="s">
        <v>3640</v>
      </c>
      <c r="T193">
        <v>2</v>
      </c>
      <c r="X193" t="b">
        <v>1</v>
      </c>
      <c r="Y193" s="6">
        <v>42037.431944444441</v>
      </c>
    </row>
    <row r="194" spans="1:25" x14ac:dyDescent="0.25">
      <c r="A194" t="s">
        <v>11630</v>
      </c>
      <c r="B194" t="s">
        <v>11631</v>
      </c>
      <c r="C194">
        <v>9.18</v>
      </c>
      <c r="D194" t="s">
        <v>3900</v>
      </c>
      <c r="E194" t="s">
        <v>3960</v>
      </c>
      <c r="F194" s="18">
        <v>41974</v>
      </c>
      <c r="G194" s="18">
        <v>41985</v>
      </c>
      <c r="H194" s="18" t="str">
        <f>IFERROR(INDEX('Docs Signed Input'!B:B,MATCH('Nate''s Evolution'!$B194,'Docs Signed Input'!E:E,0)),"N")</f>
        <v>N</v>
      </c>
      <c r="I194" s="18" t="str">
        <f>IFERROR(INDEX('Docs Signed Input'!C:C,MATCH('Nate''s Evolution'!B194,'Docs Signed Input'!E:E,0)),"N")</f>
        <v>N</v>
      </c>
      <c r="J194" s="18">
        <v>42011</v>
      </c>
      <c r="K194" s="18">
        <v>42025</v>
      </c>
      <c r="L194" t="s">
        <v>2258</v>
      </c>
      <c r="M194" t="s">
        <v>3948</v>
      </c>
      <c r="N194">
        <v>4.5</v>
      </c>
      <c r="O194">
        <v>9.18</v>
      </c>
      <c r="P194" s="6">
        <v>42033.479942129627</v>
      </c>
      <c r="Q194" t="s">
        <v>3896</v>
      </c>
      <c r="R194" t="s">
        <v>3897</v>
      </c>
      <c r="S194" t="s">
        <v>3766</v>
      </c>
      <c r="T194">
        <v>4</v>
      </c>
      <c r="W194" t="b">
        <v>1</v>
      </c>
      <c r="Y194" s="6">
        <v>42037.431944444441</v>
      </c>
    </row>
    <row r="195" spans="1:25" x14ac:dyDescent="0.25">
      <c r="A195" t="s">
        <v>11636</v>
      </c>
      <c r="B195" t="s">
        <v>11637</v>
      </c>
      <c r="C195">
        <v>6.8849999999999998</v>
      </c>
      <c r="D195" t="s">
        <v>3893</v>
      </c>
      <c r="E195" t="s">
        <v>3894</v>
      </c>
      <c r="F195" s="18">
        <v>41974</v>
      </c>
      <c r="G195" s="18">
        <v>41985</v>
      </c>
      <c r="H195" s="18" t="str">
        <f>IFERROR(INDEX('Docs Signed Input'!B:B,MATCH('Nate''s Evolution'!$B195,'Docs Signed Input'!E:E,0)),"N")</f>
        <v>N</v>
      </c>
      <c r="I195" s="18" t="str">
        <f>IFERROR(INDEX('Docs Signed Input'!C:C,MATCH('Nate''s Evolution'!B195,'Docs Signed Input'!E:E,0)),"N")</f>
        <v>Y</v>
      </c>
      <c r="J195" s="18">
        <v>41990</v>
      </c>
      <c r="L195" t="s">
        <v>2258</v>
      </c>
      <c r="M195" t="s">
        <v>3948</v>
      </c>
      <c r="N195">
        <v>5</v>
      </c>
      <c r="O195">
        <v>6.8849999999999998</v>
      </c>
      <c r="P195" s="6">
        <v>42035.818124999998</v>
      </c>
      <c r="Q195" t="s">
        <v>3896</v>
      </c>
      <c r="R195" t="s">
        <v>11563</v>
      </c>
      <c r="S195" t="s">
        <v>3308</v>
      </c>
      <c r="T195">
        <v>2</v>
      </c>
      <c r="X195" t="b">
        <v>1</v>
      </c>
      <c r="Y195" s="6">
        <v>42037.431944444441</v>
      </c>
    </row>
    <row r="196" spans="1:25" x14ac:dyDescent="0.25">
      <c r="A196" t="s">
        <v>11672</v>
      </c>
      <c r="B196" t="s">
        <v>11673</v>
      </c>
      <c r="C196">
        <v>3</v>
      </c>
      <c r="D196" t="s">
        <v>3893</v>
      </c>
      <c r="E196" t="s">
        <v>4117</v>
      </c>
      <c r="F196" s="18">
        <v>41974</v>
      </c>
      <c r="G196" s="18">
        <v>41985</v>
      </c>
      <c r="H196" s="18" t="str">
        <f>IFERROR(INDEX('Docs Signed Input'!B:B,MATCH('Nate''s Evolution'!$B196,'Docs Signed Input'!E:E,0)),"N")</f>
        <v>N</v>
      </c>
      <c r="I196" s="18" t="str">
        <f>IFERROR(INDEX('Docs Signed Input'!C:C,MATCH('Nate''s Evolution'!B196,'Docs Signed Input'!E:E,0)),"N")</f>
        <v>N</v>
      </c>
      <c r="L196" t="s">
        <v>2258</v>
      </c>
      <c r="M196" t="s">
        <v>3932</v>
      </c>
      <c r="N196">
        <v>3</v>
      </c>
      <c r="O196">
        <v>3</v>
      </c>
      <c r="P196" s="6">
        <v>42035.818124999998</v>
      </c>
      <c r="Q196" t="s">
        <v>3896</v>
      </c>
      <c r="R196" t="s">
        <v>3897</v>
      </c>
      <c r="S196" t="s">
        <v>3758</v>
      </c>
      <c r="T196">
        <v>2</v>
      </c>
      <c r="X196" t="b">
        <v>1</v>
      </c>
      <c r="Y196" s="6">
        <v>42037.431944444441</v>
      </c>
    </row>
    <row r="197" spans="1:25" x14ac:dyDescent="0.25">
      <c r="A197" t="s">
        <v>11722</v>
      </c>
      <c r="B197" t="s">
        <v>11723</v>
      </c>
      <c r="C197">
        <v>9.69</v>
      </c>
      <c r="D197" t="s">
        <v>3893</v>
      </c>
      <c r="E197" t="s">
        <v>4060</v>
      </c>
      <c r="F197" s="18">
        <v>41974</v>
      </c>
      <c r="G197" s="18">
        <v>41985</v>
      </c>
      <c r="H197" s="18" t="str">
        <f>IFERROR(INDEX('Docs Signed Input'!B:B,MATCH('Nate''s Evolution'!$B197,'Docs Signed Input'!E:E,0)),"N")</f>
        <v>Y</v>
      </c>
      <c r="I197" s="18" t="str">
        <f>IFERROR(INDEX('Docs Signed Input'!C:C,MATCH('Nate''s Evolution'!B197,'Docs Signed Input'!E:E,0)),"N")</f>
        <v>Y</v>
      </c>
      <c r="J197" s="18">
        <v>42016</v>
      </c>
      <c r="L197" t="s">
        <v>2258</v>
      </c>
      <c r="M197" t="s">
        <v>4317</v>
      </c>
      <c r="N197">
        <v>9.69</v>
      </c>
      <c r="O197">
        <v>9.75</v>
      </c>
      <c r="P197" s="6">
        <v>42035.818124999998</v>
      </c>
      <c r="Q197" t="s">
        <v>3896</v>
      </c>
      <c r="S197" t="s">
        <v>3501</v>
      </c>
      <c r="T197">
        <v>2</v>
      </c>
      <c r="X197" t="b">
        <v>1</v>
      </c>
      <c r="Y197" s="6">
        <v>42037.431944444441</v>
      </c>
    </row>
    <row r="198" spans="1:25" x14ac:dyDescent="0.25">
      <c r="A198" t="s">
        <v>11754</v>
      </c>
      <c r="B198" t="s">
        <v>11755</v>
      </c>
      <c r="C198">
        <v>9.9450000000000003</v>
      </c>
      <c r="D198" t="s">
        <v>3900</v>
      </c>
      <c r="E198" t="s">
        <v>4277</v>
      </c>
      <c r="F198" s="18">
        <v>41974</v>
      </c>
      <c r="G198" s="18">
        <v>41985</v>
      </c>
      <c r="H198" s="18" t="str">
        <f>IFERROR(INDEX('Docs Signed Input'!B:B,MATCH('Nate''s Evolution'!$B198,'Docs Signed Input'!E:E,0)),"N")</f>
        <v>Y</v>
      </c>
      <c r="I198" s="18" t="str">
        <f>IFERROR(INDEX('Docs Signed Input'!C:C,MATCH('Nate''s Evolution'!B198,'Docs Signed Input'!E:E,0)),"N")</f>
        <v>Y</v>
      </c>
      <c r="J198" s="18">
        <v>41992</v>
      </c>
      <c r="K198" s="18">
        <v>42024</v>
      </c>
      <c r="L198" t="s">
        <v>2258</v>
      </c>
      <c r="M198" t="s">
        <v>3948</v>
      </c>
      <c r="N198">
        <v>9.9450000000000003</v>
      </c>
      <c r="O198">
        <v>10.5</v>
      </c>
      <c r="P198" s="6">
        <v>42027.669120370374</v>
      </c>
      <c r="Q198" t="s">
        <v>3896</v>
      </c>
      <c r="R198" t="s">
        <v>3911</v>
      </c>
      <c r="S198" t="s">
        <v>3308</v>
      </c>
      <c r="T198">
        <v>10</v>
      </c>
      <c r="W198" t="b">
        <v>1</v>
      </c>
      <c r="Y198" s="6">
        <v>42037.431944444441</v>
      </c>
    </row>
    <row r="199" spans="1:25" x14ac:dyDescent="0.25">
      <c r="A199" t="s">
        <v>12421</v>
      </c>
      <c r="B199" t="s">
        <v>11667</v>
      </c>
      <c r="C199">
        <v>11.984999999999999</v>
      </c>
      <c r="D199" t="s">
        <v>3922</v>
      </c>
      <c r="E199" t="s">
        <v>3923</v>
      </c>
      <c r="F199" s="18">
        <v>41974</v>
      </c>
      <c r="G199" s="18">
        <v>41985</v>
      </c>
      <c r="H199" s="18" t="str">
        <f>IFERROR(INDEX('Docs Signed Input'!B:B,MATCH('Nate''s Evolution'!$B199,'Docs Signed Input'!E:E,0)),"N")</f>
        <v>N</v>
      </c>
      <c r="I199" s="18" t="str">
        <f>IFERROR(INDEX('Docs Signed Input'!C:C,MATCH('Nate''s Evolution'!B199,'Docs Signed Input'!E:E,0)),"N")</f>
        <v>Y</v>
      </c>
      <c r="J199" s="18">
        <v>41991</v>
      </c>
      <c r="L199" t="s">
        <v>2258</v>
      </c>
      <c r="M199" t="s">
        <v>3932</v>
      </c>
      <c r="N199">
        <v>11.984999999999999</v>
      </c>
      <c r="O199">
        <v>13</v>
      </c>
      <c r="P199" s="6">
        <v>42035.818124999998</v>
      </c>
      <c r="Q199" t="s">
        <v>3896</v>
      </c>
      <c r="R199" t="s">
        <v>11563</v>
      </c>
      <c r="S199" t="s">
        <v>3712</v>
      </c>
      <c r="T199">
        <v>2</v>
      </c>
      <c r="X199" t="b">
        <v>1</v>
      </c>
      <c r="Y199" s="6">
        <v>42037.431944444441</v>
      </c>
    </row>
    <row r="200" spans="1:25" x14ac:dyDescent="0.25">
      <c r="A200" t="s">
        <v>11788</v>
      </c>
      <c r="B200" t="s">
        <v>11789</v>
      </c>
      <c r="C200">
        <v>7</v>
      </c>
      <c r="D200" t="s">
        <v>3950</v>
      </c>
      <c r="E200" t="s">
        <v>4154</v>
      </c>
      <c r="F200" s="18">
        <v>41974</v>
      </c>
      <c r="G200" s="18">
        <v>41985</v>
      </c>
      <c r="H200" s="18" t="str">
        <f>IFERROR(INDEX('Docs Signed Input'!B:B,MATCH('Nate''s Evolution'!$B200,'Docs Signed Input'!E:E,0)),"N")</f>
        <v>Y</v>
      </c>
      <c r="I200" s="18" t="str">
        <f>IFERROR(INDEX('Docs Signed Input'!C:C,MATCH('Nate''s Evolution'!B200,'Docs Signed Input'!E:E,0)),"N")</f>
        <v>Y</v>
      </c>
      <c r="J200" s="18">
        <v>41987</v>
      </c>
      <c r="K200" s="18">
        <v>42015</v>
      </c>
      <c r="L200" t="s">
        <v>2258</v>
      </c>
      <c r="M200" t="s">
        <v>4000</v>
      </c>
      <c r="N200">
        <v>7</v>
      </c>
      <c r="O200">
        <v>7</v>
      </c>
      <c r="P200" s="6">
        <v>42025.937303240738</v>
      </c>
      <c r="Q200" t="s">
        <v>3896</v>
      </c>
      <c r="S200" t="s">
        <v>3406</v>
      </c>
      <c r="T200">
        <v>12</v>
      </c>
      <c r="W200" t="b">
        <v>1</v>
      </c>
      <c r="Y200" s="6">
        <v>42037.431944444441</v>
      </c>
    </row>
    <row r="201" spans="1:25" x14ac:dyDescent="0.25">
      <c r="A201" t="s">
        <v>11796</v>
      </c>
      <c r="B201" t="s">
        <v>11797</v>
      </c>
      <c r="C201">
        <v>6.12</v>
      </c>
      <c r="D201" t="s">
        <v>3893</v>
      </c>
      <c r="E201" t="s">
        <v>4888</v>
      </c>
      <c r="F201" s="18">
        <v>41974</v>
      </c>
      <c r="G201" s="18">
        <v>41985</v>
      </c>
      <c r="H201" s="18" t="str">
        <f>IFERROR(INDEX('Docs Signed Input'!B:B,MATCH('Nate''s Evolution'!$B201,'Docs Signed Input'!E:E,0)),"N")</f>
        <v>Y</v>
      </c>
      <c r="I201" s="18" t="str">
        <f>IFERROR(INDEX('Docs Signed Input'!C:C,MATCH('Nate''s Evolution'!B201,'Docs Signed Input'!E:E,0)),"N")</f>
        <v>Y</v>
      </c>
      <c r="J201" s="18">
        <v>42003</v>
      </c>
      <c r="L201" t="s">
        <v>2258</v>
      </c>
      <c r="M201" t="s">
        <v>4009</v>
      </c>
      <c r="N201">
        <v>6.12</v>
      </c>
      <c r="O201">
        <v>6.8849999999999998</v>
      </c>
      <c r="P201" s="6">
        <v>42035.818124999998</v>
      </c>
      <c r="Q201" t="s">
        <v>3896</v>
      </c>
      <c r="S201" t="s">
        <v>3640</v>
      </c>
      <c r="T201">
        <v>2</v>
      </c>
      <c r="X201" t="b">
        <v>1</v>
      </c>
      <c r="Y201" s="6">
        <v>42037.431944444441</v>
      </c>
    </row>
    <row r="202" spans="1:25" x14ac:dyDescent="0.25">
      <c r="A202" t="s">
        <v>11798</v>
      </c>
      <c r="B202" t="s">
        <v>11799</v>
      </c>
      <c r="C202">
        <v>2.86</v>
      </c>
      <c r="D202" t="s">
        <v>3900</v>
      </c>
      <c r="E202" t="s">
        <v>4277</v>
      </c>
      <c r="F202" s="18">
        <v>41974</v>
      </c>
      <c r="G202" s="18">
        <v>41985</v>
      </c>
      <c r="H202" s="18" t="str">
        <f>IFERROR(INDEX('Docs Signed Input'!B:B,MATCH('Nate''s Evolution'!$B202,'Docs Signed Input'!E:E,0)),"N")</f>
        <v>Y</v>
      </c>
      <c r="I202" s="18" t="str">
        <f>IFERROR(INDEX('Docs Signed Input'!C:C,MATCH('Nate''s Evolution'!B202,'Docs Signed Input'!E:E,0)),"N")</f>
        <v>Y</v>
      </c>
      <c r="J202" s="18">
        <v>42002</v>
      </c>
      <c r="K202" s="18">
        <v>42020</v>
      </c>
      <c r="L202" t="s">
        <v>2258</v>
      </c>
      <c r="M202" t="s">
        <v>6132</v>
      </c>
      <c r="N202">
        <v>2.75</v>
      </c>
      <c r="O202">
        <v>2.86</v>
      </c>
      <c r="P202" s="6">
        <v>42024.709930555553</v>
      </c>
      <c r="Q202" t="s">
        <v>3896</v>
      </c>
      <c r="S202" t="s">
        <v>2689</v>
      </c>
      <c r="T202">
        <v>13</v>
      </c>
      <c r="W202" t="b">
        <v>1</v>
      </c>
      <c r="Y202" s="6">
        <v>42037.431944444441</v>
      </c>
    </row>
    <row r="203" spans="1:25" x14ac:dyDescent="0.25">
      <c r="A203" t="s">
        <v>11528</v>
      </c>
      <c r="B203" t="s">
        <v>11529</v>
      </c>
      <c r="C203">
        <v>3</v>
      </c>
      <c r="D203" t="s">
        <v>3922</v>
      </c>
      <c r="E203" t="s">
        <v>3923</v>
      </c>
      <c r="F203" s="18">
        <v>41974</v>
      </c>
      <c r="G203" s="18">
        <v>41986</v>
      </c>
      <c r="H203" s="18" t="str">
        <f>IFERROR(INDEX('Docs Signed Input'!B:B,MATCH('Nate''s Evolution'!$B203,'Docs Signed Input'!E:E,0)),"N")</f>
        <v>N</v>
      </c>
      <c r="I203" s="18" t="str">
        <f>IFERROR(INDEX('Docs Signed Input'!C:C,MATCH('Nate''s Evolution'!B203,'Docs Signed Input'!E:E,0)),"N")</f>
        <v>Y</v>
      </c>
      <c r="J203" s="18">
        <v>41989</v>
      </c>
      <c r="L203" t="s">
        <v>2258</v>
      </c>
      <c r="M203" t="s">
        <v>4000</v>
      </c>
      <c r="N203">
        <v>3</v>
      </c>
      <c r="O203">
        <v>3</v>
      </c>
      <c r="P203" s="6">
        <v>42035.818124999998</v>
      </c>
      <c r="Q203" t="s">
        <v>3896</v>
      </c>
      <c r="R203" t="s">
        <v>3918</v>
      </c>
      <c r="S203" t="s">
        <v>3438</v>
      </c>
      <c r="T203">
        <v>2</v>
      </c>
      <c r="X203" t="b">
        <v>1</v>
      </c>
      <c r="Y203" s="6">
        <v>42037.431944444441</v>
      </c>
    </row>
    <row r="204" spans="1:25" x14ac:dyDescent="0.25">
      <c r="A204" t="s">
        <v>11541</v>
      </c>
      <c r="B204" t="s">
        <v>11542</v>
      </c>
      <c r="C204">
        <v>4.75</v>
      </c>
      <c r="D204" t="s">
        <v>3893</v>
      </c>
      <c r="E204" t="s">
        <v>3989</v>
      </c>
      <c r="F204" s="18">
        <v>41974</v>
      </c>
      <c r="G204" s="18">
        <v>41986</v>
      </c>
      <c r="H204" s="18" t="str">
        <f>IFERROR(INDEX('Docs Signed Input'!B:B,MATCH('Nate''s Evolution'!$B204,'Docs Signed Input'!E:E,0)),"N")</f>
        <v>N</v>
      </c>
      <c r="I204" s="18" t="str">
        <f>IFERROR(INDEX('Docs Signed Input'!C:C,MATCH('Nate''s Evolution'!B204,'Docs Signed Input'!E:E,0)),"N")</f>
        <v>N</v>
      </c>
      <c r="L204" t="s">
        <v>2258</v>
      </c>
      <c r="M204" t="s">
        <v>4317</v>
      </c>
      <c r="N204">
        <v>4.75</v>
      </c>
      <c r="O204">
        <v>4.75</v>
      </c>
      <c r="P204" s="6">
        <v>42035.818124999998</v>
      </c>
      <c r="Q204" t="s">
        <v>3896</v>
      </c>
      <c r="R204" t="s">
        <v>3897</v>
      </c>
      <c r="S204" t="s">
        <v>3501</v>
      </c>
      <c r="T204">
        <v>2</v>
      </c>
      <c r="X204" t="b">
        <v>1</v>
      </c>
      <c r="Y204" s="6">
        <v>42037.431944444441</v>
      </c>
    </row>
    <row r="205" spans="1:25" x14ac:dyDescent="0.25">
      <c r="A205" t="s">
        <v>11555</v>
      </c>
      <c r="B205" t="s">
        <v>11556</v>
      </c>
      <c r="C205">
        <v>10.5</v>
      </c>
      <c r="D205" t="s">
        <v>3893</v>
      </c>
      <c r="E205" t="s">
        <v>3894</v>
      </c>
      <c r="F205" s="18">
        <v>41974</v>
      </c>
      <c r="G205" s="18">
        <v>41986</v>
      </c>
      <c r="H205" s="18" t="str">
        <f>IFERROR(INDEX('Docs Signed Input'!B:B,MATCH('Nate''s Evolution'!$B205,'Docs Signed Input'!E:E,0)),"N")</f>
        <v>N</v>
      </c>
      <c r="I205" s="18" t="str">
        <f>IFERROR(INDEX('Docs Signed Input'!C:C,MATCH('Nate''s Evolution'!B205,'Docs Signed Input'!E:E,0)),"N")</f>
        <v>N</v>
      </c>
      <c r="L205" t="s">
        <v>2258</v>
      </c>
      <c r="M205" t="s">
        <v>3930</v>
      </c>
      <c r="N205">
        <v>10.5</v>
      </c>
      <c r="O205">
        <v>12</v>
      </c>
      <c r="P205" s="6">
        <v>42035.818124999998</v>
      </c>
      <c r="Q205" t="s">
        <v>3896</v>
      </c>
      <c r="R205" t="s">
        <v>3897</v>
      </c>
      <c r="S205" t="s">
        <v>3360</v>
      </c>
      <c r="T205">
        <v>2</v>
      </c>
      <c r="X205" t="b">
        <v>1</v>
      </c>
      <c r="Y205" s="6">
        <v>42037.431944444441</v>
      </c>
    </row>
    <row r="206" spans="1:25" x14ac:dyDescent="0.25">
      <c r="A206" t="s">
        <v>11573</v>
      </c>
      <c r="B206" t="s">
        <v>11574</v>
      </c>
      <c r="C206">
        <v>10.4</v>
      </c>
      <c r="D206" t="s">
        <v>3922</v>
      </c>
      <c r="E206" t="s">
        <v>3951</v>
      </c>
      <c r="F206" s="18">
        <v>41974</v>
      </c>
      <c r="G206" s="18">
        <v>41986</v>
      </c>
      <c r="H206" s="18" t="str">
        <f>IFERROR(INDEX('Docs Signed Input'!B:B,MATCH('Nate''s Evolution'!$B206,'Docs Signed Input'!E:E,0)),"N")</f>
        <v>N</v>
      </c>
      <c r="I206" s="18" t="str">
        <f>IFERROR(INDEX('Docs Signed Input'!C:C,MATCH('Nate''s Evolution'!B206,'Docs Signed Input'!E:E,0)),"N")</f>
        <v>Y</v>
      </c>
      <c r="J206" s="18">
        <v>42032</v>
      </c>
      <c r="K206" s="18">
        <v>42060</v>
      </c>
      <c r="L206" t="s">
        <v>2258</v>
      </c>
      <c r="M206" t="s">
        <v>4048</v>
      </c>
      <c r="N206">
        <v>10.4</v>
      </c>
      <c r="O206">
        <v>11</v>
      </c>
      <c r="P206" s="6">
        <v>42035.513935185183</v>
      </c>
      <c r="Q206" t="s">
        <v>3896</v>
      </c>
      <c r="R206" t="s">
        <v>3911</v>
      </c>
      <c r="S206" t="s">
        <v>2689</v>
      </c>
      <c r="T206">
        <v>2</v>
      </c>
      <c r="X206" t="b">
        <v>1</v>
      </c>
      <c r="Y206" s="6">
        <v>42037.431944444441</v>
      </c>
    </row>
    <row r="207" spans="1:25" x14ac:dyDescent="0.25">
      <c r="A207" t="s">
        <v>11579</v>
      </c>
      <c r="B207" t="s">
        <v>11580</v>
      </c>
      <c r="C207">
        <v>8.67</v>
      </c>
      <c r="D207" t="s">
        <v>3893</v>
      </c>
      <c r="E207" t="s">
        <v>3894</v>
      </c>
      <c r="F207" s="18">
        <v>41974</v>
      </c>
      <c r="G207" s="18">
        <v>41986</v>
      </c>
      <c r="H207" s="18" t="str">
        <f>IFERROR(INDEX('Docs Signed Input'!B:B,MATCH('Nate''s Evolution'!$B207,'Docs Signed Input'!E:E,0)),"N")</f>
        <v>N</v>
      </c>
      <c r="I207" s="18" t="str">
        <f>IFERROR(INDEX('Docs Signed Input'!C:C,MATCH('Nate''s Evolution'!B207,'Docs Signed Input'!E:E,0)),"N")</f>
        <v>N</v>
      </c>
      <c r="L207" t="s">
        <v>2258</v>
      </c>
      <c r="M207" t="s">
        <v>4032</v>
      </c>
      <c r="N207">
        <v>8.67</v>
      </c>
      <c r="O207">
        <v>13.26</v>
      </c>
      <c r="P207" s="6">
        <v>42035.818124999998</v>
      </c>
      <c r="Q207" t="s">
        <v>3896</v>
      </c>
      <c r="R207" t="s">
        <v>3918</v>
      </c>
      <c r="S207" t="s">
        <v>3746</v>
      </c>
      <c r="T207">
        <v>2</v>
      </c>
      <c r="X207" t="b">
        <v>1</v>
      </c>
      <c r="Y207" s="6">
        <v>42037.431944444441</v>
      </c>
    </row>
    <row r="208" spans="1:25" x14ac:dyDescent="0.25">
      <c r="A208" t="s">
        <v>11600</v>
      </c>
      <c r="B208" t="s">
        <v>11601</v>
      </c>
      <c r="C208">
        <v>5.0999999999999996</v>
      </c>
      <c r="D208" t="s">
        <v>3893</v>
      </c>
      <c r="E208" t="s">
        <v>3894</v>
      </c>
      <c r="F208" s="18">
        <v>41974</v>
      </c>
      <c r="G208" s="18">
        <v>41986</v>
      </c>
      <c r="H208" s="18" t="str">
        <f>IFERROR(INDEX('Docs Signed Input'!B:B,MATCH('Nate''s Evolution'!$B208,'Docs Signed Input'!E:E,0)),"N")</f>
        <v>N</v>
      </c>
      <c r="I208" s="18" t="str">
        <f>IFERROR(INDEX('Docs Signed Input'!C:C,MATCH('Nate''s Evolution'!B208,'Docs Signed Input'!E:E,0)),"N")</f>
        <v>N</v>
      </c>
      <c r="J208" s="18">
        <v>41997</v>
      </c>
      <c r="L208" t="s">
        <v>2258</v>
      </c>
      <c r="M208" t="s">
        <v>3948</v>
      </c>
      <c r="N208">
        <v>5.0999999999999996</v>
      </c>
      <c r="O208">
        <v>6.75</v>
      </c>
      <c r="P208" s="6">
        <v>42035.818124999998</v>
      </c>
      <c r="Q208" t="s">
        <v>3896</v>
      </c>
      <c r="R208" t="s">
        <v>3897</v>
      </c>
      <c r="S208" t="s">
        <v>2703</v>
      </c>
      <c r="T208">
        <v>2</v>
      </c>
      <c r="X208" t="b">
        <v>1</v>
      </c>
      <c r="Y208" s="6">
        <v>42037.431944444441</v>
      </c>
    </row>
    <row r="209" spans="1:25" x14ac:dyDescent="0.25">
      <c r="A209" t="s">
        <v>11611</v>
      </c>
      <c r="B209" t="s">
        <v>11612</v>
      </c>
      <c r="C209">
        <v>11.44</v>
      </c>
      <c r="D209" t="s">
        <v>3893</v>
      </c>
      <c r="E209" t="s">
        <v>3894</v>
      </c>
      <c r="F209" s="18">
        <v>41974</v>
      </c>
      <c r="G209" s="18">
        <v>41986</v>
      </c>
      <c r="H209" s="18" t="str">
        <f>IFERROR(INDEX('Docs Signed Input'!B:B,MATCH('Nate''s Evolution'!$B209,'Docs Signed Input'!E:E,0)),"N")</f>
        <v>N</v>
      </c>
      <c r="I209" s="18" t="str">
        <f>IFERROR(INDEX('Docs Signed Input'!C:C,MATCH('Nate''s Evolution'!B209,'Docs Signed Input'!E:E,0)),"N")</f>
        <v>Y</v>
      </c>
      <c r="J209" s="18">
        <v>41990</v>
      </c>
      <c r="L209" t="s">
        <v>2258</v>
      </c>
      <c r="M209" t="s">
        <v>4048</v>
      </c>
      <c r="N209">
        <v>9.5</v>
      </c>
      <c r="O209">
        <v>11.44</v>
      </c>
      <c r="P209" s="6">
        <v>42035.818124999998</v>
      </c>
      <c r="Q209" t="s">
        <v>3896</v>
      </c>
      <c r="R209" t="s">
        <v>3897</v>
      </c>
      <c r="S209" t="s">
        <v>3581</v>
      </c>
      <c r="T209">
        <v>2</v>
      </c>
      <c r="X209" t="b">
        <v>1</v>
      </c>
      <c r="Y209" s="6">
        <v>42037.431944444441</v>
      </c>
    </row>
    <row r="210" spans="1:25" x14ac:dyDescent="0.25">
      <c r="A210" t="s">
        <v>11624</v>
      </c>
      <c r="B210" t="s">
        <v>11625</v>
      </c>
      <c r="C210">
        <v>7</v>
      </c>
      <c r="D210" t="s">
        <v>3922</v>
      </c>
      <c r="E210" t="s">
        <v>3985</v>
      </c>
      <c r="F210" s="18">
        <v>41974</v>
      </c>
      <c r="G210" s="18">
        <v>41986</v>
      </c>
      <c r="H210" s="18" t="str">
        <f>IFERROR(INDEX('Docs Signed Input'!B:B,MATCH('Nate''s Evolution'!$B210,'Docs Signed Input'!E:E,0)),"N")</f>
        <v>Y</v>
      </c>
      <c r="I210" s="18" t="str">
        <f>IFERROR(INDEX('Docs Signed Input'!C:C,MATCH('Nate''s Evolution'!B210,'Docs Signed Input'!E:E,0)),"N")</f>
        <v>Y</v>
      </c>
      <c r="J210" s="18">
        <v>41997</v>
      </c>
      <c r="L210" t="s">
        <v>2258</v>
      </c>
      <c r="M210" t="s">
        <v>3902</v>
      </c>
      <c r="N210">
        <v>3.5</v>
      </c>
      <c r="O210">
        <v>7</v>
      </c>
      <c r="P210" s="6">
        <v>42024.617280092592</v>
      </c>
      <c r="Q210" t="s">
        <v>3896</v>
      </c>
      <c r="S210" t="s">
        <v>11455</v>
      </c>
      <c r="T210">
        <v>13</v>
      </c>
      <c r="X210" t="b">
        <v>1</v>
      </c>
      <c r="Y210" s="6">
        <v>42037.431944444441</v>
      </c>
    </row>
    <row r="211" spans="1:25" x14ac:dyDescent="0.25">
      <c r="A211" t="s">
        <v>11638</v>
      </c>
      <c r="B211" t="s">
        <v>11639</v>
      </c>
      <c r="C211">
        <v>8.67</v>
      </c>
      <c r="D211" t="s">
        <v>3922</v>
      </c>
      <c r="E211" t="s">
        <v>3985</v>
      </c>
      <c r="F211" s="18">
        <v>41974</v>
      </c>
      <c r="G211" s="18">
        <v>41986</v>
      </c>
      <c r="H211" s="18" t="str">
        <f>IFERROR(INDEX('Docs Signed Input'!B:B,MATCH('Nate''s Evolution'!$B211,'Docs Signed Input'!E:E,0)),"N")</f>
        <v>N</v>
      </c>
      <c r="I211" s="18" t="str">
        <f>IFERROR(INDEX('Docs Signed Input'!C:C,MATCH('Nate''s Evolution'!B211,'Docs Signed Input'!E:E,0)),"N")</f>
        <v>Y</v>
      </c>
      <c r="J211" s="18">
        <v>41996</v>
      </c>
      <c r="L211" t="s">
        <v>2258</v>
      </c>
      <c r="M211" t="s">
        <v>3948</v>
      </c>
      <c r="N211">
        <v>8.5</v>
      </c>
      <c r="O211">
        <v>8.67</v>
      </c>
      <c r="P211" s="6">
        <v>42018.563206018516</v>
      </c>
      <c r="Q211" t="s">
        <v>3896</v>
      </c>
      <c r="R211" t="s">
        <v>3911</v>
      </c>
      <c r="S211" t="s">
        <v>2689</v>
      </c>
      <c r="T211">
        <v>19</v>
      </c>
      <c r="X211" t="b">
        <v>1</v>
      </c>
      <c r="Y211" s="6">
        <v>42037.431944444441</v>
      </c>
    </row>
    <row r="212" spans="1:25" x14ac:dyDescent="0.25">
      <c r="A212" t="s">
        <v>11650</v>
      </c>
      <c r="B212" t="s">
        <v>11651</v>
      </c>
      <c r="C212">
        <v>5.0999999999999996</v>
      </c>
      <c r="D212" t="s">
        <v>3893</v>
      </c>
      <c r="E212" t="s">
        <v>3894</v>
      </c>
      <c r="F212" s="18">
        <v>41974</v>
      </c>
      <c r="G212" s="18">
        <v>41986</v>
      </c>
      <c r="H212" s="18" t="str">
        <f>IFERROR(INDEX('Docs Signed Input'!B:B,MATCH('Nate''s Evolution'!$B212,'Docs Signed Input'!E:E,0)),"N")</f>
        <v>N</v>
      </c>
      <c r="I212" s="18" t="str">
        <f>IFERROR(INDEX('Docs Signed Input'!C:C,MATCH('Nate''s Evolution'!B212,'Docs Signed Input'!E:E,0)),"N")</f>
        <v>N</v>
      </c>
      <c r="L212" t="s">
        <v>2258</v>
      </c>
      <c r="M212" t="s">
        <v>3932</v>
      </c>
      <c r="N212">
        <v>5.0999999999999996</v>
      </c>
      <c r="O212">
        <v>8.75</v>
      </c>
      <c r="P212" s="6">
        <v>42035.818124999998</v>
      </c>
      <c r="Q212" t="s">
        <v>3896</v>
      </c>
      <c r="R212" t="s">
        <v>3897</v>
      </c>
      <c r="S212" t="s">
        <v>3493</v>
      </c>
      <c r="T212">
        <v>2</v>
      </c>
      <c r="X212" t="b">
        <v>1</v>
      </c>
      <c r="Y212" s="6">
        <v>42037.431944444441</v>
      </c>
    </row>
    <row r="213" spans="1:25" x14ac:dyDescent="0.25">
      <c r="A213" t="s">
        <v>11654</v>
      </c>
      <c r="B213" t="s">
        <v>11655</v>
      </c>
      <c r="C213">
        <v>6.8849999999999998</v>
      </c>
      <c r="D213" t="s">
        <v>3922</v>
      </c>
      <c r="E213" t="s">
        <v>3985</v>
      </c>
      <c r="F213" s="18">
        <v>41974</v>
      </c>
      <c r="G213" s="18">
        <v>41986</v>
      </c>
      <c r="H213" s="18" t="str">
        <f>IFERROR(INDEX('Docs Signed Input'!B:B,MATCH('Nate''s Evolution'!$B213,'Docs Signed Input'!E:E,0)),"N")</f>
        <v>Y</v>
      </c>
      <c r="I213" s="18" t="str">
        <f>IFERROR(INDEX('Docs Signed Input'!C:C,MATCH('Nate''s Evolution'!B213,'Docs Signed Input'!E:E,0)),"N")</f>
        <v>Y</v>
      </c>
      <c r="J213" s="18">
        <v>41996</v>
      </c>
      <c r="L213" t="s">
        <v>2258</v>
      </c>
      <c r="M213" t="s">
        <v>3948</v>
      </c>
      <c r="N213">
        <v>6.75</v>
      </c>
      <c r="O213">
        <v>6.8849999999999998</v>
      </c>
      <c r="P213" s="6">
        <v>42032.600439814814</v>
      </c>
      <c r="Q213" t="s">
        <v>3896</v>
      </c>
      <c r="R213" t="s">
        <v>3897</v>
      </c>
      <c r="S213" t="s">
        <v>2889</v>
      </c>
      <c r="T213">
        <v>5</v>
      </c>
      <c r="X213" t="b">
        <v>1</v>
      </c>
      <c r="Y213" s="6">
        <v>42037.431944444441</v>
      </c>
    </row>
    <row r="214" spans="1:25" x14ac:dyDescent="0.25">
      <c r="A214" t="s">
        <v>11679</v>
      </c>
      <c r="B214" t="s">
        <v>11680</v>
      </c>
      <c r="C214">
        <v>5.75</v>
      </c>
      <c r="D214" t="s">
        <v>3922</v>
      </c>
      <c r="E214" t="s">
        <v>3985</v>
      </c>
      <c r="F214" s="18">
        <v>41974</v>
      </c>
      <c r="G214" s="18">
        <v>41986</v>
      </c>
      <c r="H214" s="18" t="str">
        <f>IFERROR(INDEX('Docs Signed Input'!B:B,MATCH('Nate''s Evolution'!$B214,'Docs Signed Input'!E:E,0)),"N")</f>
        <v>N</v>
      </c>
      <c r="I214" s="18" t="str">
        <f>IFERROR(INDEX('Docs Signed Input'!C:C,MATCH('Nate''s Evolution'!B214,'Docs Signed Input'!E:E,0)),"N")</f>
        <v>Y</v>
      </c>
      <c r="J214" s="18">
        <v>41995</v>
      </c>
      <c r="L214" t="s">
        <v>2258</v>
      </c>
      <c r="M214" t="s">
        <v>4000</v>
      </c>
      <c r="N214">
        <v>5.75</v>
      </c>
      <c r="O214">
        <v>5.75</v>
      </c>
      <c r="P214" s="6">
        <v>42032.612870370373</v>
      </c>
      <c r="Q214" t="s">
        <v>3896</v>
      </c>
      <c r="R214" t="s">
        <v>3897</v>
      </c>
      <c r="S214" t="s">
        <v>3545</v>
      </c>
      <c r="T214">
        <v>5</v>
      </c>
      <c r="X214" t="b">
        <v>1</v>
      </c>
      <c r="Y214" s="6">
        <v>42037.431944444441</v>
      </c>
    </row>
    <row r="215" spans="1:25" x14ac:dyDescent="0.25">
      <c r="A215" t="s">
        <v>11707</v>
      </c>
      <c r="B215" t="s">
        <v>11708</v>
      </c>
      <c r="C215">
        <v>6.12</v>
      </c>
      <c r="D215" t="s">
        <v>3893</v>
      </c>
      <c r="E215" t="s">
        <v>3916</v>
      </c>
      <c r="F215" s="18">
        <v>41974</v>
      </c>
      <c r="G215" s="18">
        <v>41986</v>
      </c>
      <c r="H215" s="18" t="str">
        <f>IFERROR(INDEX('Docs Signed Input'!B:B,MATCH('Nate''s Evolution'!$B215,'Docs Signed Input'!E:E,0)),"N")</f>
        <v>N</v>
      </c>
      <c r="I215" s="18" t="str">
        <f>IFERROR(INDEX('Docs Signed Input'!C:C,MATCH('Nate''s Evolution'!B215,'Docs Signed Input'!E:E,0)),"N")</f>
        <v>N</v>
      </c>
      <c r="L215" t="s">
        <v>2258</v>
      </c>
      <c r="M215" t="s">
        <v>4317</v>
      </c>
      <c r="N215">
        <v>6.12</v>
      </c>
      <c r="O215">
        <v>7.5</v>
      </c>
      <c r="P215" s="6">
        <v>42035.818124999998</v>
      </c>
      <c r="Q215" t="s">
        <v>3896</v>
      </c>
      <c r="R215" t="s">
        <v>3897</v>
      </c>
      <c r="S215" t="s">
        <v>3566</v>
      </c>
      <c r="T215">
        <v>2</v>
      </c>
      <c r="X215" t="b">
        <v>1</v>
      </c>
      <c r="Y215" s="6">
        <v>42037.431944444441</v>
      </c>
    </row>
    <row r="216" spans="1:25" x14ac:dyDescent="0.25">
      <c r="A216" t="s">
        <v>11714</v>
      </c>
      <c r="B216" t="s">
        <v>11715</v>
      </c>
      <c r="C216">
        <v>5.25</v>
      </c>
      <c r="D216" t="s">
        <v>3893</v>
      </c>
      <c r="E216" t="s">
        <v>4117</v>
      </c>
      <c r="F216" s="18">
        <v>41974</v>
      </c>
      <c r="G216" s="18">
        <v>41986</v>
      </c>
      <c r="H216" s="18" t="str">
        <f>IFERROR(INDEX('Docs Signed Input'!B:B,MATCH('Nate''s Evolution'!$B216,'Docs Signed Input'!E:E,0)),"N")</f>
        <v>N</v>
      </c>
      <c r="I216" s="18" t="str">
        <f>IFERROR(INDEX('Docs Signed Input'!C:C,MATCH('Nate''s Evolution'!B216,'Docs Signed Input'!E:E,0)),"N")</f>
        <v>N</v>
      </c>
      <c r="L216" t="s">
        <v>2258</v>
      </c>
      <c r="M216" t="s">
        <v>3948</v>
      </c>
      <c r="N216">
        <v>5.25</v>
      </c>
      <c r="O216">
        <v>5.25</v>
      </c>
      <c r="P216" s="6">
        <v>42035.818124999998</v>
      </c>
      <c r="Q216" t="s">
        <v>3896</v>
      </c>
      <c r="R216" t="s">
        <v>3911</v>
      </c>
      <c r="S216" t="s">
        <v>2251</v>
      </c>
      <c r="T216">
        <v>2</v>
      </c>
      <c r="X216" t="b">
        <v>1</v>
      </c>
      <c r="Y216" s="6">
        <v>42037.431944444441</v>
      </c>
    </row>
    <row r="217" spans="1:25" x14ac:dyDescent="0.25">
      <c r="A217" t="s">
        <v>11726</v>
      </c>
      <c r="B217" t="s">
        <v>11727</v>
      </c>
      <c r="C217">
        <v>3.8250000000000002</v>
      </c>
      <c r="D217" t="s">
        <v>3893</v>
      </c>
      <c r="E217" t="s">
        <v>3925</v>
      </c>
      <c r="F217" s="18">
        <v>41974</v>
      </c>
      <c r="G217" s="18">
        <v>41986</v>
      </c>
      <c r="H217" s="18" t="str">
        <f>IFERROR(INDEX('Docs Signed Input'!B:B,MATCH('Nate''s Evolution'!$B217,'Docs Signed Input'!E:E,0)),"N")</f>
        <v>Y</v>
      </c>
      <c r="I217" s="18" t="str">
        <f>IFERROR(INDEX('Docs Signed Input'!C:C,MATCH('Nate''s Evolution'!B217,'Docs Signed Input'!E:E,0)),"N")</f>
        <v>Y</v>
      </c>
      <c r="J217" s="18">
        <v>42012</v>
      </c>
      <c r="L217" t="s">
        <v>2258</v>
      </c>
      <c r="M217" t="s">
        <v>4423</v>
      </c>
      <c r="N217">
        <v>3.8250000000000002</v>
      </c>
      <c r="O217">
        <v>5</v>
      </c>
      <c r="P217" s="6">
        <v>42035.818124999998</v>
      </c>
      <c r="Q217" t="s">
        <v>3896</v>
      </c>
      <c r="R217" t="s">
        <v>3897</v>
      </c>
      <c r="S217" t="s">
        <v>3332</v>
      </c>
      <c r="T217">
        <v>2</v>
      </c>
      <c r="X217" t="b">
        <v>1</v>
      </c>
      <c r="Y217" s="6">
        <v>42037.431944444441</v>
      </c>
    </row>
    <row r="218" spans="1:25" x14ac:dyDescent="0.25">
      <c r="A218" t="s">
        <v>11732</v>
      </c>
      <c r="B218" t="s">
        <v>11733</v>
      </c>
      <c r="C218">
        <v>3.5</v>
      </c>
      <c r="D218" t="s">
        <v>2230</v>
      </c>
      <c r="E218" t="s">
        <v>3984</v>
      </c>
      <c r="F218" s="18">
        <v>41974</v>
      </c>
      <c r="G218" s="18">
        <v>41986</v>
      </c>
      <c r="H218" s="18" t="str">
        <f>IFERROR(INDEX('Docs Signed Input'!B:B,MATCH('Nate''s Evolution'!$B218,'Docs Signed Input'!E:E,0)),"N")</f>
        <v>N</v>
      </c>
      <c r="I218" s="18" t="str">
        <f>IFERROR(INDEX('Docs Signed Input'!C:C,MATCH('Nate''s Evolution'!B218,'Docs Signed Input'!E:E,0)),"N")</f>
        <v>N</v>
      </c>
      <c r="L218" t="s">
        <v>2258</v>
      </c>
      <c r="M218" t="s">
        <v>4013</v>
      </c>
      <c r="N218">
        <v>3.5</v>
      </c>
      <c r="O218">
        <v>3.5</v>
      </c>
      <c r="P218" s="6">
        <v>42010.325185185182</v>
      </c>
      <c r="Q218" t="s">
        <v>3896</v>
      </c>
      <c r="R218" t="s">
        <v>3897</v>
      </c>
      <c r="S218" t="s">
        <v>3523</v>
      </c>
      <c r="T218">
        <v>27</v>
      </c>
      <c r="U218" t="b">
        <v>1</v>
      </c>
      <c r="Y218" s="6">
        <v>42037.431944444441</v>
      </c>
    </row>
    <row r="219" spans="1:25" x14ac:dyDescent="0.25">
      <c r="A219" t="s">
        <v>11736</v>
      </c>
      <c r="B219" t="s">
        <v>11737</v>
      </c>
      <c r="C219">
        <v>4.335</v>
      </c>
      <c r="D219" t="s">
        <v>3893</v>
      </c>
      <c r="E219" t="s">
        <v>3894</v>
      </c>
      <c r="F219" s="18">
        <v>41974</v>
      </c>
      <c r="G219" s="18">
        <v>41986</v>
      </c>
      <c r="H219" s="18" t="str">
        <f>IFERROR(INDEX('Docs Signed Input'!B:B,MATCH('Nate''s Evolution'!$B219,'Docs Signed Input'!E:E,0)),"N")</f>
        <v>N</v>
      </c>
      <c r="I219" s="18" t="str">
        <f>IFERROR(INDEX('Docs Signed Input'!C:C,MATCH('Nate''s Evolution'!B219,'Docs Signed Input'!E:E,0)),"N")</f>
        <v>N</v>
      </c>
      <c r="L219" t="s">
        <v>2258</v>
      </c>
      <c r="M219" t="s">
        <v>3948</v>
      </c>
      <c r="N219">
        <v>4</v>
      </c>
      <c r="O219">
        <v>4.335</v>
      </c>
      <c r="P219" s="6">
        <v>42035.818124999998</v>
      </c>
      <c r="Q219" t="s">
        <v>3896</v>
      </c>
      <c r="R219" t="s">
        <v>3918</v>
      </c>
      <c r="S219" t="s">
        <v>3485</v>
      </c>
      <c r="T219">
        <v>2</v>
      </c>
      <c r="X219" t="b">
        <v>1</v>
      </c>
      <c r="Y219" s="6">
        <v>42037.431944444441</v>
      </c>
    </row>
    <row r="220" spans="1:25" x14ac:dyDescent="0.25">
      <c r="A220" t="s">
        <v>11744</v>
      </c>
      <c r="B220" t="s">
        <v>11745</v>
      </c>
      <c r="C220">
        <v>6.25</v>
      </c>
      <c r="D220" t="s">
        <v>3893</v>
      </c>
      <c r="E220" t="s">
        <v>3989</v>
      </c>
      <c r="F220" s="18">
        <v>41974</v>
      </c>
      <c r="G220" s="18">
        <v>41986</v>
      </c>
      <c r="H220" s="18" t="str">
        <f>IFERROR(INDEX('Docs Signed Input'!B:B,MATCH('Nate''s Evolution'!$B220,'Docs Signed Input'!E:E,0)),"N")</f>
        <v>N</v>
      </c>
      <c r="I220" s="18" t="str">
        <f>IFERROR(INDEX('Docs Signed Input'!C:C,MATCH('Nate''s Evolution'!B220,'Docs Signed Input'!E:E,0)),"N")</f>
        <v>N</v>
      </c>
      <c r="L220" t="s">
        <v>2258</v>
      </c>
      <c r="M220" t="s">
        <v>4009</v>
      </c>
      <c r="N220">
        <v>6.25</v>
      </c>
      <c r="O220">
        <v>6.25</v>
      </c>
      <c r="P220" s="6">
        <v>42035.818124999998</v>
      </c>
      <c r="Q220" t="s">
        <v>3896</v>
      </c>
      <c r="R220" t="s">
        <v>11563</v>
      </c>
      <c r="S220" t="s">
        <v>3640</v>
      </c>
      <c r="T220">
        <v>2</v>
      </c>
      <c r="X220" t="b">
        <v>1</v>
      </c>
      <c r="Y220" s="6">
        <v>42037.431944444441</v>
      </c>
    </row>
    <row r="221" spans="1:25" x14ac:dyDescent="0.25">
      <c r="A221" t="s">
        <v>11752</v>
      </c>
      <c r="B221" t="s">
        <v>11753</v>
      </c>
      <c r="C221">
        <v>7.14</v>
      </c>
      <c r="D221" t="s">
        <v>3893</v>
      </c>
      <c r="E221" t="s">
        <v>3894</v>
      </c>
      <c r="F221" s="18">
        <v>41974</v>
      </c>
      <c r="G221" s="18">
        <v>41986</v>
      </c>
      <c r="H221" s="18" t="str">
        <f>IFERROR(INDEX('Docs Signed Input'!B:B,MATCH('Nate''s Evolution'!$B221,'Docs Signed Input'!E:E,0)),"N")</f>
        <v>N</v>
      </c>
      <c r="I221" s="18" t="str">
        <f>IFERROR(INDEX('Docs Signed Input'!C:C,MATCH('Nate''s Evolution'!B221,'Docs Signed Input'!E:E,0)),"N")</f>
        <v>N</v>
      </c>
      <c r="L221" t="s">
        <v>2258</v>
      </c>
      <c r="M221" t="s">
        <v>3933</v>
      </c>
      <c r="N221">
        <v>7</v>
      </c>
      <c r="O221">
        <v>7.14</v>
      </c>
      <c r="P221" s="6">
        <v>42035.818124999998</v>
      </c>
      <c r="Q221" t="s">
        <v>3896</v>
      </c>
      <c r="R221" t="s">
        <v>4198</v>
      </c>
      <c r="S221" t="s">
        <v>11497</v>
      </c>
      <c r="T221">
        <v>2</v>
      </c>
      <c r="X221" t="b">
        <v>1</v>
      </c>
      <c r="Y221" s="6">
        <v>42037.431944444441</v>
      </c>
    </row>
    <row r="222" spans="1:25" x14ac:dyDescent="0.25">
      <c r="A222" t="s">
        <v>11794</v>
      </c>
      <c r="B222" t="s">
        <v>11795</v>
      </c>
      <c r="C222">
        <v>5.72</v>
      </c>
      <c r="D222" t="s">
        <v>3900</v>
      </c>
      <c r="E222" t="s">
        <v>4277</v>
      </c>
      <c r="F222" s="18">
        <v>41974</v>
      </c>
      <c r="G222" s="18">
        <v>41986</v>
      </c>
      <c r="H222" s="18" t="str">
        <f>IFERROR(INDEX('Docs Signed Input'!B:B,MATCH('Nate''s Evolution'!$B222,'Docs Signed Input'!E:E,0)),"N")</f>
        <v>Y</v>
      </c>
      <c r="I222" s="18" t="str">
        <f>IFERROR(INDEX('Docs Signed Input'!C:C,MATCH('Nate''s Evolution'!B222,'Docs Signed Input'!E:E,0)),"N")</f>
        <v>Y</v>
      </c>
      <c r="J222" s="18">
        <v>42003</v>
      </c>
      <c r="K222" s="18">
        <v>42010</v>
      </c>
      <c r="L222" t="s">
        <v>2258</v>
      </c>
      <c r="M222" t="s">
        <v>10253</v>
      </c>
      <c r="N222">
        <v>5.72</v>
      </c>
      <c r="O222">
        <v>5.98</v>
      </c>
      <c r="P222" s="6">
        <v>42013.334965277776</v>
      </c>
      <c r="Q222" t="s">
        <v>3896</v>
      </c>
      <c r="R222" t="s">
        <v>3897</v>
      </c>
      <c r="S222" t="s">
        <v>11505</v>
      </c>
      <c r="T222">
        <v>24</v>
      </c>
      <c r="W222" t="b">
        <v>1</v>
      </c>
      <c r="Y222" s="6">
        <v>42037.431944444441</v>
      </c>
    </row>
    <row r="223" spans="1:25" x14ac:dyDescent="0.25">
      <c r="A223" t="s">
        <v>11530</v>
      </c>
      <c r="B223" t="s">
        <v>11531</v>
      </c>
      <c r="C223">
        <v>5.2</v>
      </c>
      <c r="D223" t="s">
        <v>3893</v>
      </c>
      <c r="E223" t="s">
        <v>3916</v>
      </c>
      <c r="F223" s="18">
        <v>41974</v>
      </c>
      <c r="G223" s="18">
        <v>41988</v>
      </c>
      <c r="H223" s="18" t="str">
        <f>IFERROR(INDEX('Docs Signed Input'!B:B,MATCH('Nate''s Evolution'!$B223,'Docs Signed Input'!E:E,0)),"N")</f>
        <v>N</v>
      </c>
      <c r="I223" s="18" t="str">
        <f>IFERROR(INDEX('Docs Signed Input'!C:C,MATCH('Nate''s Evolution'!B223,'Docs Signed Input'!E:E,0)),"N")</f>
        <v>N</v>
      </c>
      <c r="L223" t="s">
        <v>2258</v>
      </c>
      <c r="M223" t="s">
        <v>12287</v>
      </c>
      <c r="N223">
        <v>5.2</v>
      </c>
      <c r="O223">
        <v>6.25</v>
      </c>
      <c r="P223" s="6">
        <v>42035.818124999998</v>
      </c>
      <c r="Q223" t="s">
        <v>3896</v>
      </c>
      <c r="R223" t="s">
        <v>12118</v>
      </c>
      <c r="S223" t="s">
        <v>3634</v>
      </c>
      <c r="T223">
        <v>2</v>
      </c>
      <c r="X223" t="b">
        <v>1</v>
      </c>
      <c r="Y223" s="6">
        <v>42037.431944444441</v>
      </c>
    </row>
    <row r="224" spans="1:25" x14ac:dyDescent="0.25">
      <c r="A224" t="s">
        <v>11533</v>
      </c>
      <c r="B224" t="s">
        <v>11534</v>
      </c>
      <c r="C224">
        <v>4.75</v>
      </c>
      <c r="D224" t="s">
        <v>3893</v>
      </c>
      <c r="E224" t="s">
        <v>4117</v>
      </c>
      <c r="F224" s="18">
        <v>41974</v>
      </c>
      <c r="G224" s="18">
        <v>41988</v>
      </c>
      <c r="H224" s="18" t="str">
        <f>IFERROR(INDEX('Docs Signed Input'!B:B,MATCH('Nate''s Evolution'!$B224,'Docs Signed Input'!E:E,0)),"N")</f>
        <v>N</v>
      </c>
      <c r="I224" s="18" t="str">
        <f>IFERROR(INDEX('Docs Signed Input'!C:C,MATCH('Nate''s Evolution'!B224,'Docs Signed Input'!E:E,0)),"N")</f>
        <v>N</v>
      </c>
      <c r="L224" t="s">
        <v>2258</v>
      </c>
      <c r="M224" t="s">
        <v>4000</v>
      </c>
      <c r="N224">
        <v>4.75</v>
      </c>
      <c r="O224">
        <v>4.75</v>
      </c>
      <c r="P224" s="6">
        <v>42035.818124999998</v>
      </c>
      <c r="Q224" t="s">
        <v>3896</v>
      </c>
      <c r="R224" t="s">
        <v>11563</v>
      </c>
      <c r="S224" t="s">
        <v>2587</v>
      </c>
      <c r="T224">
        <v>2</v>
      </c>
      <c r="X224" t="b">
        <v>1</v>
      </c>
      <c r="Y224" s="6">
        <v>42037.431944444441</v>
      </c>
    </row>
    <row r="225" spans="1:25" x14ac:dyDescent="0.25">
      <c r="A225" t="s">
        <v>11543</v>
      </c>
      <c r="B225" t="s">
        <v>11544</v>
      </c>
      <c r="C225">
        <v>11.25</v>
      </c>
      <c r="D225" t="s">
        <v>3893</v>
      </c>
      <c r="E225" t="s">
        <v>4117</v>
      </c>
      <c r="F225" s="18">
        <v>41974</v>
      </c>
      <c r="G225" s="18">
        <v>41988</v>
      </c>
      <c r="H225" s="18" t="str">
        <f>IFERROR(INDEX('Docs Signed Input'!B:B,MATCH('Nate''s Evolution'!$B225,'Docs Signed Input'!E:E,0)),"N")</f>
        <v>N</v>
      </c>
      <c r="I225" s="18" t="str">
        <f>IFERROR(INDEX('Docs Signed Input'!C:C,MATCH('Nate''s Evolution'!B225,'Docs Signed Input'!E:E,0)),"N")</f>
        <v>N</v>
      </c>
      <c r="L225" t="s">
        <v>2258</v>
      </c>
      <c r="M225" t="s">
        <v>5081</v>
      </c>
      <c r="N225">
        <v>11.25</v>
      </c>
      <c r="O225">
        <v>11.25</v>
      </c>
      <c r="P225" s="6">
        <v>42035.818124999998</v>
      </c>
      <c r="Q225" t="s">
        <v>3896</v>
      </c>
      <c r="R225" t="s">
        <v>3897</v>
      </c>
      <c r="S225" t="s">
        <v>3412</v>
      </c>
      <c r="T225">
        <v>2</v>
      </c>
      <c r="X225" t="b">
        <v>1</v>
      </c>
      <c r="Y225" s="6">
        <v>42037.431944444441</v>
      </c>
    </row>
    <row r="226" spans="1:25" x14ac:dyDescent="0.25">
      <c r="A226" t="s">
        <v>11545</v>
      </c>
      <c r="B226" t="s">
        <v>11546</v>
      </c>
      <c r="C226">
        <v>5.75</v>
      </c>
      <c r="D226" t="s">
        <v>3893</v>
      </c>
      <c r="E226" t="s">
        <v>4117</v>
      </c>
      <c r="F226" s="18">
        <v>41974</v>
      </c>
      <c r="G226" s="18">
        <v>41988</v>
      </c>
      <c r="H226" s="18" t="str">
        <f>IFERROR(INDEX('Docs Signed Input'!B:B,MATCH('Nate''s Evolution'!$B226,'Docs Signed Input'!E:E,0)),"N")</f>
        <v>N</v>
      </c>
      <c r="I226" s="18" t="str">
        <f>IFERROR(INDEX('Docs Signed Input'!C:C,MATCH('Nate''s Evolution'!B226,'Docs Signed Input'!E:E,0)),"N")</f>
        <v>N</v>
      </c>
      <c r="L226" t="s">
        <v>2258</v>
      </c>
      <c r="M226" t="s">
        <v>3895</v>
      </c>
      <c r="N226">
        <v>5.75</v>
      </c>
      <c r="O226">
        <v>5.75</v>
      </c>
      <c r="P226" s="6">
        <v>42035.818124999998</v>
      </c>
      <c r="Q226" t="s">
        <v>3896</v>
      </c>
      <c r="S226" t="s">
        <v>2587</v>
      </c>
      <c r="T226">
        <v>2</v>
      </c>
      <c r="X226" t="b">
        <v>1</v>
      </c>
      <c r="Y226" s="6">
        <v>42037.431944444441</v>
      </c>
    </row>
    <row r="227" spans="1:25" x14ac:dyDescent="0.25">
      <c r="A227" t="s">
        <v>11609</v>
      </c>
      <c r="B227" t="s">
        <v>11610</v>
      </c>
      <c r="C227">
        <v>10.5</v>
      </c>
      <c r="D227" t="s">
        <v>3900</v>
      </c>
      <c r="E227" t="s">
        <v>3901</v>
      </c>
      <c r="F227" s="18">
        <v>41974</v>
      </c>
      <c r="G227" s="18">
        <v>41988</v>
      </c>
      <c r="H227" s="18" t="str">
        <f>IFERROR(INDEX('Docs Signed Input'!B:B,MATCH('Nate''s Evolution'!$B227,'Docs Signed Input'!E:E,0)),"N")</f>
        <v>Y</v>
      </c>
      <c r="I227" s="18" t="str">
        <f>IFERROR(INDEX('Docs Signed Input'!C:C,MATCH('Nate''s Evolution'!B227,'Docs Signed Input'!E:E,0)),"N")</f>
        <v>Y</v>
      </c>
      <c r="J227" s="18">
        <v>42009</v>
      </c>
      <c r="K227" s="18">
        <v>42032</v>
      </c>
      <c r="L227" t="s">
        <v>2258</v>
      </c>
      <c r="M227" t="s">
        <v>3930</v>
      </c>
      <c r="N227">
        <v>8</v>
      </c>
      <c r="O227">
        <v>10.5</v>
      </c>
      <c r="P227" s="6">
        <v>42034.587962962964</v>
      </c>
      <c r="Q227" t="s">
        <v>3896</v>
      </c>
      <c r="S227" t="s">
        <v>2241</v>
      </c>
      <c r="T227">
        <v>3</v>
      </c>
      <c r="W227" t="b">
        <v>1</v>
      </c>
      <c r="Y227" s="6">
        <v>42037.431944444441</v>
      </c>
    </row>
    <row r="228" spans="1:25" x14ac:dyDescent="0.25">
      <c r="A228" t="s">
        <v>11622</v>
      </c>
      <c r="B228" t="s">
        <v>11623</v>
      </c>
      <c r="C228">
        <v>5.5</v>
      </c>
      <c r="D228" t="s">
        <v>3900</v>
      </c>
      <c r="E228" t="s">
        <v>3960</v>
      </c>
      <c r="F228" s="18">
        <v>41974</v>
      </c>
      <c r="G228" s="18">
        <v>41988</v>
      </c>
      <c r="H228" s="18" t="str">
        <f>IFERROR(INDEX('Docs Signed Input'!B:B,MATCH('Nate''s Evolution'!$B228,'Docs Signed Input'!E:E,0)),"N")</f>
        <v>N</v>
      </c>
      <c r="I228" s="18" t="str">
        <f>IFERROR(INDEX('Docs Signed Input'!C:C,MATCH('Nate''s Evolution'!B228,'Docs Signed Input'!E:E,0)),"N")</f>
        <v>Y</v>
      </c>
      <c r="J228" s="18">
        <v>41999</v>
      </c>
      <c r="K228" s="18">
        <v>42018</v>
      </c>
      <c r="L228" t="s">
        <v>2258</v>
      </c>
      <c r="M228" t="s">
        <v>3930</v>
      </c>
      <c r="N228">
        <v>5</v>
      </c>
      <c r="O228">
        <v>5.5</v>
      </c>
      <c r="P228" s="6">
        <v>42027.443715277775</v>
      </c>
      <c r="Q228" t="s">
        <v>3896</v>
      </c>
      <c r="R228" t="s">
        <v>3921</v>
      </c>
      <c r="S228" t="s">
        <v>2241</v>
      </c>
      <c r="T228">
        <v>10</v>
      </c>
      <c r="W228" t="b">
        <v>1</v>
      </c>
      <c r="Y228" s="6">
        <v>42037.431944444441</v>
      </c>
    </row>
    <row r="229" spans="1:25" x14ac:dyDescent="0.25">
      <c r="A229" t="s">
        <v>11628</v>
      </c>
      <c r="B229" t="s">
        <v>11629</v>
      </c>
      <c r="C229">
        <v>8.58</v>
      </c>
      <c r="D229" t="s">
        <v>3922</v>
      </c>
      <c r="E229" t="s">
        <v>3923</v>
      </c>
      <c r="F229" s="18">
        <v>41974</v>
      </c>
      <c r="G229" s="18">
        <v>41988</v>
      </c>
      <c r="H229" s="18" t="str">
        <f>IFERROR(INDEX('Docs Signed Input'!B:B,MATCH('Nate''s Evolution'!$B229,'Docs Signed Input'!E:E,0)),"N")</f>
        <v>N</v>
      </c>
      <c r="I229" s="18" t="str">
        <f>IFERROR(INDEX('Docs Signed Input'!C:C,MATCH('Nate''s Evolution'!B229,'Docs Signed Input'!E:E,0)),"N")</f>
        <v>Y</v>
      </c>
      <c r="J229" s="18">
        <v>42009</v>
      </c>
      <c r="L229" t="s">
        <v>2258</v>
      </c>
      <c r="M229" t="s">
        <v>10253</v>
      </c>
      <c r="N229">
        <v>5.75</v>
      </c>
      <c r="O229">
        <v>8.58</v>
      </c>
      <c r="P229" s="6">
        <v>42013.663715277777</v>
      </c>
      <c r="Q229" t="s">
        <v>3896</v>
      </c>
      <c r="R229" t="s">
        <v>8024</v>
      </c>
      <c r="S229" t="s">
        <v>3453</v>
      </c>
      <c r="T229">
        <v>24</v>
      </c>
      <c r="X229" t="b">
        <v>1</v>
      </c>
      <c r="Y229" s="6">
        <v>42037.431944444441</v>
      </c>
    </row>
    <row r="230" spans="1:25" x14ac:dyDescent="0.25">
      <c r="A230" t="s">
        <v>11632</v>
      </c>
      <c r="B230" t="s">
        <v>11633</v>
      </c>
      <c r="C230">
        <v>9.18</v>
      </c>
      <c r="D230" t="s">
        <v>3893</v>
      </c>
      <c r="E230" t="s">
        <v>3894</v>
      </c>
      <c r="F230" s="18">
        <v>41974</v>
      </c>
      <c r="G230" s="18">
        <v>41988</v>
      </c>
      <c r="H230" s="18" t="str">
        <f>IFERROR(INDEX('Docs Signed Input'!B:B,MATCH('Nate''s Evolution'!$B230,'Docs Signed Input'!E:E,0)),"N")</f>
        <v>N</v>
      </c>
      <c r="I230" s="18" t="str">
        <f>IFERROR(INDEX('Docs Signed Input'!C:C,MATCH('Nate''s Evolution'!B230,'Docs Signed Input'!E:E,0)),"N")</f>
        <v>N</v>
      </c>
      <c r="J230" s="18">
        <v>42003</v>
      </c>
      <c r="L230" t="s">
        <v>2258</v>
      </c>
      <c r="M230" t="s">
        <v>3948</v>
      </c>
      <c r="N230">
        <v>9.18</v>
      </c>
      <c r="O230">
        <v>9.25</v>
      </c>
      <c r="P230" s="6">
        <v>42035.818124999998</v>
      </c>
      <c r="Q230" t="s">
        <v>3896</v>
      </c>
      <c r="R230" t="s">
        <v>3897</v>
      </c>
      <c r="S230" t="s">
        <v>2251</v>
      </c>
      <c r="T230">
        <v>2</v>
      </c>
      <c r="X230" t="b">
        <v>1</v>
      </c>
      <c r="Y230" s="6">
        <v>42037.431944444441</v>
      </c>
    </row>
    <row r="231" spans="1:25" x14ac:dyDescent="0.25">
      <c r="A231" t="s">
        <v>11648</v>
      </c>
      <c r="B231" t="s">
        <v>11649</v>
      </c>
      <c r="C231">
        <v>8.75</v>
      </c>
      <c r="D231" t="s">
        <v>3893</v>
      </c>
      <c r="E231" t="s">
        <v>4117</v>
      </c>
      <c r="F231" s="18">
        <v>41974</v>
      </c>
      <c r="G231" s="18">
        <v>41988</v>
      </c>
      <c r="H231" s="18" t="str">
        <f>IFERROR(INDEX('Docs Signed Input'!B:B,MATCH('Nate''s Evolution'!$B231,'Docs Signed Input'!E:E,0)),"N")</f>
        <v>N</v>
      </c>
      <c r="I231" s="18" t="str">
        <f>IFERROR(INDEX('Docs Signed Input'!C:C,MATCH('Nate''s Evolution'!B231,'Docs Signed Input'!E:E,0)),"N")</f>
        <v>N</v>
      </c>
      <c r="L231" t="s">
        <v>2258</v>
      </c>
      <c r="M231" t="s">
        <v>3948</v>
      </c>
      <c r="N231">
        <v>8.75</v>
      </c>
      <c r="O231">
        <v>8.75</v>
      </c>
      <c r="P231" s="6">
        <v>42035.818124999998</v>
      </c>
      <c r="Q231" t="s">
        <v>3896</v>
      </c>
      <c r="R231" t="s">
        <v>13648</v>
      </c>
      <c r="S231" t="s">
        <v>2889</v>
      </c>
      <c r="T231">
        <v>2</v>
      </c>
      <c r="X231" t="b">
        <v>1</v>
      </c>
      <c r="Y231" s="6">
        <v>42037.431944444441</v>
      </c>
    </row>
    <row r="232" spans="1:25" x14ac:dyDescent="0.25">
      <c r="A232" t="s">
        <v>11663</v>
      </c>
      <c r="B232" t="s">
        <v>11664</v>
      </c>
      <c r="C232">
        <v>8.75</v>
      </c>
      <c r="D232" t="s">
        <v>3893</v>
      </c>
      <c r="E232" t="s">
        <v>3989</v>
      </c>
      <c r="F232" s="18">
        <v>41974</v>
      </c>
      <c r="G232" s="18">
        <v>41988</v>
      </c>
      <c r="H232" s="18" t="str">
        <f>IFERROR(INDEX('Docs Signed Input'!B:B,MATCH('Nate''s Evolution'!$B232,'Docs Signed Input'!E:E,0)),"N")</f>
        <v>N</v>
      </c>
      <c r="I232" s="18" t="str">
        <f>IFERROR(INDEX('Docs Signed Input'!C:C,MATCH('Nate''s Evolution'!B232,'Docs Signed Input'!E:E,0)),"N")</f>
        <v>N</v>
      </c>
      <c r="L232" t="s">
        <v>2258</v>
      </c>
      <c r="M232" t="s">
        <v>3933</v>
      </c>
      <c r="N232">
        <v>8.75</v>
      </c>
      <c r="O232">
        <v>8.75</v>
      </c>
      <c r="P232" s="6">
        <v>42035.818124999998</v>
      </c>
      <c r="Q232" t="s">
        <v>3896</v>
      </c>
      <c r="R232" t="s">
        <v>3897</v>
      </c>
      <c r="S232" t="s">
        <v>3570</v>
      </c>
      <c r="T232">
        <v>2</v>
      </c>
      <c r="X232" t="b">
        <v>1</v>
      </c>
      <c r="Y232" s="6">
        <v>42037.431944444441</v>
      </c>
    </row>
    <row r="233" spans="1:25" x14ac:dyDescent="0.25">
      <c r="A233" t="s">
        <v>11665</v>
      </c>
      <c r="B233" t="s">
        <v>11666</v>
      </c>
      <c r="C233">
        <v>3.5</v>
      </c>
      <c r="D233" t="s">
        <v>2230</v>
      </c>
      <c r="E233" t="s">
        <v>3984</v>
      </c>
      <c r="F233" s="18">
        <v>41974</v>
      </c>
      <c r="G233" s="18">
        <v>41988</v>
      </c>
      <c r="H233" s="18" t="str">
        <f>IFERROR(INDEX('Docs Signed Input'!B:B,MATCH('Nate''s Evolution'!$B233,'Docs Signed Input'!E:E,0)),"N")</f>
        <v>N</v>
      </c>
      <c r="I233" s="18" t="str">
        <f>IFERROR(INDEX('Docs Signed Input'!C:C,MATCH('Nate''s Evolution'!B233,'Docs Signed Input'!E:E,0)),"N")</f>
        <v>N</v>
      </c>
      <c r="L233" t="s">
        <v>2258</v>
      </c>
      <c r="M233" t="s">
        <v>3902</v>
      </c>
      <c r="N233">
        <v>3.5</v>
      </c>
      <c r="O233">
        <v>3.5</v>
      </c>
      <c r="P233" s="6">
        <v>41994.818379629629</v>
      </c>
      <c r="Q233" t="s">
        <v>3896</v>
      </c>
      <c r="R233" t="s">
        <v>3897</v>
      </c>
      <c r="S233" t="s">
        <v>11455</v>
      </c>
      <c r="T233">
        <v>43</v>
      </c>
      <c r="U233" t="b">
        <v>1</v>
      </c>
      <c r="Y233" s="6">
        <v>42037.431944444441</v>
      </c>
    </row>
    <row r="234" spans="1:25" x14ac:dyDescent="0.25">
      <c r="A234" t="s">
        <v>11668</v>
      </c>
      <c r="B234" t="s">
        <v>11669</v>
      </c>
      <c r="C234">
        <v>2.75</v>
      </c>
      <c r="D234" t="s">
        <v>3893</v>
      </c>
      <c r="E234" t="s">
        <v>5396</v>
      </c>
      <c r="F234" s="18">
        <v>41974</v>
      </c>
      <c r="G234" s="18">
        <v>41988</v>
      </c>
      <c r="H234" s="18" t="str">
        <f>IFERROR(INDEX('Docs Signed Input'!B:B,MATCH('Nate''s Evolution'!$B234,'Docs Signed Input'!E:E,0)),"N")</f>
        <v>N</v>
      </c>
      <c r="I234" s="18" t="str">
        <f>IFERROR(INDEX('Docs Signed Input'!C:C,MATCH('Nate''s Evolution'!B234,'Docs Signed Input'!E:E,0)),"N")</f>
        <v>N</v>
      </c>
      <c r="L234" t="s">
        <v>2258</v>
      </c>
      <c r="M234" t="s">
        <v>3948</v>
      </c>
      <c r="N234">
        <v>2.75</v>
      </c>
      <c r="O234">
        <v>2.75</v>
      </c>
      <c r="P234" s="6">
        <v>42035.818124999998</v>
      </c>
      <c r="Q234" t="s">
        <v>3896</v>
      </c>
      <c r="R234" t="s">
        <v>11563</v>
      </c>
      <c r="S234" t="s">
        <v>3485</v>
      </c>
      <c r="T234">
        <v>2</v>
      </c>
      <c r="X234" t="b">
        <v>1</v>
      </c>
      <c r="Y234" s="6">
        <v>42037.431944444441</v>
      </c>
    </row>
    <row r="235" spans="1:25" x14ac:dyDescent="0.25">
      <c r="A235" t="s">
        <v>11688</v>
      </c>
      <c r="B235" t="s">
        <v>11689</v>
      </c>
      <c r="C235">
        <v>4.335</v>
      </c>
      <c r="D235" t="s">
        <v>3922</v>
      </c>
      <c r="E235" t="s">
        <v>3923</v>
      </c>
      <c r="F235" s="18">
        <v>41974</v>
      </c>
      <c r="G235" s="18">
        <v>41988</v>
      </c>
      <c r="H235" s="18" t="str">
        <f>IFERROR(INDEX('Docs Signed Input'!B:B,MATCH('Nate''s Evolution'!$B235,'Docs Signed Input'!E:E,0)),"N")</f>
        <v>N</v>
      </c>
      <c r="I235" s="18" t="str">
        <f>IFERROR(INDEX('Docs Signed Input'!C:C,MATCH('Nate''s Evolution'!B235,'Docs Signed Input'!E:E,0)),"N")</f>
        <v>Y</v>
      </c>
      <c r="J235" s="18">
        <v>42002</v>
      </c>
      <c r="L235" t="s">
        <v>2258</v>
      </c>
      <c r="M235" t="s">
        <v>4020</v>
      </c>
      <c r="N235">
        <v>4.335</v>
      </c>
      <c r="O235">
        <v>4.5</v>
      </c>
      <c r="P235" s="6">
        <v>42035.818124999998</v>
      </c>
      <c r="Q235" t="s">
        <v>3896</v>
      </c>
      <c r="R235" t="s">
        <v>3897</v>
      </c>
      <c r="S235" t="s">
        <v>3556</v>
      </c>
      <c r="T235">
        <v>2</v>
      </c>
      <c r="X235" t="b">
        <v>1</v>
      </c>
      <c r="Y235" s="6">
        <v>42037.431944444441</v>
      </c>
    </row>
    <row r="236" spans="1:25" x14ac:dyDescent="0.25">
      <c r="A236" t="s">
        <v>11694</v>
      </c>
      <c r="B236" t="s">
        <v>11695</v>
      </c>
      <c r="C236">
        <v>11.73</v>
      </c>
      <c r="D236" t="s">
        <v>3893</v>
      </c>
      <c r="E236" t="s">
        <v>3894</v>
      </c>
      <c r="F236" s="18">
        <v>41974</v>
      </c>
      <c r="G236" s="18">
        <v>41988</v>
      </c>
      <c r="H236" s="18" t="str">
        <f>IFERROR(INDEX('Docs Signed Input'!B:B,MATCH('Nate''s Evolution'!$B236,'Docs Signed Input'!E:E,0)),"N")</f>
        <v>Y</v>
      </c>
      <c r="I236" s="18" t="str">
        <f>IFERROR(INDEX('Docs Signed Input'!C:C,MATCH('Nate''s Evolution'!B236,'Docs Signed Input'!E:E,0)),"N")</f>
        <v>N</v>
      </c>
      <c r="L236" t="s">
        <v>2258</v>
      </c>
      <c r="M236" t="s">
        <v>4027</v>
      </c>
      <c r="N236">
        <v>10.25</v>
      </c>
      <c r="O236">
        <v>11.73</v>
      </c>
      <c r="P236" s="6">
        <v>42035.818124999998</v>
      </c>
      <c r="Q236" t="s">
        <v>3896</v>
      </c>
      <c r="S236" t="s">
        <v>3298</v>
      </c>
      <c r="T236">
        <v>2</v>
      </c>
      <c r="X236" t="b">
        <v>1</v>
      </c>
      <c r="Y236" s="6">
        <v>42037.431944444441</v>
      </c>
    </row>
    <row r="237" spans="1:25" x14ac:dyDescent="0.25">
      <c r="A237" t="s">
        <v>11698</v>
      </c>
      <c r="B237" t="s">
        <v>11699</v>
      </c>
      <c r="C237">
        <v>11.25</v>
      </c>
      <c r="D237" t="s">
        <v>3893</v>
      </c>
      <c r="E237" t="s">
        <v>3894</v>
      </c>
      <c r="F237" s="18">
        <v>41974</v>
      </c>
      <c r="G237" s="18">
        <v>41988</v>
      </c>
      <c r="H237" s="18" t="str">
        <f>IFERROR(INDEX('Docs Signed Input'!B:B,MATCH('Nate''s Evolution'!$B237,'Docs Signed Input'!E:E,0)),"N")</f>
        <v>N</v>
      </c>
      <c r="I237" s="18" t="str">
        <f>IFERROR(INDEX('Docs Signed Input'!C:C,MATCH('Nate''s Evolution'!B237,'Docs Signed Input'!E:E,0)),"N")</f>
        <v>N</v>
      </c>
      <c r="L237" t="s">
        <v>2258</v>
      </c>
      <c r="M237" t="s">
        <v>12976</v>
      </c>
      <c r="N237">
        <v>11.25</v>
      </c>
      <c r="O237">
        <v>11.25</v>
      </c>
      <c r="P237" s="6">
        <v>42035.818124999998</v>
      </c>
      <c r="Q237" t="s">
        <v>3896</v>
      </c>
      <c r="R237" t="s">
        <v>11563</v>
      </c>
      <c r="S237" t="s">
        <v>3515</v>
      </c>
      <c r="T237">
        <v>2</v>
      </c>
      <c r="X237" t="b">
        <v>1</v>
      </c>
      <c r="Y237" s="6">
        <v>42037.431944444441</v>
      </c>
    </row>
    <row r="238" spans="1:25" x14ac:dyDescent="0.25">
      <c r="A238" t="s">
        <v>11716</v>
      </c>
      <c r="B238" t="s">
        <v>11717</v>
      </c>
      <c r="C238">
        <v>7.65</v>
      </c>
      <c r="D238" t="s">
        <v>3893</v>
      </c>
      <c r="E238" t="s">
        <v>3894</v>
      </c>
      <c r="F238" s="18">
        <v>41974</v>
      </c>
      <c r="G238" s="18">
        <v>41988</v>
      </c>
      <c r="H238" s="18" t="str">
        <f>IFERROR(INDEX('Docs Signed Input'!B:B,MATCH('Nate''s Evolution'!$B238,'Docs Signed Input'!E:E,0)),"N")</f>
        <v>N</v>
      </c>
      <c r="I238" s="18" t="str">
        <f>IFERROR(INDEX('Docs Signed Input'!C:C,MATCH('Nate''s Evolution'!B238,'Docs Signed Input'!E:E,0)),"N")</f>
        <v>Y</v>
      </c>
      <c r="J238" s="18">
        <v>41991</v>
      </c>
      <c r="L238" t="s">
        <v>2258</v>
      </c>
      <c r="M238" t="s">
        <v>3948</v>
      </c>
      <c r="N238">
        <v>7.3949999999999996</v>
      </c>
      <c r="O238">
        <v>7.75</v>
      </c>
      <c r="P238" s="6">
        <v>42035.818124999998</v>
      </c>
      <c r="Q238" t="s">
        <v>3896</v>
      </c>
      <c r="R238" t="s">
        <v>3897</v>
      </c>
      <c r="S238" t="s">
        <v>2703</v>
      </c>
      <c r="T238">
        <v>2</v>
      </c>
      <c r="X238" t="b">
        <v>1</v>
      </c>
      <c r="Y238" s="6">
        <v>42037.431944444441</v>
      </c>
    </row>
    <row r="239" spans="1:25" x14ac:dyDescent="0.25">
      <c r="A239" t="s">
        <v>11724</v>
      </c>
      <c r="B239" t="s">
        <v>11725</v>
      </c>
      <c r="C239">
        <v>3.8250000000000002</v>
      </c>
      <c r="D239" t="s">
        <v>3909</v>
      </c>
      <c r="E239" t="s">
        <v>3937</v>
      </c>
      <c r="F239" s="18">
        <v>41974</v>
      </c>
      <c r="G239" s="18">
        <v>41988</v>
      </c>
      <c r="H239" s="18" t="str">
        <f>IFERROR(INDEX('Docs Signed Input'!B:B,MATCH('Nate''s Evolution'!$B239,'Docs Signed Input'!E:E,0)),"N")</f>
        <v>N</v>
      </c>
      <c r="I239" s="18" t="str">
        <f>IFERROR(INDEX('Docs Signed Input'!C:C,MATCH('Nate''s Evolution'!B239,'Docs Signed Input'!E:E,0)),"N")</f>
        <v>Y</v>
      </c>
      <c r="J239" s="18">
        <v>42009</v>
      </c>
      <c r="L239" t="s">
        <v>2258</v>
      </c>
      <c r="M239" t="s">
        <v>3933</v>
      </c>
      <c r="N239">
        <v>3.5</v>
      </c>
      <c r="O239">
        <v>3.8250000000000002</v>
      </c>
      <c r="P239" s="6">
        <v>42018.398009259261</v>
      </c>
      <c r="Q239" t="s">
        <v>3896</v>
      </c>
      <c r="R239" t="s">
        <v>7828</v>
      </c>
      <c r="S239" t="s">
        <v>11513</v>
      </c>
      <c r="T239">
        <v>19</v>
      </c>
      <c r="V239" t="b">
        <v>1</v>
      </c>
      <c r="Y239" s="6">
        <v>42037.431944444441</v>
      </c>
    </row>
    <row r="240" spans="1:25" x14ac:dyDescent="0.25">
      <c r="A240" t="s">
        <v>11740</v>
      </c>
      <c r="B240" t="s">
        <v>11741</v>
      </c>
      <c r="C240">
        <v>12</v>
      </c>
      <c r="D240" t="s">
        <v>3893</v>
      </c>
      <c r="E240" t="s">
        <v>3989</v>
      </c>
      <c r="F240" s="18">
        <v>41974</v>
      </c>
      <c r="G240" s="18">
        <v>41988</v>
      </c>
      <c r="H240" s="18" t="str">
        <f>IFERROR(INDEX('Docs Signed Input'!B:B,MATCH('Nate''s Evolution'!$B240,'Docs Signed Input'!E:E,0)),"N")</f>
        <v>N</v>
      </c>
      <c r="I240" s="18" t="str">
        <f>IFERROR(INDEX('Docs Signed Input'!C:C,MATCH('Nate''s Evolution'!B240,'Docs Signed Input'!E:E,0)),"N")</f>
        <v>N</v>
      </c>
      <c r="L240" t="s">
        <v>2258</v>
      </c>
      <c r="M240" t="s">
        <v>3930</v>
      </c>
      <c r="N240">
        <v>12</v>
      </c>
      <c r="O240">
        <v>12</v>
      </c>
      <c r="P240" s="6">
        <v>42035.818124999998</v>
      </c>
      <c r="Q240" t="s">
        <v>3896</v>
      </c>
      <c r="R240" t="s">
        <v>11563</v>
      </c>
      <c r="S240" t="s">
        <v>2429</v>
      </c>
      <c r="T240">
        <v>2</v>
      </c>
      <c r="X240" t="b">
        <v>1</v>
      </c>
      <c r="Y240" s="6">
        <v>42037.431944444441</v>
      </c>
    </row>
    <row r="241" spans="1:25" x14ac:dyDescent="0.25">
      <c r="A241" t="s">
        <v>11770</v>
      </c>
      <c r="B241" t="s">
        <v>11771</v>
      </c>
      <c r="C241">
        <v>7.5</v>
      </c>
      <c r="D241" t="s">
        <v>3893</v>
      </c>
      <c r="E241" t="s">
        <v>3894</v>
      </c>
      <c r="F241" s="18">
        <v>41974</v>
      </c>
      <c r="G241" s="18">
        <v>41988</v>
      </c>
      <c r="H241" s="18" t="str">
        <f>IFERROR(INDEX('Docs Signed Input'!B:B,MATCH('Nate''s Evolution'!$B241,'Docs Signed Input'!E:E,0)),"N")</f>
        <v>Y</v>
      </c>
      <c r="I241" s="18" t="str">
        <f>IFERROR(INDEX('Docs Signed Input'!C:C,MATCH('Nate''s Evolution'!B241,'Docs Signed Input'!E:E,0)),"N")</f>
        <v>N</v>
      </c>
      <c r="L241" t="s">
        <v>2258</v>
      </c>
      <c r="M241" t="s">
        <v>3930</v>
      </c>
      <c r="N241">
        <v>7.5</v>
      </c>
      <c r="O241">
        <v>8.5</v>
      </c>
      <c r="P241" s="6">
        <v>42035.818124999998</v>
      </c>
      <c r="Q241" t="s">
        <v>3896</v>
      </c>
      <c r="S241" t="s">
        <v>2618</v>
      </c>
      <c r="T241">
        <v>2</v>
      </c>
      <c r="X241" t="b">
        <v>1</v>
      </c>
      <c r="Y241" s="6">
        <v>42037.431944444441</v>
      </c>
    </row>
    <row r="242" spans="1:25" x14ac:dyDescent="0.25">
      <c r="A242" t="s">
        <v>11774</v>
      </c>
      <c r="B242" t="s">
        <v>11775</v>
      </c>
      <c r="C242">
        <v>8.25</v>
      </c>
      <c r="D242" t="s">
        <v>3922</v>
      </c>
      <c r="E242" t="s">
        <v>3923</v>
      </c>
      <c r="F242" s="18">
        <v>41974</v>
      </c>
      <c r="G242" s="18">
        <v>41988</v>
      </c>
      <c r="H242" s="18" t="str">
        <f>IFERROR(INDEX('Docs Signed Input'!B:B,MATCH('Nate''s Evolution'!$B242,'Docs Signed Input'!E:E,0)),"N")</f>
        <v>N</v>
      </c>
      <c r="I242" s="18" t="str">
        <f>IFERROR(INDEX('Docs Signed Input'!C:C,MATCH('Nate''s Evolution'!B242,'Docs Signed Input'!E:E,0)),"N")</f>
        <v>N</v>
      </c>
      <c r="L242" t="s">
        <v>2258</v>
      </c>
      <c r="M242" t="s">
        <v>3930</v>
      </c>
      <c r="N242">
        <v>7</v>
      </c>
      <c r="O242">
        <v>8.25</v>
      </c>
      <c r="P242" s="6">
        <v>42035.818124999998</v>
      </c>
      <c r="Q242" t="s">
        <v>3896</v>
      </c>
      <c r="R242" t="s">
        <v>3897</v>
      </c>
      <c r="S242" t="s">
        <v>2235</v>
      </c>
      <c r="T242">
        <v>2</v>
      </c>
      <c r="X242" t="b">
        <v>1</v>
      </c>
      <c r="Y242" s="6">
        <v>42037.431944444441</v>
      </c>
    </row>
    <row r="243" spans="1:25" x14ac:dyDescent="0.25">
      <c r="A243" t="s">
        <v>11776</v>
      </c>
      <c r="B243" t="s">
        <v>11777</v>
      </c>
      <c r="C243">
        <v>6.12</v>
      </c>
      <c r="D243" t="s">
        <v>3893</v>
      </c>
      <c r="E243" t="s">
        <v>3925</v>
      </c>
      <c r="F243" s="18">
        <v>41974</v>
      </c>
      <c r="G243" s="18">
        <v>41988</v>
      </c>
      <c r="H243" s="18" t="str">
        <f>IFERROR(INDEX('Docs Signed Input'!B:B,MATCH('Nate''s Evolution'!$B243,'Docs Signed Input'!E:E,0)),"N")</f>
        <v>Y</v>
      </c>
      <c r="I243" s="18" t="str">
        <f>IFERROR(INDEX('Docs Signed Input'!C:C,MATCH('Nate''s Evolution'!B243,'Docs Signed Input'!E:E,0)),"N")</f>
        <v>Y</v>
      </c>
      <c r="J243" s="18">
        <v>41991</v>
      </c>
      <c r="L243" t="s">
        <v>2258</v>
      </c>
      <c r="M243" t="s">
        <v>3932</v>
      </c>
      <c r="N243">
        <v>4</v>
      </c>
      <c r="O243">
        <v>6.12</v>
      </c>
      <c r="P243" s="6">
        <v>42035.818124999998</v>
      </c>
      <c r="Q243" t="s">
        <v>3896</v>
      </c>
      <c r="S243" t="s">
        <v>3547</v>
      </c>
      <c r="T243">
        <v>2</v>
      </c>
      <c r="X243" t="b">
        <v>1</v>
      </c>
      <c r="Y243" s="6">
        <v>42037.431944444441</v>
      </c>
    </row>
    <row r="244" spans="1:25" x14ac:dyDescent="0.25">
      <c r="A244" t="s">
        <v>12769</v>
      </c>
      <c r="B244" t="s">
        <v>12669</v>
      </c>
      <c r="C244">
        <v>6.8849999999999998</v>
      </c>
      <c r="D244" t="s">
        <v>3893</v>
      </c>
      <c r="E244" t="s">
        <v>3894</v>
      </c>
      <c r="F244" s="18">
        <v>41974</v>
      </c>
      <c r="G244" s="18">
        <v>41988</v>
      </c>
      <c r="H244" s="18" t="str">
        <f>IFERROR(INDEX('Docs Signed Input'!B:B,MATCH('Nate''s Evolution'!$B244,'Docs Signed Input'!E:E,0)),"N")</f>
        <v>N</v>
      </c>
      <c r="I244" s="18" t="str">
        <f>IFERROR(INDEX('Docs Signed Input'!C:C,MATCH('Nate''s Evolution'!B244,'Docs Signed Input'!E:E,0)),"N")</f>
        <v>N</v>
      </c>
      <c r="J244" s="18">
        <v>42006</v>
      </c>
      <c r="L244" t="s">
        <v>2258</v>
      </c>
      <c r="M244" t="s">
        <v>3948</v>
      </c>
      <c r="N244">
        <v>6.8849999999999998</v>
      </c>
      <c r="O244">
        <v>6.8849999999999998</v>
      </c>
      <c r="P244" s="6">
        <v>42035.818124999998</v>
      </c>
      <c r="Q244" t="s">
        <v>3896</v>
      </c>
      <c r="R244" t="s">
        <v>3918</v>
      </c>
      <c r="S244" t="s">
        <v>2703</v>
      </c>
      <c r="T244">
        <v>2</v>
      </c>
      <c r="X244" t="b">
        <v>1</v>
      </c>
      <c r="Y244" s="6">
        <v>42037.431944444441</v>
      </c>
    </row>
    <row r="245" spans="1:25" x14ac:dyDescent="0.25">
      <c r="A245" t="s">
        <v>11792</v>
      </c>
      <c r="B245" t="s">
        <v>11793</v>
      </c>
      <c r="C245">
        <v>10.5</v>
      </c>
      <c r="D245" t="s">
        <v>3922</v>
      </c>
      <c r="E245" t="s">
        <v>3985</v>
      </c>
      <c r="F245" s="18">
        <v>41974</v>
      </c>
      <c r="G245" s="18">
        <v>41988</v>
      </c>
      <c r="H245" s="18" t="str">
        <f>IFERROR(INDEX('Docs Signed Input'!B:B,MATCH('Nate''s Evolution'!$B245,'Docs Signed Input'!E:E,0)),"N")</f>
        <v>N</v>
      </c>
      <c r="I245" s="18" t="str">
        <f>IFERROR(INDEX('Docs Signed Input'!C:C,MATCH('Nate''s Evolution'!B245,'Docs Signed Input'!E:E,0)),"N")</f>
        <v>Y</v>
      </c>
      <c r="J245" s="18">
        <v>41995</v>
      </c>
      <c r="L245" t="s">
        <v>2258</v>
      </c>
      <c r="M245" t="s">
        <v>3902</v>
      </c>
      <c r="N245">
        <v>10.5</v>
      </c>
      <c r="O245">
        <v>10.5</v>
      </c>
      <c r="P245" s="6">
        <v>42011.527812499997</v>
      </c>
      <c r="Q245" t="s">
        <v>3896</v>
      </c>
      <c r="R245" t="s">
        <v>3897</v>
      </c>
      <c r="S245" t="s">
        <v>2813</v>
      </c>
      <c r="T245">
        <v>26</v>
      </c>
      <c r="X245" t="b">
        <v>1</v>
      </c>
      <c r="Y245" s="6">
        <v>42037.431944444441</v>
      </c>
    </row>
    <row r="246" spans="1:25" x14ac:dyDescent="0.25">
      <c r="A246" t="s">
        <v>11557</v>
      </c>
      <c r="B246" t="s">
        <v>11558</v>
      </c>
      <c r="C246">
        <v>9.4350000000000005</v>
      </c>
      <c r="D246" t="s">
        <v>3893</v>
      </c>
      <c r="E246" t="s">
        <v>3894</v>
      </c>
      <c r="F246" s="18">
        <v>41974</v>
      </c>
      <c r="G246" s="18">
        <v>41989</v>
      </c>
      <c r="H246" s="18" t="str">
        <f>IFERROR(INDEX('Docs Signed Input'!B:B,MATCH('Nate''s Evolution'!$B246,'Docs Signed Input'!E:E,0)),"N")</f>
        <v>Y</v>
      </c>
      <c r="I246" s="18" t="str">
        <f>IFERROR(INDEX('Docs Signed Input'!C:C,MATCH('Nate''s Evolution'!B246,'Docs Signed Input'!E:E,0)),"N")</f>
        <v>Y</v>
      </c>
      <c r="J246" s="18">
        <v>42009</v>
      </c>
      <c r="L246" t="s">
        <v>2258</v>
      </c>
      <c r="M246" t="s">
        <v>3933</v>
      </c>
      <c r="N246">
        <v>8.4149999999999991</v>
      </c>
      <c r="O246">
        <v>11</v>
      </c>
      <c r="P246" s="6">
        <v>42035.818124999998</v>
      </c>
      <c r="Q246" t="s">
        <v>3896</v>
      </c>
      <c r="S246" t="s">
        <v>3002</v>
      </c>
      <c r="T246">
        <v>2</v>
      </c>
      <c r="X246" t="b">
        <v>1</v>
      </c>
      <c r="Y246" s="6">
        <v>42037.431944444441</v>
      </c>
    </row>
    <row r="247" spans="1:25" x14ac:dyDescent="0.25">
      <c r="A247" t="s">
        <v>11559</v>
      </c>
      <c r="B247" t="s">
        <v>11560</v>
      </c>
      <c r="C247">
        <v>13.5</v>
      </c>
      <c r="D247" t="s">
        <v>3893</v>
      </c>
      <c r="E247" t="s">
        <v>3989</v>
      </c>
      <c r="F247" s="18">
        <v>41974</v>
      </c>
      <c r="G247" s="18">
        <v>41989</v>
      </c>
      <c r="H247" s="18" t="str">
        <f>IFERROR(INDEX('Docs Signed Input'!B:B,MATCH('Nate''s Evolution'!$B247,'Docs Signed Input'!E:E,0)),"N")</f>
        <v>N</v>
      </c>
      <c r="I247" s="18" t="str">
        <f>IFERROR(INDEX('Docs Signed Input'!C:C,MATCH('Nate''s Evolution'!B247,'Docs Signed Input'!E:E,0)),"N")</f>
        <v>N</v>
      </c>
      <c r="L247" t="s">
        <v>2258</v>
      </c>
      <c r="M247" t="s">
        <v>3930</v>
      </c>
      <c r="N247">
        <v>13.5</v>
      </c>
      <c r="O247">
        <v>13.5</v>
      </c>
      <c r="P247" s="6">
        <v>42035.818124999998</v>
      </c>
      <c r="Q247" t="s">
        <v>3896</v>
      </c>
      <c r="R247" t="s">
        <v>3915</v>
      </c>
      <c r="S247" t="s">
        <v>2429</v>
      </c>
      <c r="T247">
        <v>2</v>
      </c>
      <c r="X247" t="b">
        <v>1</v>
      </c>
      <c r="Y247" s="6">
        <v>42037.431944444441</v>
      </c>
    </row>
    <row r="248" spans="1:25" x14ac:dyDescent="0.25">
      <c r="A248" t="s">
        <v>11566</v>
      </c>
      <c r="B248" t="s">
        <v>11567</v>
      </c>
      <c r="C248">
        <v>8.4149999999999991</v>
      </c>
      <c r="D248" t="s">
        <v>3900</v>
      </c>
      <c r="E248" t="s">
        <v>3960</v>
      </c>
      <c r="F248" s="18">
        <v>41974</v>
      </c>
      <c r="G248" s="18">
        <v>41989</v>
      </c>
      <c r="H248" s="18" t="str">
        <f>IFERROR(INDEX('Docs Signed Input'!B:B,MATCH('Nate''s Evolution'!$B248,'Docs Signed Input'!E:E,0)),"N")</f>
        <v>Y</v>
      </c>
      <c r="I248" s="18" t="str">
        <f>IFERROR(INDEX('Docs Signed Input'!C:C,MATCH('Nate''s Evolution'!B248,'Docs Signed Input'!E:E,0)),"N")</f>
        <v>Y</v>
      </c>
      <c r="J248" s="18">
        <v>41994</v>
      </c>
      <c r="K248" s="18">
        <v>42032</v>
      </c>
      <c r="L248" t="s">
        <v>2258</v>
      </c>
      <c r="M248" t="s">
        <v>3948</v>
      </c>
      <c r="N248">
        <v>8</v>
      </c>
      <c r="O248">
        <v>8.4149999999999991</v>
      </c>
      <c r="P248" s="6">
        <v>42033.567361111112</v>
      </c>
      <c r="Q248" t="s">
        <v>3896</v>
      </c>
      <c r="R248" t="s">
        <v>8024</v>
      </c>
      <c r="S248" t="s">
        <v>2689</v>
      </c>
      <c r="T248">
        <v>4</v>
      </c>
      <c r="W248" t="b">
        <v>1</v>
      </c>
      <c r="Y248" s="6">
        <v>42037.431944444441</v>
      </c>
    </row>
    <row r="249" spans="1:25" x14ac:dyDescent="0.25">
      <c r="A249" t="s">
        <v>11582</v>
      </c>
      <c r="B249" t="s">
        <v>11583</v>
      </c>
      <c r="C249">
        <v>11.5</v>
      </c>
      <c r="D249" t="s">
        <v>3893</v>
      </c>
      <c r="E249" t="s">
        <v>3989</v>
      </c>
      <c r="F249" s="18">
        <v>41974</v>
      </c>
      <c r="G249" s="18">
        <v>41989</v>
      </c>
      <c r="H249" s="18" t="str">
        <f>IFERROR(INDEX('Docs Signed Input'!B:B,MATCH('Nate''s Evolution'!$B249,'Docs Signed Input'!E:E,0)),"N")</f>
        <v>N</v>
      </c>
      <c r="I249" s="18" t="str">
        <f>IFERROR(INDEX('Docs Signed Input'!C:C,MATCH('Nate''s Evolution'!B249,'Docs Signed Input'!E:E,0)),"N")</f>
        <v>N</v>
      </c>
      <c r="L249" t="s">
        <v>2258</v>
      </c>
      <c r="M249" t="s">
        <v>3932</v>
      </c>
      <c r="N249">
        <v>11.5</v>
      </c>
      <c r="O249">
        <v>11.5</v>
      </c>
      <c r="P249" s="6">
        <v>42035.818124999998</v>
      </c>
      <c r="Q249" t="s">
        <v>3896</v>
      </c>
      <c r="R249" t="s">
        <v>3897</v>
      </c>
      <c r="S249" t="s">
        <v>3547</v>
      </c>
      <c r="T249">
        <v>2</v>
      </c>
      <c r="X249" t="b">
        <v>1</v>
      </c>
      <c r="Y249" s="6">
        <v>42037.431944444441</v>
      </c>
    </row>
    <row r="250" spans="1:25" x14ac:dyDescent="0.25">
      <c r="A250" t="s">
        <v>11592</v>
      </c>
      <c r="B250" t="s">
        <v>11593</v>
      </c>
      <c r="C250">
        <v>15</v>
      </c>
      <c r="D250" t="s">
        <v>3893</v>
      </c>
      <c r="E250" t="s">
        <v>3894</v>
      </c>
      <c r="F250" s="18">
        <v>41974</v>
      </c>
      <c r="G250" s="18">
        <v>41989</v>
      </c>
      <c r="H250" s="18" t="str">
        <f>IFERROR(INDEX('Docs Signed Input'!B:B,MATCH('Nate''s Evolution'!$B250,'Docs Signed Input'!E:E,0)),"N")</f>
        <v>N</v>
      </c>
      <c r="I250" s="18" t="str">
        <f>IFERROR(INDEX('Docs Signed Input'!C:C,MATCH('Nate''s Evolution'!B250,'Docs Signed Input'!E:E,0)),"N")</f>
        <v>N</v>
      </c>
      <c r="L250" t="s">
        <v>2258</v>
      </c>
      <c r="M250" t="s">
        <v>3930</v>
      </c>
      <c r="N250">
        <v>14.75</v>
      </c>
      <c r="O250">
        <v>15</v>
      </c>
      <c r="P250" s="6">
        <v>42035.818124999998</v>
      </c>
      <c r="Q250" t="s">
        <v>3896</v>
      </c>
      <c r="R250" t="s">
        <v>3897</v>
      </c>
      <c r="S250" t="s">
        <v>3525</v>
      </c>
      <c r="T250">
        <v>2</v>
      </c>
      <c r="X250" t="b">
        <v>1</v>
      </c>
      <c r="Y250" s="6">
        <v>42037.431944444441</v>
      </c>
    </row>
    <row r="251" spans="1:25" x14ac:dyDescent="0.25">
      <c r="A251" t="s">
        <v>11604</v>
      </c>
      <c r="B251" t="s">
        <v>11605</v>
      </c>
      <c r="C251">
        <v>3.3149999999999999</v>
      </c>
      <c r="D251" t="s">
        <v>3922</v>
      </c>
      <c r="E251" t="s">
        <v>3985</v>
      </c>
      <c r="F251" s="18">
        <v>41974</v>
      </c>
      <c r="G251" s="18">
        <v>41989</v>
      </c>
      <c r="H251" s="18" t="str">
        <f>IFERROR(INDEX('Docs Signed Input'!B:B,MATCH('Nate''s Evolution'!$B251,'Docs Signed Input'!E:E,0)),"N")</f>
        <v>N</v>
      </c>
      <c r="I251" s="18" t="str">
        <f>IFERROR(INDEX('Docs Signed Input'!C:C,MATCH('Nate''s Evolution'!B251,'Docs Signed Input'!E:E,0)),"N")</f>
        <v>Y</v>
      </c>
      <c r="J251" s="18">
        <v>42003</v>
      </c>
      <c r="L251" t="s">
        <v>2258</v>
      </c>
      <c r="M251" t="s">
        <v>4317</v>
      </c>
      <c r="N251">
        <v>3.3149999999999999</v>
      </c>
      <c r="O251">
        <v>3.3149999999999999</v>
      </c>
      <c r="P251" s="6">
        <v>42031.655497685184</v>
      </c>
      <c r="Q251" t="s">
        <v>3896</v>
      </c>
      <c r="R251" t="s">
        <v>3918</v>
      </c>
      <c r="S251" t="s">
        <v>2840</v>
      </c>
      <c r="T251">
        <v>6</v>
      </c>
      <c r="X251" t="b">
        <v>1</v>
      </c>
      <c r="Y251" s="6">
        <v>42037.431944444441</v>
      </c>
    </row>
    <row r="252" spans="1:25" x14ac:dyDescent="0.25">
      <c r="A252" t="s">
        <v>11618</v>
      </c>
      <c r="B252" t="s">
        <v>11619</v>
      </c>
      <c r="C252">
        <v>4.59</v>
      </c>
      <c r="D252" t="s">
        <v>3909</v>
      </c>
      <c r="E252" t="s">
        <v>3937</v>
      </c>
      <c r="F252" s="18">
        <v>41974</v>
      </c>
      <c r="G252" s="18">
        <v>41989</v>
      </c>
      <c r="H252" s="18" t="str">
        <f>IFERROR(INDEX('Docs Signed Input'!B:B,MATCH('Nate''s Evolution'!$B252,'Docs Signed Input'!E:E,0)),"N")</f>
        <v>N</v>
      </c>
      <c r="I252" s="18" t="str">
        <f>IFERROR(INDEX('Docs Signed Input'!C:C,MATCH('Nate''s Evolution'!B252,'Docs Signed Input'!E:E,0)),"N")</f>
        <v>N</v>
      </c>
      <c r="L252" t="s">
        <v>2258</v>
      </c>
      <c r="M252" t="s">
        <v>4317</v>
      </c>
      <c r="N252">
        <v>4.59</v>
      </c>
      <c r="O252">
        <v>4.59</v>
      </c>
      <c r="P252" s="6">
        <v>42020.527719907404</v>
      </c>
      <c r="Q252" t="s">
        <v>3896</v>
      </c>
      <c r="S252" t="s">
        <v>3587</v>
      </c>
      <c r="T252">
        <v>17</v>
      </c>
      <c r="V252" t="b">
        <v>1</v>
      </c>
      <c r="Y252" s="6">
        <v>42037.431944444441</v>
      </c>
    </row>
    <row r="253" spans="1:25" x14ac:dyDescent="0.25">
      <c r="A253" t="s">
        <v>11620</v>
      </c>
      <c r="B253" t="s">
        <v>11621</v>
      </c>
      <c r="C253">
        <v>6.375</v>
      </c>
      <c r="D253" t="s">
        <v>3893</v>
      </c>
      <c r="E253" t="s">
        <v>3925</v>
      </c>
      <c r="F253" s="18">
        <v>41974</v>
      </c>
      <c r="G253" s="18">
        <v>41989</v>
      </c>
      <c r="H253" s="18" t="str">
        <f>IFERROR(INDEX('Docs Signed Input'!B:B,MATCH('Nate''s Evolution'!$B253,'Docs Signed Input'!E:E,0)),"N")</f>
        <v>Y</v>
      </c>
      <c r="I253" s="18" t="str">
        <f>IFERROR(INDEX('Docs Signed Input'!C:C,MATCH('Nate''s Evolution'!B253,'Docs Signed Input'!E:E,0)),"N")</f>
        <v>Y</v>
      </c>
      <c r="J253" s="18">
        <v>42024</v>
      </c>
      <c r="L253" t="s">
        <v>2258</v>
      </c>
      <c r="M253" t="s">
        <v>4317</v>
      </c>
      <c r="N253">
        <v>5.8650000000000002</v>
      </c>
      <c r="O253">
        <v>6.375</v>
      </c>
      <c r="P253" s="6">
        <v>42035.818124999998</v>
      </c>
      <c r="Q253" t="s">
        <v>3896</v>
      </c>
      <c r="S253" t="s">
        <v>2840</v>
      </c>
      <c r="T253">
        <v>2</v>
      </c>
      <c r="X253" t="b">
        <v>1</v>
      </c>
      <c r="Y253" s="6">
        <v>42037.431944444441</v>
      </c>
    </row>
    <row r="254" spans="1:25" x14ac:dyDescent="0.25">
      <c r="A254" t="s">
        <v>11626</v>
      </c>
      <c r="B254" t="s">
        <v>11627</v>
      </c>
      <c r="C254">
        <v>7.25</v>
      </c>
      <c r="D254" t="s">
        <v>3893</v>
      </c>
      <c r="E254" t="s">
        <v>4117</v>
      </c>
      <c r="F254" s="18">
        <v>41974</v>
      </c>
      <c r="G254" s="18">
        <v>41989</v>
      </c>
      <c r="H254" s="18" t="str">
        <f>IFERROR(INDEX('Docs Signed Input'!B:B,MATCH('Nate''s Evolution'!$B254,'Docs Signed Input'!E:E,0)),"N")</f>
        <v>N</v>
      </c>
      <c r="I254" s="18" t="str">
        <f>IFERROR(INDEX('Docs Signed Input'!C:C,MATCH('Nate''s Evolution'!B254,'Docs Signed Input'!E:E,0)),"N")</f>
        <v>N</v>
      </c>
      <c r="L254" t="s">
        <v>2258</v>
      </c>
      <c r="M254" t="s">
        <v>12976</v>
      </c>
      <c r="N254">
        <v>7.25</v>
      </c>
      <c r="O254">
        <v>7.25</v>
      </c>
      <c r="P254" s="6">
        <v>42035.818124999998</v>
      </c>
      <c r="Q254" t="s">
        <v>3896</v>
      </c>
      <c r="R254" t="s">
        <v>11563</v>
      </c>
      <c r="S254" t="s">
        <v>3438</v>
      </c>
      <c r="T254">
        <v>2</v>
      </c>
      <c r="X254" t="b">
        <v>1</v>
      </c>
      <c r="Y254" s="6">
        <v>42037.431944444441</v>
      </c>
    </row>
    <row r="255" spans="1:25" x14ac:dyDescent="0.25">
      <c r="A255" t="s">
        <v>11646</v>
      </c>
      <c r="B255" t="s">
        <v>11647</v>
      </c>
      <c r="C255">
        <v>7</v>
      </c>
      <c r="D255" t="s">
        <v>3893</v>
      </c>
      <c r="E255" t="s">
        <v>4117</v>
      </c>
      <c r="F255" s="18">
        <v>41974</v>
      </c>
      <c r="G255" s="18">
        <v>41989</v>
      </c>
      <c r="H255" s="18" t="str">
        <f>IFERROR(INDEX('Docs Signed Input'!B:B,MATCH('Nate''s Evolution'!$B255,'Docs Signed Input'!E:E,0)),"N")</f>
        <v>N</v>
      </c>
      <c r="I255" s="18" t="str">
        <f>IFERROR(INDEX('Docs Signed Input'!C:C,MATCH('Nate''s Evolution'!B255,'Docs Signed Input'!E:E,0)),"N")</f>
        <v>N</v>
      </c>
      <c r="L255" t="s">
        <v>2258</v>
      </c>
      <c r="M255" t="s">
        <v>3930</v>
      </c>
      <c r="N255">
        <v>7</v>
      </c>
      <c r="O255">
        <v>7</v>
      </c>
      <c r="P255" s="6">
        <v>42035.818124999998</v>
      </c>
      <c r="Q255" t="s">
        <v>3896</v>
      </c>
      <c r="S255" t="s">
        <v>2861</v>
      </c>
      <c r="T255">
        <v>2</v>
      </c>
      <c r="X255" t="b">
        <v>1</v>
      </c>
      <c r="Y255" s="6">
        <v>42037.431944444441</v>
      </c>
    </row>
    <row r="256" spans="1:25" x14ac:dyDescent="0.25">
      <c r="A256" t="s">
        <v>11661</v>
      </c>
      <c r="B256" t="s">
        <v>11662</v>
      </c>
      <c r="C256">
        <v>11.25</v>
      </c>
      <c r="D256" t="s">
        <v>3893</v>
      </c>
      <c r="E256" t="s">
        <v>4117</v>
      </c>
      <c r="F256" s="18">
        <v>41974</v>
      </c>
      <c r="G256" s="18">
        <v>41989</v>
      </c>
      <c r="H256" s="18" t="str">
        <f>IFERROR(INDEX('Docs Signed Input'!B:B,MATCH('Nate''s Evolution'!$B256,'Docs Signed Input'!E:E,0)),"N")</f>
        <v>N</v>
      </c>
      <c r="I256" s="18" t="str">
        <f>IFERROR(INDEX('Docs Signed Input'!C:C,MATCH('Nate''s Evolution'!B256,'Docs Signed Input'!E:E,0)),"N")</f>
        <v>N</v>
      </c>
      <c r="L256" t="s">
        <v>2258</v>
      </c>
      <c r="M256" t="s">
        <v>4013</v>
      </c>
      <c r="N256">
        <v>11.25</v>
      </c>
      <c r="O256">
        <v>11.25</v>
      </c>
      <c r="P256" s="6">
        <v>42035.818124999998</v>
      </c>
      <c r="Q256" t="s">
        <v>3896</v>
      </c>
      <c r="R256" t="s">
        <v>3897</v>
      </c>
      <c r="S256" t="s">
        <v>3523</v>
      </c>
      <c r="T256">
        <v>2</v>
      </c>
      <c r="X256" t="b">
        <v>1</v>
      </c>
      <c r="Y256" s="6">
        <v>42037.431944444441</v>
      </c>
    </row>
    <row r="257" spans="1:25" x14ac:dyDescent="0.25">
      <c r="A257" t="s">
        <v>11690</v>
      </c>
      <c r="B257" t="s">
        <v>11691</v>
      </c>
      <c r="C257">
        <v>4</v>
      </c>
      <c r="D257" t="s">
        <v>3922</v>
      </c>
      <c r="E257" t="s">
        <v>3923</v>
      </c>
      <c r="F257" s="18">
        <v>41974</v>
      </c>
      <c r="G257" s="18">
        <v>41989</v>
      </c>
      <c r="H257" s="18" t="str">
        <f>IFERROR(INDEX('Docs Signed Input'!B:B,MATCH('Nate''s Evolution'!$B257,'Docs Signed Input'!E:E,0)),"N")</f>
        <v>N</v>
      </c>
      <c r="I257" s="18" t="str">
        <f>IFERROR(INDEX('Docs Signed Input'!C:C,MATCH('Nate''s Evolution'!B257,'Docs Signed Input'!E:E,0)),"N")</f>
        <v>Y</v>
      </c>
      <c r="J257" s="18">
        <v>42001</v>
      </c>
      <c r="L257" t="s">
        <v>2258</v>
      </c>
      <c r="M257" t="s">
        <v>12976</v>
      </c>
      <c r="N257">
        <v>4</v>
      </c>
      <c r="O257">
        <v>4</v>
      </c>
      <c r="P257" s="6">
        <v>42035.818124999998</v>
      </c>
      <c r="Q257" t="s">
        <v>3896</v>
      </c>
      <c r="R257" t="s">
        <v>3915</v>
      </c>
      <c r="S257" t="s">
        <v>3406</v>
      </c>
      <c r="T257">
        <v>2</v>
      </c>
      <c r="X257" t="b">
        <v>1</v>
      </c>
      <c r="Y257" s="6">
        <v>42037.431944444441</v>
      </c>
    </row>
    <row r="258" spans="1:25" x14ac:dyDescent="0.25">
      <c r="A258" t="s">
        <v>11703</v>
      </c>
      <c r="B258" t="s">
        <v>11704</v>
      </c>
      <c r="C258">
        <v>9</v>
      </c>
      <c r="D258" t="s">
        <v>3922</v>
      </c>
      <c r="E258" t="s">
        <v>3951</v>
      </c>
      <c r="F258" s="18">
        <v>41974</v>
      </c>
      <c r="G258" s="18">
        <v>41989</v>
      </c>
      <c r="H258" s="18" t="str">
        <f>IFERROR(INDEX('Docs Signed Input'!B:B,MATCH('Nate''s Evolution'!$B258,'Docs Signed Input'!E:E,0)),"N")</f>
        <v>Y</v>
      </c>
      <c r="I258" s="18" t="str">
        <f>IFERROR(INDEX('Docs Signed Input'!C:C,MATCH('Nate''s Evolution'!B258,'Docs Signed Input'!E:E,0)),"N")</f>
        <v>Y</v>
      </c>
      <c r="J258" s="18">
        <v>42010</v>
      </c>
      <c r="K258" s="18">
        <v>42055</v>
      </c>
      <c r="L258" t="s">
        <v>2258</v>
      </c>
      <c r="M258" t="s">
        <v>12976</v>
      </c>
      <c r="N258">
        <v>8.5</v>
      </c>
      <c r="O258">
        <v>9</v>
      </c>
      <c r="P258" s="6">
        <v>42032.484085648146</v>
      </c>
      <c r="Q258" t="s">
        <v>3896</v>
      </c>
      <c r="S258" t="s">
        <v>3406</v>
      </c>
      <c r="T258">
        <v>5</v>
      </c>
      <c r="X258" t="b">
        <v>1</v>
      </c>
      <c r="Y258" s="6">
        <v>42037.431944444441</v>
      </c>
    </row>
    <row r="259" spans="1:25" x14ac:dyDescent="0.25">
      <c r="A259" t="s">
        <v>11712</v>
      </c>
      <c r="B259" t="s">
        <v>11713</v>
      </c>
      <c r="C259">
        <v>5.0999999999999996</v>
      </c>
      <c r="D259" t="s">
        <v>3922</v>
      </c>
      <c r="E259" t="s">
        <v>3985</v>
      </c>
      <c r="F259" s="18">
        <v>41974</v>
      </c>
      <c r="G259" s="18">
        <v>41989</v>
      </c>
      <c r="H259" s="18" t="str">
        <f>IFERROR(INDEX('Docs Signed Input'!B:B,MATCH('Nate''s Evolution'!$B259,'Docs Signed Input'!E:E,0)),"N")</f>
        <v>N</v>
      </c>
      <c r="I259" s="18" t="str">
        <f>IFERROR(INDEX('Docs Signed Input'!C:C,MATCH('Nate''s Evolution'!B259,'Docs Signed Input'!E:E,0)),"N")</f>
        <v>Y</v>
      </c>
      <c r="J259" s="18">
        <v>42010</v>
      </c>
      <c r="L259" t="s">
        <v>2258</v>
      </c>
      <c r="M259" t="s">
        <v>3948</v>
      </c>
      <c r="N259">
        <v>5.0999999999999996</v>
      </c>
      <c r="O259">
        <v>6.12</v>
      </c>
      <c r="P259" s="6">
        <v>42030.672881944447</v>
      </c>
      <c r="Q259" t="s">
        <v>3896</v>
      </c>
      <c r="R259" t="s">
        <v>3897</v>
      </c>
      <c r="S259" t="s">
        <v>2689</v>
      </c>
      <c r="T259">
        <v>7</v>
      </c>
      <c r="X259" t="b">
        <v>1</v>
      </c>
      <c r="Y259" s="6">
        <v>42037.431944444441</v>
      </c>
    </row>
    <row r="260" spans="1:25" x14ac:dyDescent="0.25">
      <c r="A260" t="s">
        <v>12472</v>
      </c>
      <c r="B260" t="s">
        <v>12471</v>
      </c>
      <c r="C260">
        <v>5</v>
      </c>
      <c r="D260" t="s">
        <v>3893</v>
      </c>
      <c r="E260" t="s">
        <v>4117</v>
      </c>
      <c r="F260" s="18">
        <v>41974</v>
      </c>
      <c r="G260" s="18">
        <v>41989</v>
      </c>
      <c r="H260" s="18" t="str">
        <f>IFERROR(INDEX('Docs Signed Input'!B:B,MATCH('Nate''s Evolution'!$B260,'Docs Signed Input'!E:E,0)),"N")</f>
        <v>N</v>
      </c>
      <c r="I260" s="18" t="str">
        <f>IFERROR(INDEX('Docs Signed Input'!C:C,MATCH('Nate''s Evolution'!B260,'Docs Signed Input'!E:E,0)),"N")</f>
        <v>N</v>
      </c>
      <c r="L260" t="s">
        <v>2258</v>
      </c>
      <c r="M260" t="s">
        <v>3933</v>
      </c>
      <c r="N260">
        <v>5</v>
      </c>
      <c r="O260">
        <v>5</v>
      </c>
      <c r="P260" s="6">
        <v>42035.818124999998</v>
      </c>
      <c r="Q260" t="s">
        <v>3896</v>
      </c>
      <c r="R260" t="s">
        <v>11563</v>
      </c>
      <c r="S260" t="s">
        <v>3002</v>
      </c>
      <c r="T260">
        <v>2</v>
      </c>
      <c r="X260" t="b">
        <v>1</v>
      </c>
      <c r="Y260" s="6">
        <v>42037.431944444441</v>
      </c>
    </row>
    <row r="261" spans="1:25" x14ac:dyDescent="0.25">
      <c r="A261" t="s">
        <v>11742</v>
      </c>
      <c r="B261" t="s">
        <v>11743</v>
      </c>
      <c r="C261">
        <v>5.25</v>
      </c>
      <c r="D261" t="s">
        <v>3922</v>
      </c>
      <c r="E261" t="s">
        <v>3923</v>
      </c>
      <c r="F261" s="18">
        <v>41974</v>
      </c>
      <c r="G261" s="18">
        <v>41989</v>
      </c>
      <c r="H261" s="18" t="str">
        <f>IFERROR(INDEX('Docs Signed Input'!B:B,MATCH('Nate''s Evolution'!$B261,'Docs Signed Input'!E:E,0)),"N")</f>
        <v>N</v>
      </c>
      <c r="I261" s="18" t="str">
        <f>IFERROR(INDEX('Docs Signed Input'!C:C,MATCH('Nate''s Evolution'!B261,'Docs Signed Input'!E:E,0)),"N")</f>
        <v>Y</v>
      </c>
      <c r="J261" s="18">
        <v>42002</v>
      </c>
      <c r="L261" t="s">
        <v>2258</v>
      </c>
      <c r="M261" t="s">
        <v>3930</v>
      </c>
      <c r="N261">
        <v>5.25</v>
      </c>
      <c r="O261">
        <v>5.25</v>
      </c>
      <c r="P261" s="6">
        <v>42003.577523148146</v>
      </c>
      <c r="Q261" t="s">
        <v>3896</v>
      </c>
      <c r="R261" t="s">
        <v>3915</v>
      </c>
      <c r="S261" t="s">
        <v>3523</v>
      </c>
      <c r="T261">
        <v>34</v>
      </c>
      <c r="X261" t="b">
        <v>1</v>
      </c>
      <c r="Y261" s="6">
        <v>42037.431944444441</v>
      </c>
    </row>
    <row r="262" spans="1:25" x14ac:dyDescent="0.25">
      <c r="A262" t="s">
        <v>11748</v>
      </c>
      <c r="B262" t="s">
        <v>11749</v>
      </c>
      <c r="C262">
        <v>7.65</v>
      </c>
      <c r="D262" t="s">
        <v>3893</v>
      </c>
      <c r="E262" t="s">
        <v>3989</v>
      </c>
      <c r="F262" s="18">
        <v>41974</v>
      </c>
      <c r="G262" s="18">
        <v>41989</v>
      </c>
      <c r="H262" s="18" t="str">
        <f>IFERROR(INDEX('Docs Signed Input'!B:B,MATCH('Nate''s Evolution'!$B262,'Docs Signed Input'!E:E,0)),"N")</f>
        <v>N</v>
      </c>
      <c r="I262" s="18" t="str">
        <f>IFERROR(INDEX('Docs Signed Input'!C:C,MATCH('Nate''s Evolution'!B262,'Docs Signed Input'!E:E,0)),"N")</f>
        <v>N</v>
      </c>
      <c r="L262" t="s">
        <v>2258</v>
      </c>
      <c r="M262" t="s">
        <v>4317</v>
      </c>
      <c r="N262">
        <v>7.65</v>
      </c>
      <c r="O262">
        <v>7.65</v>
      </c>
      <c r="P262" s="6">
        <v>42035.818124999998</v>
      </c>
      <c r="Q262" t="s">
        <v>3896</v>
      </c>
      <c r="S262" t="s">
        <v>3459</v>
      </c>
      <c r="T262">
        <v>2</v>
      </c>
      <c r="X262" t="b">
        <v>1</v>
      </c>
      <c r="Y262" s="6">
        <v>42037.431944444441</v>
      </c>
    </row>
    <row r="263" spans="1:25" x14ac:dyDescent="0.25">
      <c r="A263" t="s">
        <v>11761</v>
      </c>
      <c r="B263" t="s">
        <v>11762</v>
      </c>
      <c r="C263">
        <v>6.63</v>
      </c>
      <c r="D263" t="s">
        <v>3909</v>
      </c>
      <c r="E263" t="s">
        <v>3937</v>
      </c>
      <c r="F263" s="18">
        <v>41974</v>
      </c>
      <c r="G263" s="18">
        <v>41989</v>
      </c>
      <c r="H263" s="18" t="str">
        <f>IFERROR(INDEX('Docs Signed Input'!B:B,MATCH('Nate''s Evolution'!$B263,'Docs Signed Input'!E:E,0)),"N")</f>
        <v>N</v>
      </c>
      <c r="I263" s="18" t="str">
        <f>IFERROR(INDEX('Docs Signed Input'!C:C,MATCH('Nate''s Evolution'!B263,'Docs Signed Input'!E:E,0)),"N")</f>
        <v>N</v>
      </c>
      <c r="L263" t="s">
        <v>2258</v>
      </c>
      <c r="M263" t="s">
        <v>4317</v>
      </c>
      <c r="N263">
        <v>6.63</v>
      </c>
      <c r="O263">
        <v>6.63</v>
      </c>
      <c r="P263" s="6">
        <v>42007.529247685183</v>
      </c>
      <c r="Q263" t="s">
        <v>3896</v>
      </c>
      <c r="R263" t="s">
        <v>3897</v>
      </c>
      <c r="S263" t="s">
        <v>3459</v>
      </c>
      <c r="T263">
        <v>30</v>
      </c>
      <c r="V263" t="b">
        <v>1</v>
      </c>
      <c r="Y263" s="6">
        <v>42037.431944444441</v>
      </c>
    </row>
    <row r="264" spans="1:25" x14ac:dyDescent="0.25">
      <c r="A264" t="s">
        <v>11763</v>
      </c>
      <c r="B264" t="s">
        <v>11764</v>
      </c>
      <c r="C264">
        <v>9.25</v>
      </c>
      <c r="D264" t="s">
        <v>3893</v>
      </c>
      <c r="E264" t="s">
        <v>3989</v>
      </c>
      <c r="F264" s="18">
        <v>41974</v>
      </c>
      <c r="G264" s="18">
        <v>41989</v>
      </c>
      <c r="H264" s="18" t="str">
        <f>IFERROR(INDEX('Docs Signed Input'!B:B,MATCH('Nate''s Evolution'!$B264,'Docs Signed Input'!E:E,0)),"N")</f>
        <v>N</v>
      </c>
      <c r="I264" s="18" t="str">
        <f>IFERROR(INDEX('Docs Signed Input'!C:C,MATCH('Nate''s Evolution'!B264,'Docs Signed Input'!E:E,0)),"N")</f>
        <v>N</v>
      </c>
      <c r="L264" t="s">
        <v>2258</v>
      </c>
      <c r="M264" t="s">
        <v>3930</v>
      </c>
      <c r="N264">
        <v>9.25</v>
      </c>
      <c r="O264">
        <v>9.25</v>
      </c>
      <c r="P264" s="6">
        <v>42035.818124999998</v>
      </c>
      <c r="Q264" t="s">
        <v>3896</v>
      </c>
      <c r="S264" t="s">
        <v>2241</v>
      </c>
      <c r="T264">
        <v>2</v>
      </c>
      <c r="X264" t="b">
        <v>1</v>
      </c>
      <c r="Y264" s="6">
        <v>42037.431944444441</v>
      </c>
    </row>
    <row r="265" spans="1:25" x14ac:dyDescent="0.25">
      <c r="A265" t="s">
        <v>11786</v>
      </c>
      <c r="B265" t="s">
        <v>11787</v>
      </c>
      <c r="C265">
        <v>4.8449999999999998</v>
      </c>
      <c r="D265" t="s">
        <v>3893</v>
      </c>
      <c r="E265" t="s">
        <v>4117</v>
      </c>
      <c r="F265" s="18">
        <v>41974</v>
      </c>
      <c r="G265" s="18">
        <v>41989</v>
      </c>
      <c r="H265" s="18" t="str">
        <f>IFERROR(INDEX('Docs Signed Input'!B:B,MATCH('Nate''s Evolution'!$B265,'Docs Signed Input'!E:E,0)),"N")</f>
        <v>N</v>
      </c>
      <c r="I265" s="18" t="str">
        <f>IFERROR(INDEX('Docs Signed Input'!C:C,MATCH('Nate''s Evolution'!B265,'Docs Signed Input'!E:E,0)),"N")</f>
        <v>N</v>
      </c>
      <c r="L265" t="s">
        <v>2258</v>
      </c>
      <c r="M265" t="s">
        <v>3948</v>
      </c>
      <c r="N265">
        <v>4.8449999999999998</v>
      </c>
      <c r="O265">
        <v>4.8449999999999998</v>
      </c>
      <c r="P265" s="6">
        <v>42035.818124999998</v>
      </c>
      <c r="Q265" t="s">
        <v>3896</v>
      </c>
      <c r="R265" t="s">
        <v>13648</v>
      </c>
      <c r="S265" t="s">
        <v>2889</v>
      </c>
      <c r="T265">
        <v>2</v>
      </c>
      <c r="X265" t="b">
        <v>1</v>
      </c>
      <c r="Y265" s="6">
        <v>42037.431944444441</v>
      </c>
    </row>
    <row r="266" spans="1:25" x14ac:dyDescent="0.25">
      <c r="A266" t="s">
        <v>11800</v>
      </c>
      <c r="B266" t="s">
        <v>11801</v>
      </c>
      <c r="C266">
        <v>6.8849999999999998</v>
      </c>
      <c r="D266" t="s">
        <v>3893</v>
      </c>
      <c r="E266" t="s">
        <v>4888</v>
      </c>
      <c r="F266" s="18">
        <v>41974</v>
      </c>
      <c r="G266" s="18">
        <v>41989</v>
      </c>
      <c r="H266" s="18" t="str">
        <f>IFERROR(INDEX('Docs Signed Input'!B:B,MATCH('Nate''s Evolution'!$B266,'Docs Signed Input'!E:E,0)),"N")</f>
        <v>N</v>
      </c>
      <c r="I266" s="18" t="str">
        <f>IFERROR(INDEX('Docs Signed Input'!C:C,MATCH('Nate''s Evolution'!B266,'Docs Signed Input'!E:E,0)),"N")</f>
        <v>Y</v>
      </c>
      <c r="J266" s="18">
        <v>41994</v>
      </c>
      <c r="L266" t="s">
        <v>2258</v>
      </c>
      <c r="M266" t="s">
        <v>4027</v>
      </c>
      <c r="N266">
        <v>6.75</v>
      </c>
      <c r="O266">
        <v>6.8849999999999998</v>
      </c>
      <c r="P266" s="6">
        <v>42037.39739583333</v>
      </c>
      <c r="Q266" t="s">
        <v>3896</v>
      </c>
      <c r="R266" t="s">
        <v>11563</v>
      </c>
      <c r="S266" t="s">
        <v>3374</v>
      </c>
      <c r="T266">
        <v>0</v>
      </c>
      <c r="X266" t="b">
        <v>1</v>
      </c>
      <c r="Y266" s="6">
        <v>42037.431944444441</v>
      </c>
    </row>
    <row r="267" spans="1:25" x14ac:dyDescent="0.25">
      <c r="A267" t="s">
        <v>11804</v>
      </c>
      <c r="B267" t="s">
        <v>11805</v>
      </c>
      <c r="C267">
        <v>9.4350000000000005</v>
      </c>
      <c r="D267" t="s">
        <v>3909</v>
      </c>
      <c r="E267" t="s">
        <v>3937</v>
      </c>
      <c r="F267" s="18">
        <v>41974</v>
      </c>
      <c r="G267" s="18">
        <v>41989</v>
      </c>
      <c r="H267" s="18" t="str">
        <f>IFERROR(INDEX('Docs Signed Input'!B:B,MATCH('Nate''s Evolution'!$B267,'Docs Signed Input'!E:E,0)),"N")</f>
        <v>N</v>
      </c>
      <c r="I267" s="18" t="str">
        <f>IFERROR(INDEX('Docs Signed Input'!C:C,MATCH('Nate''s Evolution'!B267,'Docs Signed Input'!E:E,0)),"N")</f>
        <v>N</v>
      </c>
      <c r="L267" t="s">
        <v>2258</v>
      </c>
      <c r="M267" t="s">
        <v>3948</v>
      </c>
      <c r="N267">
        <v>9.4350000000000005</v>
      </c>
      <c r="O267">
        <v>9.4350000000000005</v>
      </c>
      <c r="P267" s="6">
        <v>42026.595810185187</v>
      </c>
      <c r="Q267" t="s">
        <v>3896</v>
      </c>
      <c r="R267" t="s">
        <v>3897</v>
      </c>
      <c r="S267" t="s">
        <v>3485</v>
      </c>
      <c r="T267">
        <v>11</v>
      </c>
      <c r="V267" t="b">
        <v>1</v>
      </c>
      <c r="Y267" s="6">
        <v>42037.431944444441</v>
      </c>
    </row>
    <row r="268" spans="1:25" x14ac:dyDescent="0.25">
      <c r="A268" t="s">
        <v>12126</v>
      </c>
      <c r="B268" t="s">
        <v>12110</v>
      </c>
      <c r="C268">
        <v>4.08</v>
      </c>
      <c r="D268" t="s">
        <v>3893</v>
      </c>
      <c r="E268" t="s">
        <v>3989</v>
      </c>
      <c r="F268" s="18">
        <v>41974</v>
      </c>
      <c r="G268" s="18">
        <v>41990</v>
      </c>
      <c r="H268" s="18" t="str">
        <f>IFERROR(INDEX('Docs Signed Input'!B:B,MATCH('Nate''s Evolution'!$B268,'Docs Signed Input'!E:E,0)),"N")</f>
        <v>N</v>
      </c>
      <c r="I268" s="18" t="str">
        <f>IFERROR(INDEX('Docs Signed Input'!C:C,MATCH('Nate''s Evolution'!B268,'Docs Signed Input'!E:E,0)),"N")</f>
        <v>N</v>
      </c>
      <c r="L268" t="s">
        <v>2258</v>
      </c>
      <c r="M268" t="s">
        <v>3932</v>
      </c>
      <c r="N268">
        <v>4.08</v>
      </c>
      <c r="O268">
        <v>4.08</v>
      </c>
      <c r="P268" s="6">
        <v>42035.818124999998</v>
      </c>
      <c r="Q268" t="s">
        <v>3896</v>
      </c>
      <c r="R268" t="s">
        <v>3897</v>
      </c>
      <c r="S268" t="s">
        <v>3547</v>
      </c>
      <c r="T268">
        <v>2</v>
      </c>
      <c r="X268" t="b">
        <v>1</v>
      </c>
      <c r="Y268" s="6">
        <v>42037.431944444441</v>
      </c>
    </row>
    <row r="269" spans="1:25" x14ac:dyDescent="0.25">
      <c r="A269" t="s">
        <v>11549</v>
      </c>
      <c r="B269" t="s">
        <v>11550</v>
      </c>
      <c r="C269">
        <v>6.12</v>
      </c>
      <c r="D269" t="s">
        <v>3893</v>
      </c>
      <c r="E269" t="s">
        <v>3925</v>
      </c>
      <c r="F269" s="18">
        <v>41974</v>
      </c>
      <c r="G269" s="18">
        <v>41990</v>
      </c>
      <c r="H269" s="18" t="str">
        <f>IFERROR(INDEX('Docs Signed Input'!B:B,MATCH('Nate''s Evolution'!$B269,'Docs Signed Input'!E:E,0)),"N")</f>
        <v>Y</v>
      </c>
      <c r="I269" s="18" t="str">
        <f>IFERROR(INDEX('Docs Signed Input'!C:C,MATCH('Nate''s Evolution'!B269,'Docs Signed Input'!E:E,0)),"N")</f>
        <v>Y</v>
      </c>
      <c r="J269" s="18">
        <v>42020</v>
      </c>
      <c r="L269" t="s">
        <v>2258</v>
      </c>
      <c r="M269" t="s">
        <v>3932</v>
      </c>
      <c r="N269">
        <v>6.12</v>
      </c>
      <c r="O269">
        <v>6.25</v>
      </c>
      <c r="P269" s="6">
        <v>42035.818124999998</v>
      </c>
      <c r="Q269" t="s">
        <v>3896</v>
      </c>
      <c r="S269" t="s">
        <v>3712</v>
      </c>
      <c r="T269">
        <v>2</v>
      </c>
      <c r="X269" t="b">
        <v>1</v>
      </c>
      <c r="Y269" s="6">
        <v>42037.431944444441</v>
      </c>
    </row>
    <row r="270" spans="1:25" x14ac:dyDescent="0.25">
      <c r="A270" t="s">
        <v>12101</v>
      </c>
      <c r="B270" t="s">
        <v>12100</v>
      </c>
      <c r="C270">
        <v>5.75</v>
      </c>
      <c r="D270" t="s">
        <v>3893</v>
      </c>
      <c r="E270" t="s">
        <v>3925</v>
      </c>
      <c r="F270" s="18">
        <v>41974</v>
      </c>
      <c r="G270" s="18">
        <v>41990</v>
      </c>
      <c r="H270" s="18" t="str">
        <f>IFERROR(INDEX('Docs Signed Input'!B:B,MATCH('Nate''s Evolution'!$B270,'Docs Signed Input'!E:E,0)),"N")</f>
        <v>Y</v>
      </c>
      <c r="I270" s="18" t="str">
        <f>IFERROR(INDEX('Docs Signed Input'!C:C,MATCH('Nate''s Evolution'!B270,'Docs Signed Input'!E:E,0)),"N")</f>
        <v>Y</v>
      </c>
      <c r="J270" s="18">
        <v>42026</v>
      </c>
      <c r="L270" t="s">
        <v>2258</v>
      </c>
      <c r="M270" t="s">
        <v>3926</v>
      </c>
      <c r="N270">
        <v>5.75</v>
      </c>
      <c r="O270">
        <v>5.75</v>
      </c>
      <c r="P270" s="6">
        <v>42035.818124999998</v>
      </c>
      <c r="Q270" t="s">
        <v>3896</v>
      </c>
      <c r="S270" t="s">
        <v>2680</v>
      </c>
      <c r="T270">
        <v>2</v>
      </c>
      <c r="X270" t="b">
        <v>1</v>
      </c>
      <c r="Y270" s="6">
        <v>42037.431944444441</v>
      </c>
    </row>
    <row r="271" spans="1:25" x14ac:dyDescent="0.25">
      <c r="A271" t="s">
        <v>13148</v>
      </c>
      <c r="B271" t="s">
        <v>12098</v>
      </c>
      <c r="C271">
        <v>10.5</v>
      </c>
      <c r="D271" t="s">
        <v>3893</v>
      </c>
      <c r="E271" t="s">
        <v>3894</v>
      </c>
      <c r="F271" s="18">
        <v>41974</v>
      </c>
      <c r="G271" s="18">
        <v>41990</v>
      </c>
      <c r="H271" s="18" t="str">
        <f>IFERROR(INDEX('Docs Signed Input'!B:B,MATCH('Nate''s Evolution'!$B271,'Docs Signed Input'!E:E,0)),"N")</f>
        <v>Y</v>
      </c>
      <c r="I271" s="18" t="str">
        <f>IFERROR(INDEX('Docs Signed Input'!C:C,MATCH('Nate''s Evolution'!B271,'Docs Signed Input'!E:E,0)),"N")</f>
        <v>Y</v>
      </c>
      <c r="J271" s="18">
        <v>42011</v>
      </c>
      <c r="L271" t="s">
        <v>2258</v>
      </c>
      <c r="M271" t="s">
        <v>3902</v>
      </c>
      <c r="N271">
        <v>10.5</v>
      </c>
      <c r="O271">
        <v>11.75</v>
      </c>
      <c r="P271" s="6">
        <v>42035.818124999998</v>
      </c>
      <c r="Q271" t="s">
        <v>3896</v>
      </c>
      <c r="S271" t="s">
        <v>2727</v>
      </c>
      <c r="T271">
        <v>2</v>
      </c>
      <c r="X271" t="b">
        <v>1</v>
      </c>
      <c r="Y271" s="6">
        <v>42037.431944444441</v>
      </c>
    </row>
    <row r="272" spans="1:25" x14ac:dyDescent="0.25">
      <c r="A272" t="s">
        <v>12129</v>
      </c>
      <c r="B272" t="s">
        <v>12112</v>
      </c>
      <c r="C272">
        <v>7</v>
      </c>
      <c r="D272" t="s">
        <v>3893</v>
      </c>
      <c r="E272" t="s">
        <v>4117</v>
      </c>
      <c r="F272" s="18">
        <v>41974</v>
      </c>
      <c r="G272" s="18">
        <v>41990</v>
      </c>
      <c r="H272" s="18" t="str">
        <f>IFERROR(INDEX('Docs Signed Input'!B:B,MATCH('Nate''s Evolution'!$B272,'Docs Signed Input'!E:E,0)),"N")</f>
        <v>N</v>
      </c>
      <c r="I272" s="18" t="str">
        <f>IFERROR(INDEX('Docs Signed Input'!C:C,MATCH('Nate''s Evolution'!B272,'Docs Signed Input'!E:E,0)),"N")</f>
        <v>N</v>
      </c>
      <c r="L272" t="s">
        <v>2258</v>
      </c>
      <c r="M272" t="s">
        <v>4032</v>
      </c>
      <c r="N272">
        <v>7</v>
      </c>
      <c r="O272">
        <v>7</v>
      </c>
      <c r="P272" s="6">
        <v>42035.818124999998</v>
      </c>
      <c r="Q272" t="s">
        <v>3896</v>
      </c>
      <c r="R272" t="s">
        <v>11563</v>
      </c>
      <c r="S272" t="s">
        <v>2259</v>
      </c>
      <c r="T272">
        <v>2</v>
      </c>
      <c r="X272" t="b">
        <v>1</v>
      </c>
      <c r="Y272" s="6">
        <v>42037.431944444441</v>
      </c>
    </row>
    <row r="273" spans="1:25" x14ac:dyDescent="0.25">
      <c r="A273" t="s">
        <v>12092</v>
      </c>
      <c r="B273" t="s">
        <v>12091</v>
      </c>
      <c r="C273">
        <v>5</v>
      </c>
      <c r="D273" t="s">
        <v>3900</v>
      </c>
      <c r="E273" t="s">
        <v>3960</v>
      </c>
      <c r="F273" s="18">
        <v>41974</v>
      </c>
      <c r="G273" s="18">
        <v>41990</v>
      </c>
      <c r="H273" s="18" t="str">
        <f>IFERROR(INDEX('Docs Signed Input'!B:B,MATCH('Nate''s Evolution'!$B273,'Docs Signed Input'!E:E,0)),"N")</f>
        <v>N</v>
      </c>
      <c r="I273" s="18" t="str">
        <f>IFERROR(INDEX('Docs Signed Input'!C:C,MATCH('Nate''s Evolution'!B273,'Docs Signed Input'!E:E,0)),"N")</f>
        <v>Y</v>
      </c>
      <c r="J273" s="18">
        <v>42001</v>
      </c>
      <c r="K273" s="18">
        <v>42015</v>
      </c>
      <c r="L273" t="s">
        <v>2258</v>
      </c>
      <c r="M273" t="s">
        <v>3895</v>
      </c>
      <c r="N273">
        <v>5</v>
      </c>
      <c r="O273">
        <v>5.25</v>
      </c>
      <c r="P273" s="6">
        <v>42024.429375</v>
      </c>
      <c r="Q273" t="s">
        <v>3896</v>
      </c>
      <c r="R273" t="s">
        <v>3897</v>
      </c>
      <c r="S273" t="s">
        <v>2341</v>
      </c>
      <c r="T273">
        <v>13</v>
      </c>
      <c r="W273" t="b">
        <v>1</v>
      </c>
      <c r="Y273" s="6">
        <v>42037.431944444441</v>
      </c>
    </row>
    <row r="274" spans="1:25" x14ac:dyDescent="0.25">
      <c r="A274" t="s">
        <v>12375</v>
      </c>
      <c r="B274" t="s">
        <v>12097</v>
      </c>
      <c r="C274">
        <v>13.75</v>
      </c>
      <c r="D274" t="s">
        <v>3900</v>
      </c>
      <c r="E274" t="s">
        <v>3960</v>
      </c>
      <c r="F274" s="18">
        <v>41974</v>
      </c>
      <c r="G274" s="18">
        <v>41990</v>
      </c>
      <c r="H274" s="18" t="str">
        <f>IFERROR(INDEX('Docs Signed Input'!B:B,MATCH('Nate''s Evolution'!$B274,'Docs Signed Input'!E:E,0)),"N")</f>
        <v>Y</v>
      </c>
      <c r="I274" s="18" t="str">
        <f>IFERROR(INDEX('Docs Signed Input'!C:C,MATCH('Nate''s Evolution'!B274,'Docs Signed Input'!E:E,0)),"N")</f>
        <v>Y</v>
      </c>
      <c r="J274" s="18">
        <v>42003</v>
      </c>
      <c r="K274" s="18">
        <v>42015</v>
      </c>
      <c r="L274" t="s">
        <v>2258</v>
      </c>
      <c r="M274" t="s">
        <v>3895</v>
      </c>
      <c r="N274">
        <v>13.75</v>
      </c>
      <c r="O274">
        <v>14.25</v>
      </c>
      <c r="P274" s="6">
        <v>42031.960798611108</v>
      </c>
      <c r="Q274" t="s">
        <v>3896</v>
      </c>
      <c r="S274" t="s">
        <v>2813</v>
      </c>
      <c r="T274">
        <v>6</v>
      </c>
      <c r="W274" t="b">
        <v>1</v>
      </c>
      <c r="Y274" s="6">
        <v>42037.431944444441</v>
      </c>
    </row>
    <row r="275" spans="1:25" x14ac:dyDescent="0.25">
      <c r="A275" t="s">
        <v>12103</v>
      </c>
      <c r="B275" t="s">
        <v>12102</v>
      </c>
      <c r="C275">
        <v>14.5</v>
      </c>
      <c r="D275" t="s">
        <v>3893</v>
      </c>
      <c r="E275" t="s">
        <v>4117</v>
      </c>
      <c r="F275" s="18">
        <v>41974</v>
      </c>
      <c r="G275" s="18">
        <v>41990</v>
      </c>
      <c r="H275" s="18" t="str">
        <f>IFERROR(INDEX('Docs Signed Input'!B:B,MATCH('Nate''s Evolution'!$B275,'Docs Signed Input'!E:E,0)),"N")</f>
        <v>N</v>
      </c>
      <c r="I275" s="18" t="str">
        <f>IFERROR(INDEX('Docs Signed Input'!C:C,MATCH('Nate''s Evolution'!B275,'Docs Signed Input'!E:E,0)),"N")</f>
        <v>N</v>
      </c>
      <c r="L275" t="s">
        <v>2258</v>
      </c>
      <c r="M275" t="s">
        <v>3926</v>
      </c>
      <c r="N275">
        <v>14.5</v>
      </c>
      <c r="O275">
        <v>14.5</v>
      </c>
      <c r="P275" s="6">
        <v>42035.818124999998</v>
      </c>
      <c r="Q275" t="s">
        <v>3896</v>
      </c>
      <c r="R275" t="s">
        <v>3915</v>
      </c>
      <c r="S275" t="s">
        <v>2943</v>
      </c>
      <c r="T275">
        <v>2</v>
      </c>
      <c r="X275" t="b">
        <v>1</v>
      </c>
      <c r="Y275" s="6">
        <v>42037.431944444441</v>
      </c>
    </row>
    <row r="276" spans="1:25" x14ac:dyDescent="0.25">
      <c r="A276" t="s">
        <v>12136</v>
      </c>
      <c r="B276" t="s">
        <v>12108</v>
      </c>
      <c r="C276">
        <v>4</v>
      </c>
      <c r="D276" t="s">
        <v>3893</v>
      </c>
      <c r="E276" t="s">
        <v>3989</v>
      </c>
      <c r="F276" s="18">
        <v>41974</v>
      </c>
      <c r="G276" s="18">
        <v>41990</v>
      </c>
      <c r="H276" s="18" t="str">
        <f>IFERROR(INDEX('Docs Signed Input'!B:B,MATCH('Nate''s Evolution'!$B276,'Docs Signed Input'!E:E,0)),"N")</f>
        <v>N</v>
      </c>
      <c r="I276" s="18" t="str">
        <f>IFERROR(INDEX('Docs Signed Input'!C:C,MATCH('Nate''s Evolution'!B276,'Docs Signed Input'!E:E,0)),"N")</f>
        <v>N</v>
      </c>
      <c r="L276" t="s">
        <v>2258</v>
      </c>
      <c r="M276" t="s">
        <v>3933</v>
      </c>
      <c r="N276">
        <v>4</v>
      </c>
      <c r="O276">
        <v>4</v>
      </c>
      <c r="P276" s="6">
        <v>42035.818124999998</v>
      </c>
      <c r="Q276" t="s">
        <v>3896</v>
      </c>
      <c r="R276" t="s">
        <v>3897</v>
      </c>
      <c r="S276" t="s">
        <v>11503</v>
      </c>
      <c r="T276">
        <v>2</v>
      </c>
      <c r="X276" t="b">
        <v>1</v>
      </c>
      <c r="Y276" s="6">
        <v>42037.431944444441</v>
      </c>
    </row>
    <row r="277" spans="1:25" x14ac:dyDescent="0.25">
      <c r="A277" t="s">
        <v>12090</v>
      </c>
      <c r="B277" t="s">
        <v>12089</v>
      </c>
      <c r="C277">
        <v>13</v>
      </c>
      <c r="D277" t="s">
        <v>3900</v>
      </c>
      <c r="E277" t="s">
        <v>4277</v>
      </c>
      <c r="F277" s="18">
        <v>41974</v>
      </c>
      <c r="G277" s="18">
        <v>41990</v>
      </c>
      <c r="H277" s="18" t="str">
        <f>IFERROR(INDEX('Docs Signed Input'!B:B,MATCH('Nate''s Evolution'!$B277,'Docs Signed Input'!E:E,0)),"N")</f>
        <v>Y</v>
      </c>
      <c r="I277" s="18" t="str">
        <f>IFERROR(INDEX('Docs Signed Input'!C:C,MATCH('Nate''s Evolution'!B277,'Docs Signed Input'!E:E,0)),"N")</f>
        <v>Y</v>
      </c>
      <c r="J277" s="18">
        <v>42003</v>
      </c>
      <c r="K277" s="18">
        <v>42021</v>
      </c>
      <c r="L277" t="s">
        <v>2258</v>
      </c>
      <c r="M277" t="s">
        <v>3902</v>
      </c>
      <c r="N277">
        <v>13</v>
      </c>
      <c r="O277">
        <v>15.75</v>
      </c>
      <c r="P277" s="6">
        <v>42033.635891203703</v>
      </c>
      <c r="Q277" t="s">
        <v>3896</v>
      </c>
      <c r="S277" t="s">
        <v>2400</v>
      </c>
      <c r="T277">
        <v>4</v>
      </c>
      <c r="W277" t="b">
        <v>1</v>
      </c>
      <c r="Y277" s="6">
        <v>42037.431944444441</v>
      </c>
    </row>
    <row r="278" spans="1:25" x14ac:dyDescent="0.25">
      <c r="A278" t="s">
        <v>12107</v>
      </c>
      <c r="B278" t="s">
        <v>12106</v>
      </c>
      <c r="C278">
        <v>7.25</v>
      </c>
      <c r="D278" t="s">
        <v>3909</v>
      </c>
      <c r="E278" t="s">
        <v>3937</v>
      </c>
      <c r="F278" s="18">
        <v>41974</v>
      </c>
      <c r="G278" s="18">
        <v>41990</v>
      </c>
      <c r="H278" s="18" t="str">
        <f>IFERROR(INDEX('Docs Signed Input'!B:B,MATCH('Nate''s Evolution'!$B278,'Docs Signed Input'!E:E,0)),"N")</f>
        <v>N</v>
      </c>
      <c r="I278" s="18" t="str">
        <f>IFERROR(INDEX('Docs Signed Input'!C:C,MATCH('Nate''s Evolution'!B278,'Docs Signed Input'!E:E,0)),"N")</f>
        <v>N</v>
      </c>
      <c r="L278" t="s">
        <v>2258</v>
      </c>
      <c r="M278" t="s">
        <v>3933</v>
      </c>
      <c r="N278">
        <v>7.25</v>
      </c>
      <c r="O278">
        <v>7.25</v>
      </c>
      <c r="P278" s="6">
        <v>42026.595810185187</v>
      </c>
      <c r="Q278" t="s">
        <v>3896</v>
      </c>
      <c r="R278" t="s">
        <v>3897</v>
      </c>
      <c r="S278" t="s">
        <v>3370</v>
      </c>
      <c r="T278">
        <v>11</v>
      </c>
      <c r="V278" t="b">
        <v>1</v>
      </c>
      <c r="Y278" s="6">
        <v>42037.431944444441</v>
      </c>
    </row>
    <row r="279" spans="1:25" x14ac:dyDescent="0.25">
      <c r="A279" t="s">
        <v>12096</v>
      </c>
      <c r="B279" t="s">
        <v>12095</v>
      </c>
      <c r="C279">
        <v>6.75</v>
      </c>
      <c r="D279" t="s">
        <v>3922</v>
      </c>
      <c r="E279" t="s">
        <v>3923</v>
      </c>
      <c r="F279" s="18">
        <v>41974</v>
      </c>
      <c r="G279" s="18">
        <v>41990</v>
      </c>
      <c r="H279" s="18" t="str">
        <f>IFERROR(INDEX('Docs Signed Input'!B:B,MATCH('Nate''s Evolution'!$B279,'Docs Signed Input'!E:E,0)),"N")</f>
        <v>N</v>
      </c>
      <c r="I279" s="18" t="str">
        <f>IFERROR(INDEX('Docs Signed Input'!C:C,MATCH('Nate''s Evolution'!B279,'Docs Signed Input'!E:E,0)),"N")</f>
        <v>N</v>
      </c>
      <c r="L279" t="s">
        <v>2258</v>
      </c>
      <c r="M279" t="s">
        <v>3902</v>
      </c>
      <c r="N279">
        <v>6.75</v>
      </c>
      <c r="O279">
        <v>7</v>
      </c>
      <c r="P279" s="6">
        <v>42035.818124999998</v>
      </c>
      <c r="Q279" t="s">
        <v>3896</v>
      </c>
      <c r="R279" t="s">
        <v>12768</v>
      </c>
      <c r="S279" t="s">
        <v>11810</v>
      </c>
      <c r="T279">
        <v>2</v>
      </c>
      <c r="X279" t="b">
        <v>1</v>
      </c>
      <c r="Y279" s="6">
        <v>42037.431944444441</v>
      </c>
    </row>
    <row r="280" spans="1:25" x14ac:dyDescent="0.25">
      <c r="A280" t="s">
        <v>12151</v>
      </c>
      <c r="B280" t="s">
        <v>12152</v>
      </c>
      <c r="C280">
        <v>5.3550000000000004</v>
      </c>
      <c r="D280" t="s">
        <v>3893</v>
      </c>
      <c r="E280" t="s">
        <v>3989</v>
      </c>
      <c r="F280" s="18">
        <v>41974</v>
      </c>
      <c r="G280" s="18">
        <v>41990</v>
      </c>
      <c r="H280" s="18" t="str">
        <f>IFERROR(INDEX('Docs Signed Input'!B:B,MATCH('Nate''s Evolution'!$B280,'Docs Signed Input'!E:E,0)),"N")</f>
        <v>Y</v>
      </c>
      <c r="I280" s="18" t="str">
        <f>IFERROR(INDEX('Docs Signed Input'!C:C,MATCH('Nate''s Evolution'!B280,'Docs Signed Input'!E:E,0)),"N")</f>
        <v>Y</v>
      </c>
      <c r="J280" s="18">
        <v>41995</v>
      </c>
      <c r="L280" t="s">
        <v>2258</v>
      </c>
      <c r="M280" t="s">
        <v>3986</v>
      </c>
      <c r="N280">
        <v>3.57</v>
      </c>
      <c r="O280">
        <v>5.3550000000000004</v>
      </c>
      <c r="P280" s="6">
        <v>42030.703599537039</v>
      </c>
      <c r="Q280" t="s">
        <v>3896</v>
      </c>
      <c r="S280" t="s">
        <v>12121</v>
      </c>
      <c r="T280">
        <v>7</v>
      </c>
      <c r="X280" t="b">
        <v>1</v>
      </c>
      <c r="Y280" s="6">
        <v>42037.431944444441</v>
      </c>
    </row>
    <row r="281" spans="1:25" x14ac:dyDescent="0.25">
      <c r="A281" t="s">
        <v>12099</v>
      </c>
      <c r="B281" t="s">
        <v>12087</v>
      </c>
      <c r="C281">
        <v>8.5</v>
      </c>
      <c r="D281" t="s">
        <v>3893</v>
      </c>
      <c r="E281" t="s">
        <v>4117</v>
      </c>
      <c r="F281" s="18">
        <v>41974</v>
      </c>
      <c r="G281" s="18">
        <v>41990</v>
      </c>
      <c r="H281" s="18" t="str">
        <f>IFERROR(INDEX('Docs Signed Input'!B:B,MATCH('Nate''s Evolution'!$B281,'Docs Signed Input'!E:E,0)),"N")</f>
        <v>N</v>
      </c>
      <c r="I281" s="18" t="str">
        <f>IFERROR(INDEX('Docs Signed Input'!C:C,MATCH('Nate''s Evolution'!B281,'Docs Signed Input'!E:E,0)),"N")</f>
        <v>N</v>
      </c>
      <c r="L281" t="s">
        <v>2258</v>
      </c>
      <c r="M281" t="s">
        <v>3930</v>
      </c>
      <c r="N281">
        <v>8.5</v>
      </c>
      <c r="O281">
        <v>8.5</v>
      </c>
      <c r="P281" s="6">
        <v>42035.818124999998</v>
      </c>
      <c r="Q281" t="s">
        <v>3896</v>
      </c>
      <c r="R281" t="s">
        <v>3915</v>
      </c>
      <c r="S281" t="s">
        <v>2400</v>
      </c>
      <c r="T281">
        <v>2</v>
      </c>
      <c r="X281" t="b">
        <v>1</v>
      </c>
      <c r="Y281" s="6">
        <v>42037.431944444441</v>
      </c>
    </row>
    <row r="282" spans="1:25" x14ac:dyDescent="0.25">
      <c r="A282" t="s">
        <v>12094</v>
      </c>
      <c r="B282" t="s">
        <v>12093</v>
      </c>
      <c r="C282">
        <v>9</v>
      </c>
      <c r="D282" t="s">
        <v>3922</v>
      </c>
      <c r="E282" t="s">
        <v>3985</v>
      </c>
      <c r="F282" s="18">
        <v>41974</v>
      </c>
      <c r="G282" s="18">
        <v>41990</v>
      </c>
      <c r="H282" s="18" t="str">
        <f>IFERROR(INDEX('Docs Signed Input'!B:B,MATCH('Nate''s Evolution'!$B282,'Docs Signed Input'!E:E,0)),"N")</f>
        <v>Y</v>
      </c>
      <c r="I282" s="18" t="str">
        <f>IFERROR(INDEX('Docs Signed Input'!C:C,MATCH('Nate''s Evolution'!B282,'Docs Signed Input'!E:E,0)),"N")</f>
        <v>Y</v>
      </c>
      <c r="J282" s="18">
        <v>42011</v>
      </c>
      <c r="L282" t="s">
        <v>2258</v>
      </c>
      <c r="M282" t="s">
        <v>3902</v>
      </c>
      <c r="N282">
        <v>9</v>
      </c>
      <c r="O282">
        <v>9</v>
      </c>
      <c r="P282" s="6">
        <v>42017.745636574073</v>
      </c>
      <c r="Q282" t="s">
        <v>3896</v>
      </c>
      <c r="R282" t="s">
        <v>4222</v>
      </c>
      <c r="S282" t="s">
        <v>3360</v>
      </c>
      <c r="T282">
        <v>20</v>
      </c>
      <c r="X282" t="b">
        <v>1</v>
      </c>
      <c r="Y282" s="6">
        <v>42037.431944444441</v>
      </c>
    </row>
    <row r="283" spans="1:25" x14ac:dyDescent="0.25">
      <c r="A283" t="s">
        <v>12105</v>
      </c>
      <c r="B283" t="s">
        <v>12104</v>
      </c>
      <c r="C283">
        <v>5.25</v>
      </c>
      <c r="D283" t="s">
        <v>3922</v>
      </c>
      <c r="E283" t="s">
        <v>3985</v>
      </c>
      <c r="F283" s="18">
        <v>41974</v>
      </c>
      <c r="G283" s="18">
        <v>41990</v>
      </c>
      <c r="H283" s="18" t="str">
        <f>IFERROR(INDEX('Docs Signed Input'!B:B,MATCH('Nate''s Evolution'!$B283,'Docs Signed Input'!E:E,0)),"N")</f>
        <v>N</v>
      </c>
      <c r="I283" s="18" t="str">
        <f>IFERROR(INDEX('Docs Signed Input'!C:C,MATCH('Nate''s Evolution'!B283,'Docs Signed Input'!E:E,0)),"N")</f>
        <v>Y</v>
      </c>
      <c r="J283" s="18">
        <v>42031</v>
      </c>
      <c r="L283" t="s">
        <v>2258</v>
      </c>
      <c r="M283" t="s">
        <v>3930</v>
      </c>
      <c r="N283">
        <v>5.25</v>
      </c>
      <c r="O283">
        <v>5.25</v>
      </c>
      <c r="P283" s="6">
        <v>42032.529421296298</v>
      </c>
      <c r="Q283" t="s">
        <v>3896</v>
      </c>
      <c r="R283" t="s">
        <v>3918</v>
      </c>
      <c r="S283" t="s">
        <v>2618</v>
      </c>
      <c r="T283">
        <v>5</v>
      </c>
      <c r="X283" t="b">
        <v>1</v>
      </c>
      <c r="Y283" s="6">
        <v>42037.431944444441</v>
      </c>
    </row>
    <row r="284" spans="1:25" x14ac:dyDescent="0.25">
      <c r="A284" t="s">
        <v>12127</v>
      </c>
      <c r="B284" t="s">
        <v>12080</v>
      </c>
      <c r="C284">
        <v>8.4149999999999991</v>
      </c>
      <c r="D284" t="s">
        <v>3893</v>
      </c>
      <c r="E284" t="s">
        <v>3894</v>
      </c>
      <c r="F284" s="18">
        <v>41974</v>
      </c>
      <c r="G284" s="18">
        <v>41991</v>
      </c>
      <c r="H284" s="18" t="str">
        <f>IFERROR(INDEX('Docs Signed Input'!B:B,MATCH('Nate''s Evolution'!$B284,'Docs Signed Input'!E:E,0)),"N")</f>
        <v>N</v>
      </c>
      <c r="I284" s="18" t="str">
        <f>IFERROR(INDEX('Docs Signed Input'!C:C,MATCH('Nate''s Evolution'!B284,'Docs Signed Input'!E:E,0)),"N")</f>
        <v>Y</v>
      </c>
      <c r="J284" s="18">
        <v>42013</v>
      </c>
      <c r="L284" t="s">
        <v>2258</v>
      </c>
      <c r="M284" t="s">
        <v>3948</v>
      </c>
      <c r="N284">
        <v>6.63</v>
      </c>
      <c r="O284">
        <v>8.4149999999999991</v>
      </c>
      <c r="P284" s="6">
        <v>42035.818124999998</v>
      </c>
      <c r="Q284" t="s">
        <v>3896</v>
      </c>
      <c r="R284" t="s">
        <v>3897</v>
      </c>
      <c r="S284" t="s">
        <v>3485</v>
      </c>
      <c r="T284">
        <v>2</v>
      </c>
      <c r="X284" t="b">
        <v>1</v>
      </c>
      <c r="Y284" s="6">
        <v>42037.431944444441</v>
      </c>
    </row>
    <row r="285" spans="1:25" x14ac:dyDescent="0.25">
      <c r="A285" t="s">
        <v>12767</v>
      </c>
      <c r="B285" t="s">
        <v>12668</v>
      </c>
      <c r="C285">
        <v>9</v>
      </c>
      <c r="D285" t="s">
        <v>3893</v>
      </c>
      <c r="E285" t="s">
        <v>4117</v>
      </c>
      <c r="F285" s="18">
        <v>41974</v>
      </c>
      <c r="G285" s="18">
        <v>41991</v>
      </c>
      <c r="H285" s="18" t="str">
        <f>IFERROR(INDEX('Docs Signed Input'!B:B,MATCH('Nate''s Evolution'!$B285,'Docs Signed Input'!E:E,0)),"N")</f>
        <v>N</v>
      </c>
      <c r="I285" s="18" t="str">
        <f>IFERROR(INDEX('Docs Signed Input'!C:C,MATCH('Nate''s Evolution'!B285,'Docs Signed Input'!E:E,0)),"N")</f>
        <v>N</v>
      </c>
      <c r="L285" t="s">
        <v>2258</v>
      </c>
      <c r="M285" t="s">
        <v>3930</v>
      </c>
      <c r="N285">
        <v>9</v>
      </c>
      <c r="O285">
        <v>9</v>
      </c>
      <c r="P285" s="6">
        <v>42035.818124999998</v>
      </c>
      <c r="Q285" t="s">
        <v>3896</v>
      </c>
      <c r="R285" t="s">
        <v>3897</v>
      </c>
      <c r="S285" t="s">
        <v>2257</v>
      </c>
      <c r="T285">
        <v>2</v>
      </c>
      <c r="X285" t="b">
        <v>1</v>
      </c>
      <c r="Y285" s="6">
        <v>42037.431944444441</v>
      </c>
    </row>
    <row r="286" spans="1:25" x14ac:dyDescent="0.25">
      <c r="A286" t="s">
        <v>12079</v>
      </c>
      <c r="B286" t="s">
        <v>12078</v>
      </c>
      <c r="C286">
        <v>10</v>
      </c>
      <c r="D286" t="s">
        <v>3893</v>
      </c>
      <c r="E286" t="s">
        <v>4117</v>
      </c>
      <c r="F286" s="18">
        <v>41974</v>
      </c>
      <c r="G286" s="18">
        <v>41991</v>
      </c>
      <c r="H286" s="18" t="str">
        <f>IFERROR(INDEX('Docs Signed Input'!B:B,MATCH('Nate''s Evolution'!$B286,'Docs Signed Input'!E:E,0)),"N")</f>
        <v>N</v>
      </c>
      <c r="I286" s="18" t="str">
        <f>IFERROR(INDEX('Docs Signed Input'!C:C,MATCH('Nate''s Evolution'!B286,'Docs Signed Input'!E:E,0)),"N")</f>
        <v>N</v>
      </c>
      <c r="L286" t="s">
        <v>2258</v>
      </c>
      <c r="M286" t="s">
        <v>3895</v>
      </c>
      <c r="N286">
        <v>10</v>
      </c>
      <c r="O286">
        <v>10</v>
      </c>
      <c r="P286" s="6">
        <v>42035.818124999998</v>
      </c>
      <c r="Q286" t="s">
        <v>3896</v>
      </c>
      <c r="S286" t="s">
        <v>3545</v>
      </c>
      <c r="T286">
        <v>2</v>
      </c>
      <c r="X286" t="b">
        <v>1</v>
      </c>
      <c r="Y286" s="6">
        <v>42037.431944444441</v>
      </c>
    </row>
    <row r="287" spans="1:25" x14ac:dyDescent="0.25">
      <c r="A287" t="s">
        <v>12077</v>
      </c>
      <c r="B287" t="s">
        <v>12076</v>
      </c>
      <c r="C287">
        <v>5.75</v>
      </c>
      <c r="D287" t="s">
        <v>3900</v>
      </c>
      <c r="E287" t="s">
        <v>3960</v>
      </c>
      <c r="F287" s="18">
        <v>41974</v>
      </c>
      <c r="G287" s="18">
        <v>41991</v>
      </c>
      <c r="H287" s="18" t="str">
        <f>IFERROR(INDEX('Docs Signed Input'!B:B,MATCH('Nate''s Evolution'!$B287,'Docs Signed Input'!E:E,0)),"N")</f>
        <v>Y</v>
      </c>
      <c r="I287" s="18" t="str">
        <f>IFERROR(INDEX('Docs Signed Input'!C:C,MATCH('Nate''s Evolution'!B287,'Docs Signed Input'!E:E,0)),"N")</f>
        <v>Y</v>
      </c>
      <c r="J287" s="18">
        <v>42018</v>
      </c>
      <c r="K287" s="18">
        <v>42034</v>
      </c>
      <c r="L287" t="s">
        <v>2258</v>
      </c>
      <c r="M287" t="s">
        <v>3930</v>
      </c>
      <c r="N287">
        <v>5.75</v>
      </c>
      <c r="O287">
        <v>6</v>
      </c>
      <c r="P287" s="6">
        <v>42034.49627314815</v>
      </c>
      <c r="Q287" t="s">
        <v>3896</v>
      </c>
      <c r="S287" t="s">
        <v>2618</v>
      </c>
      <c r="T287">
        <v>3</v>
      </c>
      <c r="W287" t="b">
        <v>1</v>
      </c>
      <c r="Y287" s="6">
        <v>42037.431944444441</v>
      </c>
    </row>
    <row r="288" spans="1:25" x14ac:dyDescent="0.25">
      <c r="A288" t="s">
        <v>12134</v>
      </c>
      <c r="B288" t="s">
        <v>12135</v>
      </c>
      <c r="C288">
        <v>6.375</v>
      </c>
      <c r="D288" t="s">
        <v>3900</v>
      </c>
      <c r="E288" t="s">
        <v>3960</v>
      </c>
      <c r="F288" s="18">
        <v>41974</v>
      </c>
      <c r="G288" s="18">
        <v>41991</v>
      </c>
      <c r="H288" s="18" t="str">
        <f>IFERROR(INDEX('Docs Signed Input'!B:B,MATCH('Nate''s Evolution'!$B288,'Docs Signed Input'!E:E,0)),"N")</f>
        <v>Y</v>
      </c>
      <c r="I288" s="18" t="str">
        <f>IFERROR(INDEX('Docs Signed Input'!C:C,MATCH('Nate''s Evolution'!B288,'Docs Signed Input'!E:E,0)),"N")</f>
        <v>Y</v>
      </c>
      <c r="J288" s="18">
        <v>41997</v>
      </c>
      <c r="K288" s="18">
        <v>42012</v>
      </c>
      <c r="L288" t="s">
        <v>2258</v>
      </c>
      <c r="M288" t="s">
        <v>6056</v>
      </c>
      <c r="N288">
        <v>5.8650000000000002</v>
      </c>
      <c r="O288">
        <v>6.375</v>
      </c>
      <c r="P288" s="6">
        <v>42017.647893518515</v>
      </c>
      <c r="Q288" t="s">
        <v>3896</v>
      </c>
      <c r="R288" t="s">
        <v>11563</v>
      </c>
      <c r="S288" t="s">
        <v>2249</v>
      </c>
      <c r="T288">
        <v>20</v>
      </c>
      <c r="W288" t="b">
        <v>1</v>
      </c>
      <c r="Y288" s="6">
        <v>42037.431944444441</v>
      </c>
    </row>
    <row r="289" spans="1:25" x14ac:dyDescent="0.25">
      <c r="A289" t="s">
        <v>12084</v>
      </c>
      <c r="B289" t="s">
        <v>12083</v>
      </c>
      <c r="C289">
        <v>5.61</v>
      </c>
      <c r="D289" t="s">
        <v>3893</v>
      </c>
      <c r="E289" t="s">
        <v>3894</v>
      </c>
      <c r="F289" s="18">
        <v>41974</v>
      </c>
      <c r="G289" s="18">
        <v>41991</v>
      </c>
      <c r="H289" s="18" t="str">
        <f>IFERROR(INDEX('Docs Signed Input'!B:B,MATCH('Nate''s Evolution'!$B289,'Docs Signed Input'!E:E,0)),"N")</f>
        <v>N</v>
      </c>
      <c r="I289" s="18" t="str">
        <f>IFERROR(INDEX('Docs Signed Input'!C:C,MATCH('Nate''s Evolution'!B289,'Docs Signed Input'!E:E,0)),"N")</f>
        <v>N</v>
      </c>
      <c r="L289" t="s">
        <v>2258</v>
      </c>
      <c r="M289" t="s">
        <v>3933</v>
      </c>
      <c r="N289">
        <v>5.61</v>
      </c>
      <c r="O289">
        <v>6.75</v>
      </c>
      <c r="P289" s="6">
        <v>42035.818124999998</v>
      </c>
      <c r="Q289" t="s">
        <v>3896</v>
      </c>
      <c r="R289" t="s">
        <v>3897</v>
      </c>
      <c r="S289" t="s">
        <v>2259</v>
      </c>
      <c r="T289">
        <v>2</v>
      </c>
      <c r="X289" t="b">
        <v>1</v>
      </c>
      <c r="Y289" s="6">
        <v>42037.431944444441</v>
      </c>
    </row>
    <row r="290" spans="1:25" x14ac:dyDescent="0.25">
      <c r="A290" t="s">
        <v>12147</v>
      </c>
      <c r="B290" t="s">
        <v>12148</v>
      </c>
      <c r="C290">
        <v>13.78</v>
      </c>
      <c r="D290" t="s">
        <v>3922</v>
      </c>
      <c r="E290" t="s">
        <v>3985</v>
      </c>
      <c r="F290" s="18">
        <v>41974</v>
      </c>
      <c r="G290" s="18">
        <v>41991</v>
      </c>
      <c r="H290" s="18" t="str">
        <f>IFERROR(INDEX('Docs Signed Input'!B:B,MATCH('Nate''s Evolution'!$B290,'Docs Signed Input'!E:E,0)),"N")</f>
        <v>Y</v>
      </c>
      <c r="I290" s="18" t="str">
        <f>IFERROR(INDEX('Docs Signed Input'!C:C,MATCH('Nate''s Evolution'!B290,'Docs Signed Input'!E:E,0)),"N")</f>
        <v>Y</v>
      </c>
      <c r="J290" s="18">
        <v>41996</v>
      </c>
      <c r="L290" t="s">
        <v>12120</v>
      </c>
      <c r="M290" t="s">
        <v>4048</v>
      </c>
      <c r="N290">
        <v>13</v>
      </c>
      <c r="O290">
        <v>13.78</v>
      </c>
      <c r="P290" s="6">
        <v>42034.733425925922</v>
      </c>
      <c r="Q290" t="s">
        <v>3896</v>
      </c>
      <c r="T290">
        <v>3</v>
      </c>
      <c r="X290" t="b">
        <v>1</v>
      </c>
      <c r="Y290" s="6">
        <v>42037.431944444441</v>
      </c>
    </row>
    <row r="291" spans="1:25" x14ac:dyDescent="0.25">
      <c r="A291" t="s">
        <v>12155</v>
      </c>
      <c r="B291" t="s">
        <v>12081</v>
      </c>
      <c r="C291">
        <v>6.12</v>
      </c>
      <c r="D291" t="s">
        <v>3893</v>
      </c>
      <c r="E291" t="s">
        <v>3989</v>
      </c>
      <c r="F291" s="18">
        <v>41974</v>
      </c>
      <c r="G291" s="18">
        <v>41991</v>
      </c>
      <c r="H291" s="18" t="str">
        <f>IFERROR(INDEX('Docs Signed Input'!B:B,MATCH('Nate''s Evolution'!$B291,'Docs Signed Input'!E:E,0)),"N")</f>
        <v>N</v>
      </c>
      <c r="I291" s="18" t="str">
        <f>IFERROR(INDEX('Docs Signed Input'!C:C,MATCH('Nate''s Evolution'!B291,'Docs Signed Input'!E:E,0)),"N")</f>
        <v>N</v>
      </c>
      <c r="L291" t="s">
        <v>2258</v>
      </c>
      <c r="M291" t="s">
        <v>3948</v>
      </c>
      <c r="N291">
        <v>6.12</v>
      </c>
      <c r="O291">
        <v>6.12</v>
      </c>
      <c r="P291" s="6">
        <v>42035.818124999998</v>
      </c>
      <c r="Q291" t="s">
        <v>3896</v>
      </c>
      <c r="R291" t="s">
        <v>3897</v>
      </c>
      <c r="S291" t="s">
        <v>2703</v>
      </c>
      <c r="T291">
        <v>2</v>
      </c>
      <c r="X291" t="b">
        <v>1</v>
      </c>
      <c r="Y291" s="6">
        <v>42037.431944444441</v>
      </c>
    </row>
    <row r="292" spans="1:25" x14ac:dyDescent="0.25">
      <c r="A292" t="s">
        <v>12075</v>
      </c>
      <c r="B292" t="s">
        <v>12074</v>
      </c>
      <c r="C292">
        <v>11.25</v>
      </c>
      <c r="D292" t="s">
        <v>3900</v>
      </c>
      <c r="E292" t="s">
        <v>3960</v>
      </c>
      <c r="F292" s="18">
        <v>41974</v>
      </c>
      <c r="G292" s="18">
        <v>41991</v>
      </c>
      <c r="H292" s="18" t="str">
        <f>IFERROR(INDEX('Docs Signed Input'!B:B,MATCH('Nate''s Evolution'!$B292,'Docs Signed Input'!E:E,0)),"N")</f>
        <v>Y</v>
      </c>
      <c r="I292" s="18" t="str">
        <f>IFERROR(INDEX('Docs Signed Input'!C:C,MATCH('Nate''s Evolution'!B292,'Docs Signed Input'!E:E,0)),"N")</f>
        <v>Y</v>
      </c>
      <c r="J292" s="18">
        <v>42006</v>
      </c>
      <c r="K292" s="18">
        <v>42011</v>
      </c>
      <c r="L292" t="s">
        <v>2258</v>
      </c>
      <c r="M292" t="s">
        <v>3930</v>
      </c>
      <c r="N292">
        <v>11.25</v>
      </c>
      <c r="O292">
        <v>11.25</v>
      </c>
      <c r="P292" s="6">
        <v>42026.553263888891</v>
      </c>
      <c r="Q292" t="s">
        <v>3896</v>
      </c>
      <c r="S292" t="s">
        <v>2429</v>
      </c>
      <c r="T292">
        <v>11</v>
      </c>
      <c r="W292" t="b">
        <v>1</v>
      </c>
      <c r="Y292" s="6">
        <v>42037.431944444441</v>
      </c>
    </row>
    <row r="293" spans="1:25" x14ac:dyDescent="0.25">
      <c r="A293" t="s">
        <v>12169</v>
      </c>
      <c r="B293" t="s">
        <v>12170</v>
      </c>
      <c r="C293">
        <v>5.3550000000000004</v>
      </c>
      <c r="D293" t="s">
        <v>3922</v>
      </c>
      <c r="E293" t="s">
        <v>3923</v>
      </c>
      <c r="F293" s="18">
        <v>41974</v>
      </c>
      <c r="G293" s="18">
        <v>41991</v>
      </c>
      <c r="H293" s="18" t="str">
        <f>IFERROR(INDEX('Docs Signed Input'!B:B,MATCH('Nate''s Evolution'!$B293,'Docs Signed Input'!E:E,0)),"N")</f>
        <v>N</v>
      </c>
      <c r="I293" s="18" t="str">
        <f>IFERROR(INDEX('Docs Signed Input'!C:C,MATCH('Nate''s Evolution'!B293,'Docs Signed Input'!E:E,0)),"N")</f>
        <v>Y</v>
      </c>
      <c r="J293" s="18">
        <v>42003</v>
      </c>
      <c r="L293" t="s">
        <v>2258</v>
      </c>
      <c r="M293" t="s">
        <v>4317</v>
      </c>
      <c r="N293">
        <v>5.3550000000000004</v>
      </c>
      <c r="O293">
        <v>5.3550000000000004</v>
      </c>
      <c r="P293" s="6">
        <v>42035.818124999998</v>
      </c>
      <c r="Q293" t="s">
        <v>3896</v>
      </c>
      <c r="R293" t="s">
        <v>3918</v>
      </c>
      <c r="S293" t="s">
        <v>12122</v>
      </c>
      <c r="T293">
        <v>2</v>
      </c>
      <c r="X293" t="b">
        <v>1</v>
      </c>
      <c r="Y293" s="6">
        <v>42037.431944444441</v>
      </c>
    </row>
    <row r="294" spans="1:25" x14ac:dyDescent="0.25">
      <c r="A294" t="s">
        <v>12180</v>
      </c>
      <c r="B294" t="s">
        <v>12114</v>
      </c>
      <c r="C294">
        <v>10.199999999999999</v>
      </c>
      <c r="D294" t="s">
        <v>3893</v>
      </c>
      <c r="E294" t="s">
        <v>3894</v>
      </c>
      <c r="F294" s="18">
        <v>41974</v>
      </c>
      <c r="G294" s="18">
        <v>41991</v>
      </c>
      <c r="H294" s="18" t="str">
        <f>IFERROR(INDEX('Docs Signed Input'!B:B,MATCH('Nate''s Evolution'!$B294,'Docs Signed Input'!E:E,0)),"N")</f>
        <v>N</v>
      </c>
      <c r="I294" s="18" t="str">
        <f>IFERROR(INDEX('Docs Signed Input'!C:C,MATCH('Nate''s Evolution'!B294,'Docs Signed Input'!E:E,0)),"N")</f>
        <v>N</v>
      </c>
      <c r="L294" t="s">
        <v>2258</v>
      </c>
      <c r="M294" t="s">
        <v>4423</v>
      </c>
      <c r="N294">
        <v>10</v>
      </c>
      <c r="O294">
        <v>10.199999999999999</v>
      </c>
      <c r="P294" s="6">
        <v>42035.818124999998</v>
      </c>
      <c r="Q294" t="s">
        <v>3896</v>
      </c>
      <c r="R294" t="s">
        <v>3897</v>
      </c>
      <c r="S294" t="s">
        <v>2992</v>
      </c>
      <c r="T294">
        <v>2</v>
      </c>
      <c r="X294" t="b">
        <v>1</v>
      </c>
      <c r="Y294" s="6">
        <v>42037.431944444441</v>
      </c>
    </row>
    <row r="295" spans="1:25" x14ac:dyDescent="0.25">
      <c r="A295" t="s">
        <v>12124</v>
      </c>
      <c r="B295" t="s">
        <v>12125</v>
      </c>
      <c r="C295">
        <v>5.25</v>
      </c>
      <c r="D295" t="s">
        <v>3922</v>
      </c>
      <c r="E295" t="s">
        <v>3985</v>
      </c>
      <c r="F295" s="18">
        <v>41974</v>
      </c>
      <c r="G295" s="18">
        <v>41992</v>
      </c>
      <c r="H295" s="18" t="str">
        <f>IFERROR(INDEX('Docs Signed Input'!B:B,MATCH('Nate''s Evolution'!$B295,'Docs Signed Input'!E:E,0)),"N")</f>
        <v>N</v>
      </c>
      <c r="I295" s="18" t="str">
        <f>IFERROR(INDEX('Docs Signed Input'!C:C,MATCH('Nate''s Evolution'!B295,'Docs Signed Input'!E:E,0)),"N")</f>
        <v>Y</v>
      </c>
      <c r="J295" s="18">
        <v>42003</v>
      </c>
      <c r="L295" t="s">
        <v>2258</v>
      </c>
      <c r="M295" t="s">
        <v>3902</v>
      </c>
      <c r="N295">
        <v>5.25</v>
      </c>
      <c r="O295">
        <v>5.25</v>
      </c>
      <c r="P295" s="6">
        <v>42017.624050925922</v>
      </c>
      <c r="Q295" t="s">
        <v>3896</v>
      </c>
      <c r="R295" t="s">
        <v>3897</v>
      </c>
      <c r="S295" t="s">
        <v>11455</v>
      </c>
      <c r="T295">
        <v>20</v>
      </c>
      <c r="X295" t="b">
        <v>1</v>
      </c>
      <c r="Y295" s="6">
        <v>42037.431944444441</v>
      </c>
    </row>
    <row r="296" spans="1:25" x14ac:dyDescent="0.25">
      <c r="A296" t="s">
        <v>12128</v>
      </c>
      <c r="B296" t="s">
        <v>12072</v>
      </c>
      <c r="C296">
        <v>9.9450000000000003</v>
      </c>
      <c r="D296" t="s">
        <v>3909</v>
      </c>
      <c r="E296" t="s">
        <v>3937</v>
      </c>
      <c r="F296" s="18">
        <v>41974</v>
      </c>
      <c r="G296" s="18">
        <v>41992</v>
      </c>
      <c r="H296" s="18" t="str">
        <f>IFERROR(INDEX('Docs Signed Input'!B:B,MATCH('Nate''s Evolution'!$B296,'Docs Signed Input'!E:E,0)),"N")</f>
        <v>N</v>
      </c>
      <c r="I296" s="18" t="str">
        <f>IFERROR(INDEX('Docs Signed Input'!C:C,MATCH('Nate''s Evolution'!B296,'Docs Signed Input'!E:E,0)),"N")</f>
        <v>N</v>
      </c>
      <c r="L296" t="s">
        <v>2258</v>
      </c>
      <c r="M296" t="s">
        <v>3948</v>
      </c>
      <c r="N296">
        <v>9.9450000000000003</v>
      </c>
      <c r="O296">
        <v>9.9450000000000003</v>
      </c>
      <c r="P296" s="6">
        <v>42009.474756944444</v>
      </c>
      <c r="Q296" t="s">
        <v>3896</v>
      </c>
      <c r="R296" t="s">
        <v>3911</v>
      </c>
      <c r="S296" t="s">
        <v>3485</v>
      </c>
      <c r="T296">
        <v>28</v>
      </c>
      <c r="V296" t="b">
        <v>1</v>
      </c>
      <c r="Y296" s="6">
        <v>42037.431944444441</v>
      </c>
    </row>
    <row r="297" spans="1:25" x14ac:dyDescent="0.25">
      <c r="A297" t="s">
        <v>12071</v>
      </c>
      <c r="B297" t="s">
        <v>12070</v>
      </c>
      <c r="C297">
        <v>4.5</v>
      </c>
      <c r="D297" t="s">
        <v>3922</v>
      </c>
      <c r="E297" t="s">
        <v>3985</v>
      </c>
      <c r="F297" s="18">
        <v>41974</v>
      </c>
      <c r="G297" s="18">
        <v>41992</v>
      </c>
      <c r="H297" s="18" t="str">
        <f>IFERROR(INDEX('Docs Signed Input'!B:B,MATCH('Nate''s Evolution'!$B297,'Docs Signed Input'!E:E,0)),"N")</f>
        <v>Y</v>
      </c>
      <c r="I297" s="18" t="str">
        <f>IFERROR(INDEX('Docs Signed Input'!C:C,MATCH('Nate''s Evolution'!B297,'Docs Signed Input'!E:E,0)),"N")</f>
        <v>Y</v>
      </c>
      <c r="J297" s="18">
        <v>42004</v>
      </c>
      <c r="L297" t="s">
        <v>2258</v>
      </c>
      <c r="M297" t="s">
        <v>3930</v>
      </c>
      <c r="N297">
        <v>3.75</v>
      </c>
      <c r="O297">
        <v>5</v>
      </c>
      <c r="P297" s="6">
        <v>42030.630787037036</v>
      </c>
      <c r="Q297" t="s">
        <v>3896</v>
      </c>
      <c r="S297" t="s">
        <v>11455</v>
      </c>
      <c r="T297">
        <v>7</v>
      </c>
      <c r="X297" t="b">
        <v>1</v>
      </c>
      <c r="Y297" s="6">
        <v>42037.431944444441</v>
      </c>
    </row>
    <row r="298" spans="1:25" x14ac:dyDescent="0.25">
      <c r="A298" t="s">
        <v>12132</v>
      </c>
      <c r="B298" t="s">
        <v>12133</v>
      </c>
      <c r="C298">
        <v>4.08</v>
      </c>
      <c r="D298" t="s">
        <v>3922</v>
      </c>
      <c r="E298" t="s">
        <v>4277</v>
      </c>
      <c r="F298" s="18">
        <v>41974</v>
      </c>
      <c r="G298" s="18">
        <v>41992</v>
      </c>
      <c r="H298" s="18" t="str">
        <f>IFERROR(INDEX('Docs Signed Input'!B:B,MATCH('Nate''s Evolution'!$B298,'Docs Signed Input'!E:E,0)),"N")</f>
        <v>N</v>
      </c>
      <c r="I298" s="18" t="str">
        <f>IFERROR(INDEX('Docs Signed Input'!C:C,MATCH('Nate''s Evolution'!B298,'Docs Signed Input'!E:E,0)),"N")</f>
        <v>Y</v>
      </c>
      <c r="J298" s="18">
        <v>42002</v>
      </c>
      <c r="L298" t="s">
        <v>2258</v>
      </c>
      <c r="M298" t="s">
        <v>4027</v>
      </c>
      <c r="N298">
        <v>3.8250000000000002</v>
      </c>
      <c r="O298">
        <v>4.08</v>
      </c>
      <c r="P298" s="6">
        <v>42011.817465277774</v>
      </c>
      <c r="Q298" t="s">
        <v>3896</v>
      </c>
      <c r="R298" t="s">
        <v>3897</v>
      </c>
      <c r="S298" t="s">
        <v>3644</v>
      </c>
      <c r="T298">
        <v>26</v>
      </c>
      <c r="X298" t="b">
        <v>1</v>
      </c>
      <c r="Y298" s="6">
        <v>42037.431944444441</v>
      </c>
    </row>
    <row r="299" spans="1:25" x14ac:dyDescent="0.25">
      <c r="A299" t="s">
        <v>12137</v>
      </c>
      <c r="B299" t="s">
        <v>12138</v>
      </c>
      <c r="C299">
        <v>11.25</v>
      </c>
      <c r="D299" t="s">
        <v>3893</v>
      </c>
      <c r="E299" t="s">
        <v>3894</v>
      </c>
      <c r="F299" s="18">
        <v>41974</v>
      </c>
      <c r="G299" s="18">
        <v>41992</v>
      </c>
      <c r="H299" s="18" t="str">
        <f>IFERROR(INDEX('Docs Signed Input'!B:B,MATCH('Nate''s Evolution'!$B299,'Docs Signed Input'!E:E,0)),"N")</f>
        <v>N</v>
      </c>
      <c r="I299" s="18" t="str">
        <f>IFERROR(INDEX('Docs Signed Input'!C:C,MATCH('Nate''s Evolution'!B299,'Docs Signed Input'!E:E,0)),"N")</f>
        <v>N</v>
      </c>
      <c r="L299" t="s">
        <v>2258</v>
      </c>
      <c r="M299" t="s">
        <v>3930</v>
      </c>
      <c r="N299">
        <v>11.25</v>
      </c>
      <c r="O299">
        <v>12</v>
      </c>
      <c r="P299" s="6">
        <v>42035.818124999998</v>
      </c>
      <c r="Q299" t="s">
        <v>3896</v>
      </c>
      <c r="R299" t="s">
        <v>3897</v>
      </c>
      <c r="S299" t="s">
        <v>12119</v>
      </c>
      <c r="T299">
        <v>2</v>
      </c>
      <c r="X299" t="b">
        <v>1</v>
      </c>
      <c r="Y299" s="6">
        <v>42037.431944444441</v>
      </c>
    </row>
    <row r="300" spans="1:25" x14ac:dyDescent="0.25">
      <c r="A300" t="s">
        <v>12139</v>
      </c>
      <c r="B300" t="s">
        <v>12140</v>
      </c>
      <c r="C300">
        <v>3.57</v>
      </c>
      <c r="D300" t="s">
        <v>3922</v>
      </c>
      <c r="E300" t="s">
        <v>3985</v>
      </c>
      <c r="F300" s="18">
        <v>41974</v>
      </c>
      <c r="G300" s="18">
        <v>41992</v>
      </c>
      <c r="H300" s="18" t="str">
        <f>IFERROR(INDEX('Docs Signed Input'!B:B,MATCH('Nate''s Evolution'!$B300,'Docs Signed Input'!E:E,0)),"N")</f>
        <v>N</v>
      </c>
      <c r="I300" s="18" t="str">
        <f>IFERROR(INDEX('Docs Signed Input'!C:C,MATCH('Nate''s Evolution'!B300,'Docs Signed Input'!E:E,0)),"N")</f>
        <v>Y</v>
      </c>
      <c r="J300" s="18">
        <v>41996</v>
      </c>
      <c r="L300" t="s">
        <v>2258</v>
      </c>
      <c r="M300" t="s">
        <v>4027</v>
      </c>
      <c r="N300">
        <v>3.57</v>
      </c>
      <c r="O300">
        <v>3.57</v>
      </c>
      <c r="P300" s="6">
        <v>42032.649699074071</v>
      </c>
      <c r="Q300" t="s">
        <v>3896</v>
      </c>
      <c r="R300" t="s">
        <v>3918</v>
      </c>
      <c r="S300" t="s">
        <v>3298</v>
      </c>
      <c r="T300">
        <v>5</v>
      </c>
      <c r="X300" t="b">
        <v>1</v>
      </c>
      <c r="Y300" s="6">
        <v>42037.431944444441</v>
      </c>
    </row>
    <row r="301" spans="1:25" x14ac:dyDescent="0.25">
      <c r="A301" t="s">
        <v>12145</v>
      </c>
      <c r="B301" t="s">
        <v>12146</v>
      </c>
      <c r="C301">
        <v>3.8250000000000002</v>
      </c>
      <c r="D301" t="s">
        <v>3893</v>
      </c>
      <c r="E301" t="s">
        <v>3989</v>
      </c>
      <c r="F301" s="18">
        <v>41974</v>
      </c>
      <c r="G301" s="18">
        <v>41992</v>
      </c>
      <c r="H301" s="18" t="str">
        <f>IFERROR(INDEX('Docs Signed Input'!B:B,MATCH('Nate''s Evolution'!$B301,'Docs Signed Input'!E:E,0)),"N")</f>
        <v>N</v>
      </c>
      <c r="I301" s="18" t="str">
        <f>IFERROR(INDEX('Docs Signed Input'!C:C,MATCH('Nate''s Evolution'!B301,'Docs Signed Input'!E:E,0)),"N")</f>
        <v>N</v>
      </c>
      <c r="L301" t="s">
        <v>2258</v>
      </c>
      <c r="M301" t="s">
        <v>3932</v>
      </c>
      <c r="N301">
        <v>3.8250000000000002</v>
      </c>
      <c r="O301">
        <v>4.08</v>
      </c>
      <c r="P301" s="6">
        <v>42035.818124999998</v>
      </c>
      <c r="Q301" t="s">
        <v>3896</v>
      </c>
      <c r="R301" t="s">
        <v>3897</v>
      </c>
      <c r="S301" t="s">
        <v>3589</v>
      </c>
      <c r="T301">
        <v>2</v>
      </c>
      <c r="X301" t="b">
        <v>1</v>
      </c>
      <c r="Y301" s="6">
        <v>42037.431944444441</v>
      </c>
    </row>
    <row r="302" spans="1:25" x14ac:dyDescent="0.25">
      <c r="A302" t="s">
        <v>12318</v>
      </c>
      <c r="B302" t="s">
        <v>12160</v>
      </c>
      <c r="C302">
        <v>7.25</v>
      </c>
      <c r="D302" t="s">
        <v>3922</v>
      </c>
      <c r="E302" t="s">
        <v>3951</v>
      </c>
      <c r="F302" s="18">
        <v>41974</v>
      </c>
      <c r="G302" s="18">
        <v>41992</v>
      </c>
      <c r="H302" s="18" t="str">
        <f>IFERROR(INDEX('Docs Signed Input'!B:B,MATCH('Nate''s Evolution'!$B302,'Docs Signed Input'!E:E,0)),"N")</f>
        <v>N</v>
      </c>
      <c r="I302" s="18" t="str">
        <f>IFERROR(INDEX('Docs Signed Input'!C:C,MATCH('Nate''s Evolution'!B302,'Docs Signed Input'!E:E,0)),"N")</f>
        <v>Y</v>
      </c>
      <c r="J302" s="18">
        <v>42003</v>
      </c>
      <c r="K302" s="18">
        <v>42197</v>
      </c>
      <c r="L302" t="s">
        <v>2258</v>
      </c>
      <c r="M302" t="s">
        <v>3930</v>
      </c>
      <c r="N302">
        <v>7.25</v>
      </c>
      <c r="O302">
        <v>7.25</v>
      </c>
      <c r="P302" s="6">
        <v>42016.440243055556</v>
      </c>
      <c r="Q302" t="s">
        <v>3896</v>
      </c>
      <c r="R302" t="s">
        <v>3897</v>
      </c>
      <c r="S302" t="s">
        <v>3172</v>
      </c>
      <c r="T302">
        <v>21</v>
      </c>
      <c r="X302" t="b">
        <v>1</v>
      </c>
      <c r="Y302" s="6">
        <v>42037.431944444441</v>
      </c>
    </row>
    <row r="303" spans="1:25" x14ac:dyDescent="0.25">
      <c r="A303" t="s">
        <v>12161</v>
      </c>
      <c r="B303" t="s">
        <v>12162</v>
      </c>
      <c r="C303">
        <v>9.5</v>
      </c>
      <c r="D303" t="s">
        <v>3893</v>
      </c>
      <c r="E303" t="s">
        <v>3894</v>
      </c>
      <c r="F303" s="18">
        <v>41974</v>
      </c>
      <c r="G303" s="18">
        <v>41992</v>
      </c>
      <c r="H303" s="18" t="str">
        <f>IFERROR(INDEX('Docs Signed Input'!B:B,MATCH('Nate''s Evolution'!$B303,'Docs Signed Input'!E:E,0)),"N")</f>
        <v>N</v>
      </c>
      <c r="I303" s="18" t="str">
        <f>IFERROR(INDEX('Docs Signed Input'!C:C,MATCH('Nate''s Evolution'!B303,'Docs Signed Input'!E:E,0)),"N")</f>
        <v>N</v>
      </c>
      <c r="L303" t="s">
        <v>2258</v>
      </c>
      <c r="M303" t="s">
        <v>3930</v>
      </c>
      <c r="N303">
        <v>9.25</v>
      </c>
      <c r="O303">
        <v>9.5</v>
      </c>
      <c r="P303" s="6">
        <v>42035.818124999998</v>
      </c>
      <c r="Q303" t="s">
        <v>3896</v>
      </c>
      <c r="R303" t="s">
        <v>3897</v>
      </c>
      <c r="S303" t="s">
        <v>2241</v>
      </c>
      <c r="T303">
        <v>2</v>
      </c>
      <c r="X303" t="b">
        <v>1</v>
      </c>
      <c r="Y303" s="6">
        <v>42037.431944444441</v>
      </c>
    </row>
    <row r="304" spans="1:25" x14ac:dyDescent="0.25">
      <c r="A304" t="s">
        <v>12163</v>
      </c>
      <c r="B304" t="s">
        <v>12164</v>
      </c>
      <c r="C304">
        <v>2.8050000000000002</v>
      </c>
      <c r="D304" t="s">
        <v>3893</v>
      </c>
      <c r="E304" t="s">
        <v>3894</v>
      </c>
      <c r="F304" s="18">
        <v>41974</v>
      </c>
      <c r="G304" s="18">
        <v>41992</v>
      </c>
      <c r="H304" s="18" t="str">
        <f>IFERROR(INDEX('Docs Signed Input'!B:B,MATCH('Nate''s Evolution'!$B304,'Docs Signed Input'!E:E,0)),"N")</f>
        <v>N</v>
      </c>
      <c r="I304" s="18" t="str">
        <f>IFERROR(INDEX('Docs Signed Input'!C:C,MATCH('Nate''s Evolution'!B304,'Docs Signed Input'!E:E,0)),"N")</f>
        <v>Y</v>
      </c>
      <c r="J304" s="18">
        <v>42016</v>
      </c>
      <c r="L304" t="s">
        <v>2258</v>
      </c>
      <c r="M304" t="s">
        <v>3932</v>
      </c>
      <c r="N304">
        <v>2.8050000000000002</v>
      </c>
      <c r="O304">
        <v>4.08</v>
      </c>
      <c r="P304" s="6">
        <v>42035.818124999998</v>
      </c>
      <c r="Q304" t="s">
        <v>3896</v>
      </c>
      <c r="R304" t="s">
        <v>3918</v>
      </c>
      <c r="S304" t="s">
        <v>3589</v>
      </c>
      <c r="T304">
        <v>2</v>
      </c>
      <c r="X304" t="b">
        <v>1</v>
      </c>
      <c r="Y304" s="6">
        <v>42037.431944444441</v>
      </c>
    </row>
    <row r="305" spans="1:25" x14ac:dyDescent="0.25">
      <c r="A305" t="s">
        <v>12165</v>
      </c>
      <c r="B305" t="s">
        <v>12166</v>
      </c>
      <c r="C305">
        <v>7.14</v>
      </c>
      <c r="D305" t="s">
        <v>2230</v>
      </c>
      <c r="E305" t="s">
        <v>3984</v>
      </c>
      <c r="F305" s="18">
        <v>41974</v>
      </c>
      <c r="G305" s="18">
        <v>41992</v>
      </c>
      <c r="H305" s="18" t="str">
        <f>IFERROR(INDEX('Docs Signed Input'!B:B,MATCH('Nate''s Evolution'!$B305,'Docs Signed Input'!E:E,0)),"N")</f>
        <v>N</v>
      </c>
      <c r="I305" s="18" t="str">
        <f>IFERROR(INDEX('Docs Signed Input'!C:C,MATCH('Nate''s Evolution'!B305,'Docs Signed Input'!E:E,0)),"N")</f>
        <v>N</v>
      </c>
      <c r="L305" t="s">
        <v>2258</v>
      </c>
      <c r="M305" t="s">
        <v>4317</v>
      </c>
      <c r="N305">
        <v>7.14</v>
      </c>
      <c r="O305">
        <v>7.14</v>
      </c>
      <c r="P305" s="6">
        <v>42017.353692129633</v>
      </c>
      <c r="Q305" t="s">
        <v>3896</v>
      </c>
      <c r="R305" t="s">
        <v>3918</v>
      </c>
      <c r="S305" t="s">
        <v>3469</v>
      </c>
      <c r="T305">
        <v>20</v>
      </c>
      <c r="U305" t="b">
        <v>1</v>
      </c>
      <c r="Y305" s="6">
        <v>42037.431944444441</v>
      </c>
    </row>
    <row r="306" spans="1:25" x14ac:dyDescent="0.25">
      <c r="A306" t="s">
        <v>12167</v>
      </c>
      <c r="B306" t="s">
        <v>12168</v>
      </c>
      <c r="C306">
        <v>4.335</v>
      </c>
      <c r="D306" t="s">
        <v>3893</v>
      </c>
      <c r="E306" t="s">
        <v>3916</v>
      </c>
      <c r="F306" s="18">
        <v>41974</v>
      </c>
      <c r="G306" s="18">
        <v>41992</v>
      </c>
      <c r="H306" s="18" t="str">
        <f>IFERROR(INDEX('Docs Signed Input'!B:B,MATCH('Nate''s Evolution'!$B306,'Docs Signed Input'!E:E,0)),"N")</f>
        <v>N</v>
      </c>
      <c r="I306" s="18" t="str">
        <f>IFERROR(INDEX('Docs Signed Input'!C:C,MATCH('Nate''s Evolution'!B306,'Docs Signed Input'!E:E,0)),"N")</f>
        <v>N</v>
      </c>
      <c r="L306" t="s">
        <v>2258</v>
      </c>
      <c r="M306" t="s">
        <v>4423</v>
      </c>
      <c r="N306">
        <v>4.08</v>
      </c>
      <c r="O306">
        <v>5.75</v>
      </c>
      <c r="P306" s="6">
        <v>42035.818124999998</v>
      </c>
      <c r="Q306" t="s">
        <v>3896</v>
      </c>
      <c r="R306" t="s">
        <v>11563</v>
      </c>
      <c r="S306" t="s">
        <v>2992</v>
      </c>
      <c r="T306">
        <v>2</v>
      </c>
      <c r="X306" t="b">
        <v>1</v>
      </c>
      <c r="Y306" s="6">
        <v>42037.431944444441</v>
      </c>
    </row>
    <row r="307" spans="1:25" x14ac:dyDescent="0.25">
      <c r="A307" t="s">
        <v>12171</v>
      </c>
      <c r="B307" t="s">
        <v>12085</v>
      </c>
      <c r="C307">
        <v>9.18</v>
      </c>
      <c r="D307" t="s">
        <v>3893</v>
      </c>
      <c r="E307" t="s">
        <v>3894</v>
      </c>
      <c r="F307" s="18">
        <v>41974</v>
      </c>
      <c r="G307" s="18">
        <v>41992</v>
      </c>
      <c r="H307" s="18" t="str">
        <f>IFERROR(INDEX('Docs Signed Input'!B:B,MATCH('Nate''s Evolution'!$B307,'Docs Signed Input'!E:E,0)),"N")</f>
        <v>Y</v>
      </c>
      <c r="I307" s="18" t="str">
        <f>IFERROR(INDEX('Docs Signed Input'!C:C,MATCH('Nate''s Evolution'!B307,'Docs Signed Input'!E:E,0)),"N")</f>
        <v>N</v>
      </c>
      <c r="L307" t="s">
        <v>2258</v>
      </c>
      <c r="M307" t="s">
        <v>4423</v>
      </c>
      <c r="N307">
        <v>9.18</v>
      </c>
      <c r="O307">
        <v>16.5</v>
      </c>
      <c r="P307" s="6">
        <v>42035.818124999998</v>
      </c>
      <c r="Q307" t="s">
        <v>3896</v>
      </c>
      <c r="S307" t="s">
        <v>2992</v>
      </c>
      <c r="T307">
        <v>2</v>
      </c>
      <c r="X307" t="b">
        <v>1</v>
      </c>
      <c r="Y307" s="6">
        <v>42037.431944444441</v>
      </c>
    </row>
    <row r="308" spans="1:25" x14ac:dyDescent="0.25">
      <c r="A308" t="s">
        <v>12172</v>
      </c>
      <c r="B308" t="s">
        <v>12173</v>
      </c>
      <c r="C308">
        <v>2.5499999999999998</v>
      </c>
      <c r="D308" t="s">
        <v>3893</v>
      </c>
      <c r="E308" t="s">
        <v>3916</v>
      </c>
      <c r="F308" s="18">
        <v>41974</v>
      </c>
      <c r="G308" s="18">
        <v>41992</v>
      </c>
      <c r="H308" s="18" t="str">
        <f>IFERROR(INDEX('Docs Signed Input'!B:B,MATCH('Nate''s Evolution'!$B308,'Docs Signed Input'!E:E,0)),"N")</f>
        <v>N</v>
      </c>
      <c r="I308" s="18" t="str">
        <f>IFERROR(INDEX('Docs Signed Input'!C:C,MATCH('Nate''s Evolution'!B308,'Docs Signed Input'!E:E,0)),"N")</f>
        <v>N</v>
      </c>
      <c r="L308" t="s">
        <v>2258</v>
      </c>
      <c r="M308" t="s">
        <v>3933</v>
      </c>
      <c r="N308">
        <v>2.5499999999999998</v>
      </c>
      <c r="O308">
        <v>6.5</v>
      </c>
      <c r="P308" s="6">
        <v>42035.818124999998</v>
      </c>
      <c r="Q308" t="s">
        <v>3896</v>
      </c>
      <c r="R308" t="s">
        <v>11563</v>
      </c>
      <c r="S308" t="s">
        <v>11497</v>
      </c>
      <c r="T308">
        <v>2</v>
      </c>
      <c r="X308" t="b">
        <v>1</v>
      </c>
      <c r="Y308" s="6">
        <v>42037.431944444441</v>
      </c>
    </row>
    <row r="309" spans="1:25" x14ac:dyDescent="0.25">
      <c r="A309" t="s">
        <v>12130</v>
      </c>
      <c r="B309" t="s">
        <v>12131</v>
      </c>
      <c r="C309">
        <v>4.59</v>
      </c>
      <c r="D309" t="s">
        <v>3922</v>
      </c>
      <c r="E309" t="s">
        <v>3923</v>
      </c>
      <c r="F309" s="18">
        <v>41974</v>
      </c>
      <c r="G309" s="18">
        <v>41993</v>
      </c>
      <c r="H309" s="18" t="str">
        <f>IFERROR(INDEX('Docs Signed Input'!B:B,MATCH('Nate''s Evolution'!$B309,'Docs Signed Input'!E:E,0)),"N")</f>
        <v>N</v>
      </c>
      <c r="I309" s="18" t="str">
        <f>IFERROR(INDEX('Docs Signed Input'!C:C,MATCH('Nate''s Evolution'!B309,'Docs Signed Input'!E:E,0)),"N")</f>
        <v>Y</v>
      </c>
      <c r="J309" s="18">
        <v>42003</v>
      </c>
      <c r="L309" t="s">
        <v>2258</v>
      </c>
      <c r="M309" t="s">
        <v>4020</v>
      </c>
      <c r="N309">
        <v>4.335</v>
      </c>
      <c r="O309">
        <v>4.59</v>
      </c>
      <c r="P309" s="6">
        <v>42035.818124999998</v>
      </c>
      <c r="Q309" t="s">
        <v>3896</v>
      </c>
      <c r="R309" t="s">
        <v>11563</v>
      </c>
      <c r="S309" t="s">
        <v>3556</v>
      </c>
      <c r="T309">
        <v>2</v>
      </c>
      <c r="X309" t="b">
        <v>1</v>
      </c>
      <c r="Y309" s="6">
        <v>42037.431944444441</v>
      </c>
    </row>
    <row r="310" spans="1:25" x14ac:dyDescent="0.25">
      <c r="A310" t="s">
        <v>12309</v>
      </c>
      <c r="B310" t="s">
        <v>12141</v>
      </c>
      <c r="C310">
        <v>2.5499999999999998</v>
      </c>
      <c r="D310" t="s">
        <v>2230</v>
      </c>
      <c r="E310" t="s">
        <v>3984</v>
      </c>
      <c r="F310" s="18">
        <v>41974</v>
      </c>
      <c r="G310" s="18">
        <v>41993</v>
      </c>
      <c r="H310" s="18" t="str">
        <f>IFERROR(INDEX('Docs Signed Input'!B:B,MATCH('Nate''s Evolution'!$B310,'Docs Signed Input'!E:E,0)),"N")</f>
        <v>N</v>
      </c>
      <c r="I310" s="18" t="str">
        <f>IFERROR(INDEX('Docs Signed Input'!C:C,MATCH('Nate''s Evolution'!B310,'Docs Signed Input'!E:E,0)),"N")</f>
        <v>N</v>
      </c>
      <c r="L310" t="s">
        <v>2258</v>
      </c>
      <c r="M310" t="s">
        <v>3948</v>
      </c>
      <c r="N310">
        <v>2.5499999999999998</v>
      </c>
      <c r="O310">
        <v>2.8050000000000002</v>
      </c>
      <c r="P310" s="6">
        <v>42031.656076388892</v>
      </c>
      <c r="Q310" t="s">
        <v>3896</v>
      </c>
      <c r="R310" t="s">
        <v>11563</v>
      </c>
      <c r="S310" t="s">
        <v>11511</v>
      </c>
      <c r="T310">
        <v>6</v>
      </c>
      <c r="U310" t="b">
        <v>1</v>
      </c>
      <c r="Y310" s="6">
        <v>42037.431944444441</v>
      </c>
    </row>
    <row r="311" spans="1:25" x14ac:dyDescent="0.25">
      <c r="A311" t="s">
        <v>12309</v>
      </c>
      <c r="B311" t="s">
        <v>12142</v>
      </c>
      <c r="C311">
        <v>10.455</v>
      </c>
      <c r="D311" t="s">
        <v>3893</v>
      </c>
      <c r="E311" t="s">
        <v>3894</v>
      </c>
      <c r="F311" s="18">
        <v>41974</v>
      </c>
      <c r="G311" s="18">
        <v>41993</v>
      </c>
      <c r="H311" s="18" t="str">
        <f>IFERROR(INDEX('Docs Signed Input'!B:B,MATCH('Nate''s Evolution'!$B311,'Docs Signed Input'!E:E,0)),"N")</f>
        <v>N</v>
      </c>
      <c r="I311" s="18" t="str">
        <f>IFERROR(INDEX('Docs Signed Input'!C:C,MATCH('Nate''s Evolution'!B311,'Docs Signed Input'!E:E,0)),"N")</f>
        <v>Y</v>
      </c>
      <c r="J311" s="18">
        <v>42002</v>
      </c>
      <c r="L311" t="s">
        <v>2258</v>
      </c>
      <c r="M311" t="s">
        <v>3948</v>
      </c>
      <c r="N311">
        <v>8.67</v>
      </c>
      <c r="O311">
        <v>10.455</v>
      </c>
      <c r="P311" s="6">
        <v>42035.818124999998</v>
      </c>
      <c r="Q311" t="s">
        <v>3896</v>
      </c>
      <c r="R311" t="s">
        <v>11563</v>
      </c>
      <c r="S311" t="s">
        <v>11511</v>
      </c>
      <c r="T311">
        <v>2</v>
      </c>
      <c r="X311" t="b">
        <v>1</v>
      </c>
      <c r="Y311" s="6">
        <v>42037.431944444441</v>
      </c>
    </row>
    <row r="312" spans="1:25" x14ac:dyDescent="0.25">
      <c r="A312" t="s">
        <v>12143</v>
      </c>
      <c r="B312" t="s">
        <v>12144</v>
      </c>
      <c r="C312">
        <v>5.8650000000000002</v>
      </c>
      <c r="D312" t="s">
        <v>3893</v>
      </c>
      <c r="E312" t="s">
        <v>3989</v>
      </c>
      <c r="F312" s="18">
        <v>41974</v>
      </c>
      <c r="G312" s="18">
        <v>41993</v>
      </c>
      <c r="H312" s="18" t="str">
        <f>IFERROR(INDEX('Docs Signed Input'!B:B,MATCH('Nate''s Evolution'!$B312,'Docs Signed Input'!E:E,0)),"N")</f>
        <v>N</v>
      </c>
      <c r="I312" s="18" t="str">
        <f>IFERROR(INDEX('Docs Signed Input'!C:C,MATCH('Nate''s Evolution'!B312,'Docs Signed Input'!E:E,0)),"N")</f>
        <v>N</v>
      </c>
      <c r="L312" t="s">
        <v>2258</v>
      </c>
      <c r="M312" t="s">
        <v>4317</v>
      </c>
      <c r="N312">
        <v>5.8650000000000002</v>
      </c>
      <c r="O312">
        <v>5.8650000000000002</v>
      </c>
      <c r="P312" s="6">
        <v>42035.818124999998</v>
      </c>
      <c r="Q312" t="s">
        <v>3896</v>
      </c>
      <c r="R312" t="s">
        <v>11563</v>
      </c>
      <c r="S312" t="s">
        <v>3469</v>
      </c>
      <c r="T312">
        <v>2</v>
      </c>
      <c r="X312" t="b">
        <v>1</v>
      </c>
      <c r="Y312" s="6">
        <v>42037.431944444441</v>
      </c>
    </row>
    <row r="313" spans="1:25" x14ac:dyDescent="0.25">
      <c r="A313" t="s">
        <v>12149</v>
      </c>
      <c r="B313" t="s">
        <v>12150</v>
      </c>
      <c r="C313">
        <v>2.5499999999999998</v>
      </c>
      <c r="D313" t="s">
        <v>3893</v>
      </c>
      <c r="E313" t="s">
        <v>3894</v>
      </c>
      <c r="F313" s="18">
        <v>41974</v>
      </c>
      <c r="G313" s="18">
        <v>41993</v>
      </c>
      <c r="H313" s="18" t="str">
        <f>IFERROR(INDEX('Docs Signed Input'!B:B,MATCH('Nate''s Evolution'!$B313,'Docs Signed Input'!E:E,0)),"N")</f>
        <v>N</v>
      </c>
      <c r="I313" s="18" t="str">
        <f>IFERROR(INDEX('Docs Signed Input'!C:C,MATCH('Nate''s Evolution'!B313,'Docs Signed Input'!E:E,0)),"N")</f>
        <v>N</v>
      </c>
      <c r="L313" t="s">
        <v>2258</v>
      </c>
      <c r="M313" t="s">
        <v>3933</v>
      </c>
      <c r="N313">
        <v>2.5499999999999998</v>
      </c>
      <c r="O313">
        <v>6.12</v>
      </c>
      <c r="P313" s="6">
        <v>42035.818124999998</v>
      </c>
      <c r="Q313" t="s">
        <v>3896</v>
      </c>
      <c r="R313" t="s">
        <v>3897</v>
      </c>
      <c r="S313" t="s">
        <v>3014</v>
      </c>
      <c r="T313">
        <v>2</v>
      </c>
      <c r="X313" t="b">
        <v>1</v>
      </c>
      <c r="Y313" s="6">
        <v>42037.431944444441</v>
      </c>
    </row>
    <row r="314" spans="1:25" x14ac:dyDescent="0.25">
      <c r="A314" t="s">
        <v>12153</v>
      </c>
      <c r="B314" t="s">
        <v>12154</v>
      </c>
      <c r="C314">
        <v>5.46</v>
      </c>
      <c r="D314" t="s">
        <v>3909</v>
      </c>
      <c r="E314" t="s">
        <v>3929</v>
      </c>
      <c r="F314" s="18">
        <v>41974</v>
      </c>
      <c r="G314" s="18">
        <v>41993</v>
      </c>
      <c r="H314" s="18" t="str">
        <f>IFERROR(INDEX('Docs Signed Input'!B:B,MATCH('Nate''s Evolution'!$B314,'Docs Signed Input'!E:E,0)),"N")</f>
        <v>N</v>
      </c>
      <c r="I314" s="18" t="str">
        <f>IFERROR(INDEX('Docs Signed Input'!C:C,MATCH('Nate''s Evolution'!B314,'Docs Signed Input'!E:E,0)),"N")</f>
        <v>N</v>
      </c>
      <c r="L314" t="s">
        <v>2258</v>
      </c>
      <c r="M314" t="s">
        <v>4048</v>
      </c>
      <c r="N314">
        <v>5.46</v>
      </c>
      <c r="O314">
        <v>5.46</v>
      </c>
      <c r="P314" s="6">
        <v>42023.817847222221</v>
      </c>
      <c r="Q314" t="s">
        <v>3896</v>
      </c>
      <c r="R314" t="s">
        <v>11563</v>
      </c>
      <c r="S314" t="s">
        <v>3581</v>
      </c>
      <c r="T314">
        <v>14</v>
      </c>
      <c r="V314" t="b">
        <v>1</v>
      </c>
      <c r="Y314" s="6">
        <v>42037.431944444441</v>
      </c>
    </row>
    <row r="315" spans="1:25" x14ac:dyDescent="0.25">
      <c r="A315" t="s">
        <v>12156</v>
      </c>
      <c r="B315" t="s">
        <v>12157</v>
      </c>
      <c r="C315">
        <v>2.5</v>
      </c>
      <c r="D315" t="s">
        <v>3893</v>
      </c>
      <c r="E315" t="s">
        <v>4117</v>
      </c>
      <c r="F315" s="18">
        <v>41974</v>
      </c>
      <c r="G315" s="18">
        <v>41993</v>
      </c>
      <c r="H315" s="18" t="str">
        <f>IFERROR(INDEX('Docs Signed Input'!B:B,MATCH('Nate''s Evolution'!$B315,'Docs Signed Input'!E:E,0)),"N")</f>
        <v>N</v>
      </c>
      <c r="I315" s="18" t="str">
        <f>IFERROR(INDEX('Docs Signed Input'!C:C,MATCH('Nate''s Evolution'!B315,'Docs Signed Input'!E:E,0)),"N")</f>
        <v>N</v>
      </c>
      <c r="L315" t="s">
        <v>2258</v>
      </c>
      <c r="M315" t="s">
        <v>4009</v>
      </c>
      <c r="N315">
        <v>2.5</v>
      </c>
      <c r="O315">
        <v>2.5</v>
      </c>
      <c r="P315" s="6">
        <v>42035.818124999998</v>
      </c>
      <c r="Q315" t="s">
        <v>3896</v>
      </c>
      <c r="R315" t="s">
        <v>11563</v>
      </c>
      <c r="S315" t="s">
        <v>2926</v>
      </c>
      <c r="T315">
        <v>2</v>
      </c>
      <c r="X315" t="b">
        <v>1</v>
      </c>
      <c r="Y315" s="6">
        <v>42037.431944444441</v>
      </c>
    </row>
    <row r="316" spans="1:25" x14ac:dyDescent="0.25">
      <c r="A316" t="s">
        <v>12158</v>
      </c>
      <c r="B316" t="s">
        <v>12159</v>
      </c>
      <c r="C316">
        <v>6</v>
      </c>
      <c r="D316" t="s">
        <v>3900</v>
      </c>
      <c r="E316" t="s">
        <v>3960</v>
      </c>
      <c r="F316" s="18">
        <v>41974</v>
      </c>
      <c r="G316" s="18">
        <v>41993</v>
      </c>
      <c r="H316" s="18" t="str">
        <f>IFERROR(INDEX('Docs Signed Input'!B:B,MATCH('Nate''s Evolution'!$B316,'Docs Signed Input'!E:E,0)),"N")</f>
        <v>N</v>
      </c>
      <c r="I316" s="18" t="str">
        <f>IFERROR(INDEX('Docs Signed Input'!C:C,MATCH('Nate''s Evolution'!B316,'Docs Signed Input'!E:E,0)),"N")</f>
        <v>Y</v>
      </c>
      <c r="J316" s="18">
        <v>42018</v>
      </c>
      <c r="K316" s="18">
        <v>42024</v>
      </c>
      <c r="L316" t="s">
        <v>2258</v>
      </c>
      <c r="M316" t="s">
        <v>4013</v>
      </c>
      <c r="N316">
        <v>5.75</v>
      </c>
      <c r="O316">
        <v>6.5</v>
      </c>
      <c r="P316" s="6">
        <v>42032.230266203704</v>
      </c>
      <c r="Q316" t="s">
        <v>3896</v>
      </c>
      <c r="R316" t="s">
        <v>11563</v>
      </c>
      <c r="S316" t="s">
        <v>3674</v>
      </c>
      <c r="T316">
        <v>5</v>
      </c>
      <c r="W316" t="b">
        <v>1</v>
      </c>
      <c r="Y316" s="6">
        <v>42037.431944444441</v>
      </c>
    </row>
    <row r="317" spans="1:25" x14ac:dyDescent="0.25">
      <c r="A317" t="s">
        <v>12174</v>
      </c>
      <c r="B317" t="s">
        <v>12175</v>
      </c>
      <c r="C317">
        <v>5.75</v>
      </c>
      <c r="D317" t="s">
        <v>3893</v>
      </c>
      <c r="E317" t="s">
        <v>4117</v>
      </c>
      <c r="F317" s="18">
        <v>41974</v>
      </c>
      <c r="G317" s="18">
        <v>41993</v>
      </c>
      <c r="H317" s="18" t="str">
        <f>IFERROR(INDEX('Docs Signed Input'!B:B,MATCH('Nate''s Evolution'!$B317,'Docs Signed Input'!E:E,0)),"N")</f>
        <v>N</v>
      </c>
      <c r="I317" s="18" t="str">
        <f>IFERROR(INDEX('Docs Signed Input'!C:C,MATCH('Nate''s Evolution'!B317,'Docs Signed Input'!E:E,0)),"N")</f>
        <v>N</v>
      </c>
      <c r="L317" t="s">
        <v>2258</v>
      </c>
      <c r="M317" t="s">
        <v>3933</v>
      </c>
      <c r="N317">
        <v>5.75</v>
      </c>
      <c r="O317">
        <v>5.75</v>
      </c>
      <c r="P317" s="6">
        <v>42035.818124999998</v>
      </c>
      <c r="Q317" t="s">
        <v>3896</v>
      </c>
      <c r="R317" t="s">
        <v>3897</v>
      </c>
      <c r="S317" t="s">
        <v>2259</v>
      </c>
      <c r="T317">
        <v>2</v>
      </c>
      <c r="X317" t="b">
        <v>1</v>
      </c>
      <c r="Y317" s="6">
        <v>42037.431944444441</v>
      </c>
    </row>
    <row r="318" spans="1:25" x14ac:dyDescent="0.25">
      <c r="A318" t="s">
        <v>12176</v>
      </c>
      <c r="B318" t="s">
        <v>12177</v>
      </c>
      <c r="C318">
        <v>5.8650000000000002</v>
      </c>
      <c r="D318" t="s">
        <v>3893</v>
      </c>
      <c r="E318" t="s">
        <v>3916</v>
      </c>
      <c r="F318" s="18">
        <v>41974</v>
      </c>
      <c r="G318" s="18">
        <v>41993</v>
      </c>
      <c r="H318" s="18" t="str">
        <f>IFERROR(INDEX('Docs Signed Input'!B:B,MATCH('Nate''s Evolution'!$B318,'Docs Signed Input'!E:E,0)),"N")</f>
        <v>N</v>
      </c>
      <c r="I318" s="18" t="str">
        <f>IFERROR(INDEX('Docs Signed Input'!C:C,MATCH('Nate''s Evolution'!B318,'Docs Signed Input'!E:E,0)),"N")</f>
        <v>N</v>
      </c>
      <c r="L318" t="s">
        <v>2258</v>
      </c>
      <c r="M318" t="s">
        <v>4423</v>
      </c>
      <c r="N318">
        <v>5.0999999999999996</v>
      </c>
      <c r="O318">
        <v>6.63</v>
      </c>
      <c r="P318" s="6">
        <v>42035.818124999998</v>
      </c>
      <c r="Q318" t="s">
        <v>3896</v>
      </c>
      <c r="R318" t="s">
        <v>11563</v>
      </c>
      <c r="S318" t="s">
        <v>12123</v>
      </c>
      <c r="T318">
        <v>2</v>
      </c>
      <c r="X318" t="b">
        <v>1</v>
      </c>
      <c r="Y318" s="6">
        <v>42037.431944444441</v>
      </c>
    </row>
    <row r="319" spans="1:25" x14ac:dyDescent="0.25">
      <c r="A319" t="s">
        <v>12178</v>
      </c>
      <c r="B319" t="s">
        <v>12179</v>
      </c>
      <c r="C319">
        <v>7</v>
      </c>
      <c r="D319" t="s">
        <v>2230</v>
      </c>
      <c r="E319" t="s">
        <v>3984</v>
      </c>
      <c r="F319" s="18">
        <v>41974</v>
      </c>
      <c r="G319" s="18">
        <v>41993</v>
      </c>
      <c r="H319" s="18" t="str">
        <f>IFERROR(INDEX('Docs Signed Input'!B:B,MATCH('Nate''s Evolution'!$B319,'Docs Signed Input'!E:E,0)),"N")</f>
        <v>N</v>
      </c>
      <c r="I319" s="18" t="str">
        <f>IFERROR(INDEX('Docs Signed Input'!C:C,MATCH('Nate''s Evolution'!B319,'Docs Signed Input'!E:E,0)),"N")</f>
        <v>N</v>
      </c>
      <c r="L319" t="s">
        <v>2258</v>
      </c>
      <c r="M319" t="s">
        <v>3930</v>
      </c>
      <c r="N319">
        <v>7</v>
      </c>
      <c r="O319">
        <v>7</v>
      </c>
      <c r="P319" s="6">
        <v>42011.817465277774</v>
      </c>
      <c r="Q319" t="s">
        <v>3896</v>
      </c>
      <c r="R319" t="s">
        <v>11563</v>
      </c>
      <c r="S319" t="s">
        <v>11455</v>
      </c>
      <c r="T319">
        <v>26</v>
      </c>
      <c r="U319" t="b">
        <v>1</v>
      </c>
      <c r="Y319" s="6">
        <v>42037.431944444441</v>
      </c>
    </row>
    <row r="320" spans="1:25" x14ac:dyDescent="0.25">
      <c r="A320" t="s">
        <v>12181</v>
      </c>
      <c r="B320" t="s">
        <v>12182</v>
      </c>
      <c r="C320">
        <v>8.5</v>
      </c>
      <c r="D320" t="s">
        <v>3922</v>
      </c>
      <c r="E320" t="s">
        <v>3923</v>
      </c>
      <c r="F320" s="18">
        <v>41974</v>
      </c>
      <c r="G320" s="18">
        <v>41993</v>
      </c>
      <c r="H320" s="18" t="str">
        <f>IFERROR(INDEX('Docs Signed Input'!B:B,MATCH('Nate''s Evolution'!$B320,'Docs Signed Input'!E:E,0)),"N")</f>
        <v>N</v>
      </c>
      <c r="I320" s="18" t="str">
        <f>IFERROR(INDEX('Docs Signed Input'!C:C,MATCH('Nate''s Evolution'!B320,'Docs Signed Input'!E:E,0)),"N")</f>
        <v>Y</v>
      </c>
      <c r="J320" s="18">
        <v>42009</v>
      </c>
      <c r="L320" t="s">
        <v>2258</v>
      </c>
      <c r="M320" t="s">
        <v>3902</v>
      </c>
      <c r="N320">
        <v>8.5</v>
      </c>
      <c r="O320">
        <v>8.5</v>
      </c>
      <c r="P320" s="6">
        <v>42017.600995370369</v>
      </c>
      <c r="Q320" t="s">
        <v>3896</v>
      </c>
      <c r="R320" t="s">
        <v>3897</v>
      </c>
      <c r="S320" t="s">
        <v>2269</v>
      </c>
      <c r="T320">
        <v>20</v>
      </c>
      <c r="X320" t="b">
        <v>1</v>
      </c>
      <c r="Y320" s="6">
        <v>42037.431944444441</v>
      </c>
    </row>
    <row r="321" spans="1:25" x14ac:dyDescent="0.25">
      <c r="A321" t="s">
        <v>12296</v>
      </c>
      <c r="B321" t="s">
        <v>12297</v>
      </c>
      <c r="C321">
        <v>5.0999999999999996</v>
      </c>
      <c r="D321" t="s">
        <v>3893</v>
      </c>
      <c r="E321" t="s">
        <v>3894</v>
      </c>
      <c r="F321" s="18">
        <v>41974</v>
      </c>
      <c r="G321" s="18">
        <v>41995</v>
      </c>
      <c r="H321" s="18" t="str">
        <f>IFERROR(INDEX('Docs Signed Input'!B:B,MATCH('Nate''s Evolution'!$B321,'Docs Signed Input'!E:E,0)),"N")</f>
        <v>N</v>
      </c>
      <c r="I321" s="18" t="str">
        <f>IFERROR(INDEX('Docs Signed Input'!C:C,MATCH('Nate''s Evolution'!B321,'Docs Signed Input'!E:E,0)),"N")</f>
        <v>N</v>
      </c>
      <c r="L321" t="s">
        <v>2258</v>
      </c>
      <c r="M321" t="s">
        <v>4423</v>
      </c>
      <c r="N321">
        <v>4.5</v>
      </c>
      <c r="O321">
        <v>5.0999999999999996</v>
      </c>
      <c r="P321" s="6">
        <v>42035.818124999998</v>
      </c>
      <c r="Q321" t="s">
        <v>3896</v>
      </c>
      <c r="R321" t="s">
        <v>3897</v>
      </c>
      <c r="S321" t="s">
        <v>3002</v>
      </c>
      <c r="T321">
        <v>2</v>
      </c>
      <c r="X321" t="b">
        <v>1</v>
      </c>
      <c r="Y321" s="6">
        <v>42037.431944444441</v>
      </c>
    </row>
    <row r="322" spans="1:25" x14ac:dyDescent="0.25">
      <c r="A322" t="s">
        <v>12298</v>
      </c>
      <c r="B322" t="s">
        <v>12299</v>
      </c>
      <c r="C322">
        <v>3.8250000000000002</v>
      </c>
      <c r="D322" t="s">
        <v>3893</v>
      </c>
      <c r="E322" t="s">
        <v>3989</v>
      </c>
      <c r="F322" s="18">
        <v>41974</v>
      </c>
      <c r="G322" s="18">
        <v>41995</v>
      </c>
      <c r="H322" s="18" t="str">
        <f>IFERROR(INDEX('Docs Signed Input'!B:B,MATCH('Nate''s Evolution'!$B322,'Docs Signed Input'!E:E,0)),"N")</f>
        <v>N</v>
      </c>
      <c r="I322" s="18" t="str">
        <f>IFERROR(INDEX('Docs Signed Input'!C:C,MATCH('Nate''s Evolution'!B322,'Docs Signed Input'!E:E,0)),"N")</f>
        <v>N</v>
      </c>
      <c r="L322" t="s">
        <v>2258</v>
      </c>
      <c r="M322" t="s">
        <v>4317</v>
      </c>
      <c r="N322">
        <v>3.8250000000000002</v>
      </c>
      <c r="O322">
        <v>3.8250000000000002</v>
      </c>
      <c r="P322" s="6">
        <v>42035.818124999998</v>
      </c>
      <c r="Q322" t="s">
        <v>3896</v>
      </c>
      <c r="R322" t="s">
        <v>3897</v>
      </c>
      <c r="S322" t="s">
        <v>3501</v>
      </c>
      <c r="T322">
        <v>2</v>
      </c>
      <c r="X322" t="b">
        <v>1</v>
      </c>
      <c r="Y322" s="6">
        <v>42037.431944444441</v>
      </c>
    </row>
    <row r="323" spans="1:25" x14ac:dyDescent="0.25">
      <c r="A323" t="s">
        <v>12302</v>
      </c>
      <c r="B323" t="s">
        <v>12303</v>
      </c>
      <c r="C323">
        <v>8.16</v>
      </c>
      <c r="D323" t="s">
        <v>3893</v>
      </c>
      <c r="E323" t="s">
        <v>3916</v>
      </c>
      <c r="F323" s="18">
        <v>41974</v>
      </c>
      <c r="G323" s="18">
        <v>41995</v>
      </c>
      <c r="H323" s="18" t="str">
        <f>IFERROR(INDEX('Docs Signed Input'!B:B,MATCH('Nate''s Evolution'!$B323,'Docs Signed Input'!E:E,0)),"N")</f>
        <v>N</v>
      </c>
      <c r="I323" s="18" t="str">
        <f>IFERROR(INDEX('Docs Signed Input'!C:C,MATCH('Nate''s Evolution'!B323,'Docs Signed Input'!E:E,0)),"N")</f>
        <v>N</v>
      </c>
      <c r="L323" t="s">
        <v>2258</v>
      </c>
      <c r="M323" t="s">
        <v>3932</v>
      </c>
      <c r="N323">
        <v>5.8650000000000002</v>
      </c>
      <c r="O323">
        <v>8.16</v>
      </c>
      <c r="P323" s="6">
        <v>42035.818124999998</v>
      </c>
      <c r="Q323" t="s">
        <v>3896</v>
      </c>
      <c r="R323" t="s">
        <v>4400</v>
      </c>
      <c r="S323" t="s">
        <v>3589</v>
      </c>
      <c r="T323">
        <v>2</v>
      </c>
      <c r="X323" t="b">
        <v>1</v>
      </c>
      <c r="Y323" s="6">
        <v>42037.431944444441</v>
      </c>
    </row>
    <row r="324" spans="1:25" x14ac:dyDescent="0.25">
      <c r="A324" t="s">
        <v>12312</v>
      </c>
      <c r="B324" t="s">
        <v>12313</v>
      </c>
      <c r="C324">
        <v>7.5</v>
      </c>
      <c r="D324" t="s">
        <v>3893</v>
      </c>
      <c r="E324" t="s">
        <v>4117</v>
      </c>
      <c r="F324" s="18">
        <v>41974</v>
      </c>
      <c r="G324" s="18">
        <v>41995</v>
      </c>
      <c r="H324" s="18" t="str">
        <f>IFERROR(INDEX('Docs Signed Input'!B:B,MATCH('Nate''s Evolution'!$B324,'Docs Signed Input'!E:E,0)),"N")</f>
        <v>N</v>
      </c>
      <c r="I324" s="18" t="str">
        <f>IFERROR(INDEX('Docs Signed Input'!C:C,MATCH('Nate''s Evolution'!B324,'Docs Signed Input'!E:E,0)),"N")</f>
        <v>N</v>
      </c>
      <c r="L324" t="s">
        <v>2258</v>
      </c>
      <c r="M324" t="s">
        <v>3926</v>
      </c>
      <c r="N324">
        <v>7.5</v>
      </c>
      <c r="O324">
        <v>7.5</v>
      </c>
      <c r="P324" s="6">
        <v>42035.818124999998</v>
      </c>
      <c r="Q324" t="s">
        <v>3896</v>
      </c>
      <c r="R324" t="s">
        <v>11563</v>
      </c>
      <c r="S324" t="s">
        <v>2591</v>
      </c>
      <c r="T324">
        <v>2</v>
      </c>
      <c r="X324" t="b">
        <v>1</v>
      </c>
      <c r="Y324" s="6">
        <v>42037.431944444441</v>
      </c>
    </row>
    <row r="325" spans="1:25" x14ac:dyDescent="0.25">
      <c r="A325" t="s">
        <v>12323</v>
      </c>
      <c r="B325" t="s">
        <v>12324</v>
      </c>
      <c r="C325">
        <v>8.9250000000000007</v>
      </c>
      <c r="D325" t="s">
        <v>3893</v>
      </c>
      <c r="E325" t="s">
        <v>4888</v>
      </c>
      <c r="F325" s="18">
        <v>41974</v>
      </c>
      <c r="G325" s="18">
        <v>41995</v>
      </c>
      <c r="H325" s="18" t="str">
        <f>IFERROR(INDEX('Docs Signed Input'!B:B,MATCH('Nate''s Evolution'!$B325,'Docs Signed Input'!E:E,0)),"N")</f>
        <v>Y</v>
      </c>
      <c r="I325" s="18" t="str">
        <f>IFERROR(INDEX('Docs Signed Input'!C:C,MATCH('Nate''s Evolution'!B325,'Docs Signed Input'!E:E,0)),"N")</f>
        <v>Y</v>
      </c>
      <c r="J325" s="18">
        <v>42007</v>
      </c>
      <c r="L325" t="s">
        <v>2258</v>
      </c>
      <c r="M325" t="s">
        <v>3948</v>
      </c>
      <c r="N325">
        <v>8.9250000000000007</v>
      </c>
      <c r="O325">
        <v>9.18</v>
      </c>
      <c r="P325" s="6">
        <v>42035.818124999998</v>
      </c>
      <c r="Q325" t="s">
        <v>3896</v>
      </c>
      <c r="S325" t="s">
        <v>2249</v>
      </c>
      <c r="T325">
        <v>2</v>
      </c>
      <c r="X325" t="b">
        <v>1</v>
      </c>
      <c r="Y325" s="6">
        <v>42037.431944444441</v>
      </c>
    </row>
    <row r="326" spans="1:25" x14ac:dyDescent="0.25">
      <c r="A326" t="s">
        <v>12323</v>
      </c>
      <c r="B326" t="s">
        <v>12325</v>
      </c>
      <c r="C326">
        <v>11.984999999999999</v>
      </c>
      <c r="D326" t="s">
        <v>3893</v>
      </c>
      <c r="E326" t="s">
        <v>3894</v>
      </c>
      <c r="F326" s="18">
        <v>41974</v>
      </c>
      <c r="G326" s="18">
        <v>41995</v>
      </c>
      <c r="H326" s="18" t="str">
        <f>IFERROR(INDEX('Docs Signed Input'!B:B,MATCH('Nate''s Evolution'!$B326,'Docs Signed Input'!E:E,0)),"N")</f>
        <v>N</v>
      </c>
      <c r="I326" s="18" t="str">
        <f>IFERROR(INDEX('Docs Signed Input'!C:C,MATCH('Nate''s Evolution'!B326,'Docs Signed Input'!E:E,0)),"N")</f>
        <v>Y</v>
      </c>
      <c r="J326" s="18">
        <v>42006</v>
      </c>
      <c r="L326" t="s">
        <v>2258</v>
      </c>
      <c r="M326" t="s">
        <v>3948</v>
      </c>
      <c r="N326">
        <v>11.22</v>
      </c>
      <c r="O326">
        <v>11.984999999999999</v>
      </c>
      <c r="P326" s="6">
        <v>42035.818124999998</v>
      </c>
      <c r="Q326" t="s">
        <v>3896</v>
      </c>
      <c r="R326" t="s">
        <v>11563</v>
      </c>
      <c r="S326" t="s">
        <v>2249</v>
      </c>
      <c r="T326">
        <v>2</v>
      </c>
      <c r="X326" t="b">
        <v>1</v>
      </c>
      <c r="Y326" s="6">
        <v>42037.431944444441</v>
      </c>
    </row>
    <row r="327" spans="1:25" x14ac:dyDescent="0.25">
      <c r="A327" t="s">
        <v>12323</v>
      </c>
      <c r="B327" t="s">
        <v>12326</v>
      </c>
      <c r="C327">
        <v>11.22</v>
      </c>
      <c r="D327" t="s">
        <v>3893</v>
      </c>
      <c r="E327" t="s">
        <v>3894</v>
      </c>
      <c r="F327" s="18">
        <v>41974</v>
      </c>
      <c r="G327" s="18">
        <v>41995</v>
      </c>
      <c r="H327" s="18" t="str">
        <f>IFERROR(INDEX('Docs Signed Input'!B:B,MATCH('Nate''s Evolution'!$B327,'Docs Signed Input'!E:E,0)),"N")</f>
        <v>Y</v>
      </c>
      <c r="I327" s="18" t="str">
        <f>IFERROR(INDEX('Docs Signed Input'!C:C,MATCH('Nate''s Evolution'!B327,'Docs Signed Input'!E:E,0)),"N")</f>
        <v>N</v>
      </c>
      <c r="L327" t="s">
        <v>2258</v>
      </c>
      <c r="M327" t="s">
        <v>3948</v>
      </c>
      <c r="N327">
        <v>11.22</v>
      </c>
      <c r="O327">
        <v>11.22</v>
      </c>
      <c r="P327" s="6">
        <v>42035.818124999998</v>
      </c>
      <c r="Q327" t="s">
        <v>3896</v>
      </c>
      <c r="R327" t="s">
        <v>13036</v>
      </c>
      <c r="S327" t="s">
        <v>2249</v>
      </c>
      <c r="T327">
        <v>2</v>
      </c>
      <c r="X327" t="b">
        <v>1</v>
      </c>
      <c r="Y327" s="6">
        <v>42037.431944444441</v>
      </c>
    </row>
    <row r="328" spans="1:25" x14ac:dyDescent="0.25">
      <c r="A328" t="s">
        <v>12336</v>
      </c>
      <c r="B328" t="s">
        <v>12337</v>
      </c>
      <c r="C328">
        <v>3.06</v>
      </c>
      <c r="D328" t="s">
        <v>3893</v>
      </c>
      <c r="E328" t="s">
        <v>3916</v>
      </c>
      <c r="F328" s="18">
        <v>41974</v>
      </c>
      <c r="G328" s="18">
        <v>41995</v>
      </c>
      <c r="H328" s="18" t="str">
        <f>IFERROR(INDEX('Docs Signed Input'!B:B,MATCH('Nate''s Evolution'!$B328,'Docs Signed Input'!E:E,0)),"N")</f>
        <v>N</v>
      </c>
      <c r="I328" s="18" t="str">
        <f>IFERROR(INDEX('Docs Signed Input'!C:C,MATCH('Nate''s Evolution'!B328,'Docs Signed Input'!E:E,0)),"N")</f>
        <v>N</v>
      </c>
      <c r="L328" t="s">
        <v>2258</v>
      </c>
      <c r="M328" t="s">
        <v>4317</v>
      </c>
      <c r="N328">
        <v>3.06</v>
      </c>
      <c r="O328">
        <v>3.3149999999999999</v>
      </c>
      <c r="P328" s="6">
        <v>42035.818124999998</v>
      </c>
      <c r="Q328" t="s">
        <v>3896</v>
      </c>
      <c r="R328" t="s">
        <v>3918</v>
      </c>
      <c r="S328" t="s">
        <v>3459</v>
      </c>
      <c r="T328">
        <v>2</v>
      </c>
      <c r="X328" t="b">
        <v>1</v>
      </c>
      <c r="Y328" s="6">
        <v>42037.431944444441</v>
      </c>
    </row>
    <row r="329" spans="1:25" x14ac:dyDescent="0.25">
      <c r="A329" t="s">
        <v>12288</v>
      </c>
      <c r="B329" t="s">
        <v>12289</v>
      </c>
      <c r="C329">
        <v>4.335</v>
      </c>
      <c r="D329" t="s">
        <v>3893</v>
      </c>
      <c r="E329" t="s">
        <v>4117</v>
      </c>
      <c r="F329" s="18">
        <v>41974</v>
      </c>
      <c r="G329" s="18">
        <v>41996</v>
      </c>
      <c r="H329" s="18" t="str">
        <f>IFERROR(INDEX('Docs Signed Input'!B:B,MATCH('Nate''s Evolution'!$B329,'Docs Signed Input'!E:E,0)),"N")</f>
        <v>N</v>
      </c>
      <c r="I329" s="18" t="str">
        <f>IFERROR(INDEX('Docs Signed Input'!C:C,MATCH('Nate''s Evolution'!B329,'Docs Signed Input'!E:E,0)),"N")</f>
        <v>N</v>
      </c>
      <c r="L329" t="s">
        <v>2258</v>
      </c>
      <c r="M329" t="s">
        <v>4027</v>
      </c>
      <c r="N329">
        <v>4.335</v>
      </c>
      <c r="O329">
        <v>4.335</v>
      </c>
      <c r="P329" s="6">
        <v>42035.818124999998</v>
      </c>
      <c r="Q329" t="s">
        <v>3896</v>
      </c>
      <c r="R329" t="s">
        <v>11563</v>
      </c>
      <c r="S329" t="s">
        <v>3777</v>
      </c>
      <c r="T329">
        <v>2</v>
      </c>
      <c r="X329" t="b">
        <v>1</v>
      </c>
      <c r="Y329" s="6">
        <v>42037.431944444441</v>
      </c>
    </row>
    <row r="330" spans="1:25" x14ac:dyDescent="0.25">
      <c r="A330" t="s">
        <v>12290</v>
      </c>
      <c r="B330" t="s">
        <v>12291</v>
      </c>
      <c r="C330">
        <v>4.59</v>
      </c>
      <c r="D330" t="s">
        <v>3900</v>
      </c>
      <c r="E330" t="s">
        <v>3960</v>
      </c>
      <c r="F330" s="18">
        <v>41974</v>
      </c>
      <c r="G330" s="18">
        <v>41996</v>
      </c>
      <c r="H330" s="18" t="str">
        <f>IFERROR(INDEX('Docs Signed Input'!B:B,MATCH('Nate''s Evolution'!$B330,'Docs Signed Input'!E:E,0)),"N")</f>
        <v>Y</v>
      </c>
      <c r="I330" s="18" t="str">
        <f>IFERROR(INDEX('Docs Signed Input'!C:C,MATCH('Nate''s Evolution'!B330,'Docs Signed Input'!E:E,0)),"N")</f>
        <v>Y</v>
      </c>
      <c r="J330" s="18">
        <v>42016</v>
      </c>
      <c r="K330" s="18">
        <v>42027</v>
      </c>
      <c r="L330" t="s">
        <v>2258</v>
      </c>
      <c r="M330" t="s">
        <v>4317</v>
      </c>
      <c r="N330">
        <v>4.59</v>
      </c>
      <c r="O330">
        <v>5.8650000000000002</v>
      </c>
      <c r="P330" s="6">
        <v>42033.668703703705</v>
      </c>
      <c r="Q330" t="s">
        <v>3896</v>
      </c>
      <c r="S330" t="s">
        <v>3459</v>
      </c>
      <c r="T330">
        <v>4</v>
      </c>
      <c r="W330" t="b">
        <v>1</v>
      </c>
      <c r="Y330" s="6">
        <v>42037.431944444441</v>
      </c>
    </row>
    <row r="331" spans="1:25" x14ac:dyDescent="0.25">
      <c r="A331" t="s">
        <v>12294</v>
      </c>
      <c r="B331" t="s">
        <v>12295</v>
      </c>
      <c r="C331">
        <v>7</v>
      </c>
      <c r="D331" t="s">
        <v>3893</v>
      </c>
      <c r="E331" t="s">
        <v>3989</v>
      </c>
      <c r="F331" s="18">
        <v>41974</v>
      </c>
      <c r="G331" s="18">
        <v>41996</v>
      </c>
      <c r="H331" s="18" t="str">
        <f>IFERROR(INDEX('Docs Signed Input'!B:B,MATCH('Nate''s Evolution'!$B331,'Docs Signed Input'!E:E,0)),"N")</f>
        <v>N</v>
      </c>
      <c r="I331" s="18" t="str">
        <f>IFERROR(INDEX('Docs Signed Input'!C:C,MATCH('Nate''s Evolution'!B331,'Docs Signed Input'!E:E,0)),"N")</f>
        <v>N</v>
      </c>
      <c r="L331" t="s">
        <v>2258</v>
      </c>
      <c r="M331" t="s">
        <v>3926</v>
      </c>
      <c r="N331">
        <v>7</v>
      </c>
      <c r="O331">
        <v>7</v>
      </c>
      <c r="P331" s="6">
        <v>42035.818124999998</v>
      </c>
      <c r="Q331" t="s">
        <v>3896</v>
      </c>
      <c r="R331" t="s">
        <v>11563</v>
      </c>
      <c r="S331" t="s">
        <v>3489</v>
      </c>
      <c r="T331">
        <v>2</v>
      </c>
      <c r="X331" t="b">
        <v>1</v>
      </c>
      <c r="Y331" s="6">
        <v>42037.431944444441</v>
      </c>
    </row>
    <row r="332" spans="1:25" x14ac:dyDescent="0.25">
      <c r="A332" t="s">
        <v>12300</v>
      </c>
      <c r="B332" t="s">
        <v>12301</v>
      </c>
      <c r="C332">
        <v>4.8449999999999998</v>
      </c>
      <c r="D332" t="s">
        <v>3909</v>
      </c>
      <c r="E332" t="s">
        <v>3937</v>
      </c>
      <c r="F332" s="18">
        <v>41974</v>
      </c>
      <c r="G332" s="18">
        <v>41996</v>
      </c>
      <c r="H332" s="18" t="str">
        <f>IFERROR(INDEX('Docs Signed Input'!B:B,MATCH('Nate''s Evolution'!$B332,'Docs Signed Input'!E:E,0)),"N")</f>
        <v>N</v>
      </c>
      <c r="I332" s="18" t="str">
        <f>IFERROR(INDEX('Docs Signed Input'!C:C,MATCH('Nate''s Evolution'!B332,'Docs Signed Input'!E:E,0)),"N")</f>
        <v>N</v>
      </c>
      <c r="L332" t="s">
        <v>2258</v>
      </c>
      <c r="M332" t="s">
        <v>3932</v>
      </c>
      <c r="N332">
        <v>4.8449999999999998</v>
      </c>
      <c r="O332">
        <v>5.8650000000000002</v>
      </c>
      <c r="P332" s="6">
        <v>42013.637013888889</v>
      </c>
      <c r="Q332" t="s">
        <v>3896</v>
      </c>
      <c r="R332" t="s">
        <v>11563</v>
      </c>
      <c r="S332" t="s">
        <v>3589</v>
      </c>
      <c r="T332">
        <v>24</v>
      </c>
      <c r="V332" t="b">
        <v>1</v>
      </c>
      <c r="Y332" s="6">
        <v>42037.431944444441</v>
      </c>
    </row>
    <row r="333" spans="1:25" x14ac:dyDescent="0.25">
      <c r="A333" t="s">
        <v>12310</v>
      </c>
      <c r="B333" t="s">
        <v>12311</v>
      </c>
      <c r="C333">
        <v>4.8449999999999998</v>
      </c>
      <c r="D333" t="s">
        <v>2230</v>
      </c>
      <c r="E333" t="s">
        <v>3984</v>
      </c>
      <c r="F333" s="18">
        <v>41974</v>
      </c>
      <c r="G333" s="18">
        <v>41996</v>
      </c>
      <c r="H333" s="18" t="str">
        <f>IFERROR(INDEX('Docs Signed Input'!B:B,MATCH('Nate''s Evolution'!$B333,'Docs Signed Input'!E:E,0)),"N")</f>
        <v>N</v>
      </c>
      <c r="I333" s="18" t="str">
        <f>IFERROR(INDEX('Docs Signed Input'!C:C,MATCH('Nate''s Evolution'!B333,'Docs Signed Input'!E:E,0)),"N")</f>
        <v>N</v>
      </c>
      <c r="L333" t="s">
        <v>2258</v>
      </c>
      <c r="M333" t="s">
        <v>3932</v>
      </c>
      <c r="N333">
        <v>4.8449999999999998</v>
      </c>
      <c r="O333">
        <v>4.8449999999999998</v>
      </c>
      <c r="P333" s="6">
        <v>42009.817812499998</v>
      </c>
      <c r="Q333" t="s">
        <v>3896</v>
      </c>
      <c r="R333" t="s">
        <v>3911</v>
      </c>
      <c r="S333" t="s">
        <v>3712</v>
      </c>
      <c r="T333">
        <v>28</v>
      </c>
      <c r="U333" t="b">
        <v>1</v>
      </c>
      <c r="Y333" s="6">
        <v>42037.431944444441</v>
      </c>
    </row>
    <row r="334" spans="1:25" x14ac:dyDescent="0.25">
      <c r="A334" t="s">
        <v>12332</v>
      </c>
      <c r="B334" t="s">
        <v>12333</v>
      </c>
      <c r="C334">
        <v>2.5499999999999998</v>
      </c>
      <c r="D334" t="s">
        <v>3909</v>
      </c>
      <c r="E334" t="s">
        <v>3937</v>
      </c>
      <c r="F334" s="18">
        <v>41974</v>
      </c>
      <c r="G334" s="18">
        <v>41996</v>
      </c>
      <c r="H334" s="18" t="str">
        <f>IFERROR(INDEX('Docs Signed Input'!B:B,MATCH('Nate''s Evolution'!$B334,'Docs Signed Input'!E:E,0)),"N")</f>
        <v>N</v>
      </c>
      <c r="I334" s="18" t="str">
        <f>IFERROR(INDEX('Docs Signed Input'!C:C,MATCH('Nate''s Evolution'!B334,'Docs Signed Input'!E:E,0)),"N")</f>
        <v>N</v>
      </c>
      <c r="L334" t="s">
        <v>2258</v>
      </c>
      <c r="M334" t="s">
        <v>3986</v>
      </c>
      <c r="N334">
        <v>2.5499999999999998</v>
      </c>
      <c r="O334">
        <v>2.5499999999999998</v>
      </c>
      <c r="P334" s="6">
        <v>42016.531412037039</v>
      </c>
      <c r="Q334" t="s">
        <v>3896</v>
      </c>
      <c r="R334" t="s">
        <v>3897</v>
      </c>
      <c r="S334" t="s">
        <v>3752</v>
      </c>
      <c r="T334">
        <v>21</v>
      </c>
      <c r="V334" t="b">
        <v>1</v>
      </c>
      <c r="Y334" s="6">
        <v>42037.431944444441</v>
      </c>
    </row>
    <row r="335" spans="1:25" x14ac:dyDescent="0.25">
      <c r="A335" t="s">
        <v>12342</v>
      </c>
      <c r="B335" t="s">
        <v>12343</v>
      </c>
      <c r="C335">
        <v>11.96</v>
      </c>
      <c r="D335" t="s">
        <v>3893</v>
      </c>
      <c r="E335" t="s">
        <v>3894</v>
      </c>
      <c r="F335" s="18">
        <v>41974</v>
      </c>
      <c r="G335" s="18">
        <v>41996</v>
      </c>
      <c r="H335" s="18" t="str">
        <f>IFERROR(INDEX('Docs Signed Input'!B:B,MATCH('Nate''s Evolution'!$B335,'Docs Signed Input'!E:E,0)),"N")</f>
        <v>N</v>
      </c>
      <c r="I335" s="18" t="str">
        <f>IFERROR(INDEX('Docs Signed Input'!C:C,MATCH('Nate''s Evolution'!B335,'Docs Signed Input'!E:E,0)),"N")</f>
        <v>Y</v>
      </c>
      <c r="J335" s="18">
        <v>42010</v>
      </c>
      <c r="L335" t="s">
        <v>2258</v>
      </c>
      <c r="M335" t="s">
        <v>4048</v>
      </c>
      <c r="N335">
        <v>10.66</v>
      </c>
      <c r="O335">
        <v>11.96</v>
      </c>
      <c r="P335" s="6">
        <v>42035.818124999998</v>
      </c>
      <c r="Q335" t="s">
        <v>3896</v>
      </c>
      <c r="R335" t="s">
        <v>3897</v>
      </c>
      <c r="S335" t="s">
        <v>3581</v>
      </c>
      <c r="T335">
        <v>2</v>
      </c>
      <c r="X335" t="b">
        <v>1</v>
      </c>
      <c r="Y335" s="6">
        <v>42037.431944444441</v>
      </c>
    </row>
    <row r="336" spans="1:25" x14ac:dyDescent="0.25">
      <c r="A336" t="s">
        <v>12329</v>
      </c>
      <c r="B336" t="s">
        <v>12330</v>
      </c>
      <c r="C336">
        <v>5.8650000000000002</v>
      </c>
      <c r="D336" t="s">
        <v>3893</v>
      </c>
      <c r="E336" t="s">
        <v>3894</v>
      </c>
      <c r="F336" s="18">
        <v>41974</v>
      </c>
      <c r="G336" s="18">
        <v>41997</v>
      </c>
      <c r="H336" s="18" t="str">
        <f>IFERROR(INDEX('Docs Signed Input'!B:B,MATCH('Nate''s Evolution'!$B336,'Docs Signed Input'!E:E,0)),"N")</f>
        <v>N</v>
      </c>
      <c r="I336" s="18" t="str">
        <f>IFERROR(INDEX('Docs Signed Input'!C:C,MATCH('Nate''s Evolution'!B336,'Docs Signed Input'!E:E,0)),"N")</f>
        <v>N</v>
      </c>
      <c r="L336" t="s">
        <v>2258</v>
      </c>
      <c r="M336" t="s">
        <v>3933</v>
      </c>
      <c r="N336">
        <v>5.8650000000000002</v>
      </c>
      <c r="O336">
        <v>6.5</v>
      </c>
      <c r="P336" s="6">
        <v>42035.818124999998</v>
      </c>
      <c r="Q336" t="s">
        <v>3896</v>
      </c>
      <c r="R336" t="s">
        <v>3921</v>
      </c>
      <c r="S336" t="s">
        <v>12331</v>
      </c>
      <c r="T336">
        <v>2</v>
      </c>
      <c r="X336" t="b">
        <v>1</v>
      </c>
      <c r="Y336" s="6">
        <v>42037.431944444441</v>
      </c>
    </row>
    <row r="337" spans="1:25" x14ac:dyDescent="0.25">
      <c r="A337" t="s">
        <v>12306</v>
      </c>
      <c r="B337" t="s">
        <v>12307</v>
      </c>
      <c r="C337">
        <v>8.9250000000000007</v>
      </c>
      <c r="D337" t="s">
        <v>3893</v>
      </c>
      <c r="E337" t="s">
        <v>3894</v>
      </c>
      <c r="F337" s="18">
        <v>41974</v>
      </c>
      <c r="G337" s="18">
        <v>41999</v>
      </c>
      <c r="H337" s="18" t="str">
        <f>IFERROR(INDEX('Docs Signed Input'!B:B,MATCH('Nate''s Evolution'!$B337,'Docs Signed Input'!E:E,0)),"N")</f>
        <v>N</v>
      </c>
      <c r="I337" s="18" t="str">
        <f>IFERROR(INDEX('Docs Signed Input'!C:C,MATCH('Nate''s Evolution'!B337,'Docs Signed Input'!E:E,0)),"N")</f>
        <v>N</v>
      </c>
      <c r="J337" s="18">
        <v>42009</v>
      </c>
      <c r="L337" t="s">
        <v>2258</v>
      </c>
      <c r="M337" t="s">
        <v>3933</v>
      </c>
      <c r="N337">
        <v>8.75</v>
      </c>
      <c r="O337">
        <v>8.9250000000000007</v>
      </c>
      <c r="P337" s="6">
        <v>42035.818124999998</v>
      </c>
      <c r="Q337" t="s">
        <v>3896</v>
      </c>
      <c r="R337" t="s">
        <v>11563</v>
      </c>
      <c r="S337" t="s">
        <v>12308</v>
      </c>
      <c r="T337">
        <v>2</v>
      </c>
      <c r="X337" t="b">
        <v>1</v>
      </c>
      <c r="Y337" s="6">
        <v>42037.431944444441</v>
      </c>
    </row>
    <row r="338" spans="1:25" x14ac:dyDescent="0.25">
      <c r="A338" t="s">
        <v>12292</v>
      </c>
      <c r="B338" t="s">
        <v>12293</v>
      </c>
      <c r="C338">
        <v>4.68</v>
      </c>
      <c r="D338" t="s">
        <v>3909</v>
      </c>
      <c r="E338" t="s">
        <v>3929</v>
      </c>
      <c r="F338" s="18">
        <v>41974</v>
      </c>
      <c r="G338" s="18">
        <v>42000</v>
      </c>
      <c r="H338" s="18" t="str">
        <f>IFERROR(INDEX('Docs Signed Input'!B:B,MATCH('Nate''s Evolution'!$B338,'Docs Signed Input'!E:E,0)),"N")</f>
        <v>N</v>
      </c>
      <c r="I338" s="18" t="str">
        <f>IFERROR(INDEX('Docs Signed Input'!C:C,MATCH('Nate''s Evolution'!B338,'Docs Signed Input'!E:E,0)),"N")</f>
        <v>N</v>
      </c>
      <c r="L338" t="s">
        <v>2258</v>
      </c>
      <c r="M338" t="s">
        <v>4048</v>
      </c>
      <c r="N338">
        <v>4.68</v>
      </c>
      <c r="O338">
        <v>4.68</v>
      </c>
      <c r="P338" s="6">
        <v>42023.817847222221</v>
      </c>
      <c r="Q338" t="s">
        <v>3896</v>
      </c>
      <c r="R338" t="s">
        <v>11563</v>
      </c>
      <c r="S338" t="s">
        <v>3581</v>
      </c>
      <c r="T338">
        <v>14</v>
      </c>
      <c r="V338" t="b">
        <v>1</v>
      </c>
      <c r="Y338" s="6">
        <v>42037.431944444441</v>
      </c>
    </row>
    <row r="339" spans="1:25" x14ac:dyDescent="0.25">
      <c r="A339" t="s">
        <v>12304</v>
      </c>
      <c r="B339" t="s">
        <v>12305</v>
      </c>
      <c r="C339">
        <v>2.5499999999999998</v>
      </c>
      <c r="D339" t="s">
        <v>3900</v>
      </c>
      <c r="E339" t="s">
        <v>4277</v>
      </c>
      <c r="F339" s="18">
        <v>41974</v>
      </c>
      <c r="G339" s="18">
        <v>42000</v>
      </c>
      <c r="H339" s="18" t="str">
        <f>IFERROR(INDEX('Docs Signed Input'!B:B,MATCH('Nate''s Evolution'!$B339,'Docs Signed Input'!E:E,0)),"N")</f>
        <v>Y</v>
      </c>
      <c r="I339" s="18" t="str">
        <f>IFERROR(INDEX('Docs Signed Input'!C:C,MATCH('Nate''s Evolution'!B339,'Docs Signed Input'!E:E,0)),"N")</f>
        <v>Y</v>
      </c>
      <c r="J339" s="18">
        <v>42011</v>
      </c>
      <c r="K339" s="18">
        <v>42019</v>
      </c>
      <c r="L339" t="s">
        <v>2258</v>
      </c>
      <c r="M339" t="s">
        <v>6056</v>
      </c>
      <c r="N339">
        <v>2.5499999999999998</v>
      </c>
      <c r="O339">
        <v>2.5499999999999998</v>
      </c>
      <c r="P339" s="6">
        <v>42024.470717592594</v>
      </c>
      <c r="Q339" t="s">
        <v>3896</v>
      </c>
      <c r="R339" t="s">
        <v>11563</v>
      </c>
      <c r="S339" t="s">
        <v>3485</v>
      </c>
      <c r="T339">
        <v>13</v>
      </c>
      <c r="W339" t="b">
        <v>1</v>
      </c>
      <c r="Y339" s="6">
        <v>42037.431944444441</v>
      </c>
    </row>
    <row r="340" spans="1:25" x14ac:dyDescent="0.25">
      <c r="A340" t="s">
        <v>12314</v>
      </c>
      <c r="B340" t="s">
        <v>12315</v>
      </c>
      <c r="C340">
        <v>8.5</v>
      </c>
      <c r="D340" t="s">
        <v>3893</v>
      </c>
      <c r="E340" t="s">
        <v>3894</v>
      </c>
      <c r="F340" s="18">
        <v>41974</v>
      </c>
      <c r="G340" s="18">
        <v>42000</v>
      </c>
      <c r="H340" s="18" t="str">
        <f>IFERROR(INDEX('Docs Signed Input'!B:B,MATCH('Nate''s Evolution'!$B340,'Docs Signed Input'!E:E,0)),"N")</f>
        <v>N</v>
      </c>
      <c r="I340" s="18" t="str">
        <f>IFERROR(INDEX('Docs Signed Input'!C:C,MATCH('Nate''s Evolution'!B340,'Docs Signed Input'!E:E,0)),"N")</f>
        <v>N</v>
      </c>
      <c r="L340" t="s">
        <v>2258</v>
      </c>
      <c r="M340" t="s">
        <v>3930</v>
      </c>
      <c r="N340">
        <v>8.5</v>
      </c>
      <c r="O340">
        <v>12</v>
      </c>
      <c r="P340" s="6">
        <v>42035.818124999998</v>
      </c>
      <c r="Q340" t="s">
        <v>3896</v>
      </c>
      <c r="R340" t="s">
        <v>13037</v>
      </c>
      <c r="S340" t="s">
        <v>11455</v>
      </c>
      <c r="T340">
        <v>2</v>
      </c>
      <c r="X340" t="b">
        <v>1</v>
      </c>
      <c r="Y340" s="6">
        <v>42037.431944444441</v>
      </c>
    </row>
    <row r="341" spans="1:25" x14ac:dyDescent="0.25">
      <c r="A341" t="s">
        <v>12316</v>
      </c>
      <c r="B341" t="s">
        <v>12317</v>
      </c>
      <c r="C341">
        <v>4</v>
      </c>
      <c r="D341" t="s">
        <v>3922</v>
      </c>
      <c r="E341" t="s">
        <v>3951</v>
      </c>
      <c r="F341" s="18">
        <v>41974</v>
      </c>
      <c r="G341" s="18">
        <v>42000</v>
      </c>
      <c r="H341" s="18" t="str">
        <f>IFERROR(INDEX('Docs Signed Input'!B:B,MATCH('Nate''s Evolution'!$B341,'Docs Signed Input'!E:E,0)),"N")</f>
        <v>Y</v>
      </c>
      <c r="I341" s="18" t="str">
        <f>IFERROR(INDEX('Docs Signed Input'!C:C,MATCH('Nate''s Evolution'!B341,'Docs Signed Input'!E:E,0)),"N")</f>
        <v>Y</v>
      </c>
      <c r="J341" s="18">
        <v>42007</v>
      </c>
      <c r="K341" s="18">
        <v>42040</v>
      </c>
      <c r="L341" t="s">
        <v>2258</v>
      </c>
      <c r="M341" t="s">
        <v>4000</v>
      </c>
      <c r="N341">
        <v>4</v>
      </c>
      <c r="O341">
        <v>4</v>
      </c>
      <c r="P341" s="6">
        <v>42036.339583333334</v>
      </c>
      <c r="Q341" t="s">
        <v>3896</v>
      </c>
      <c r="R341" t="s">
        <v>4728</v>
      </c>
      <c r="S341" t="s">
        <v>3943</v>
      </c>
      <c r="T341">
        <v>1</v>
      </c>
      <c r="X341" t="b">
        <v>1</v>
      </c>
      <c r="Y341" s="6">
        <v>42037.431944444441</v>
      </c>
    </row>
    <row r="342" spans="1:25" x14ac:dyDescent="0.25">
      <c r="A342" t="s">
        <v>12321</v>
      </c>
      <c r="B342" t="s">
        <v>12322</v>
      </c>
      <c r="C342">
        <v>6.63</v>
      </c>
      <c r="D342" t="s">
        <v>3893</v>
      </c>
      <c r="E342" t="s">
        <v>3894</v>
      </c>
      <c r="F342" s="18">
        <v>41974</v>
      </c>
      <c r="G342" s="18">
        <v>42000</v>
      </c>
      <c r="H342" s="18" t="str">
        <f>IFERROR(INDEX('Docs Signed Input'!B:B,MATCH('Nate''s Evolution'!$B342,'Docs Signed Input'!E:E,0)),"N")</f>
        <v>N</v>
      </c>
      <c r="I342" s="18" t="str">
        <f>IFERROR(INDEX('Docs Signed Input'!C:C,MATCH('Nate''s Evolution'!B342,'Docs Signed Input'!E:E,0)),"N")</f>
        <v>N</v>
      </c>
      <c r="L342" t="s">
        <v>2258</v>
      </c>
      <c r="M342" t="s">
        <v>3933</v>
      </c>
      <c r="N342">
        <v>6</v>
      </c>
      <c r="O342">
        <v>6.63</v>
      </c>
      <c r="P342" s="6">
        <v>42035.818124999998</v>
      </c>
      <c r="Q342" t="s">
        <v>3896</v>
      </c>
      <c r="R342" t="s">
        <v>11563</v>
      </c>
      <c r="S342" t="s">
        <v>12308</v>
      </c>
      <c r="T342">
        <v>2</v>
      </c>
      <c r="X342" t="b">
        <v>1</v>
      </c>
      <c r="Y342" s="6">
        <v>42037.431944444441</v>
      </c>
    </row>
    <row r="343" spans="1:25" x14ac:dyDescent="0.25">
      <c r="A343" t="s">
        <v>12327</v>
      </c>
      <c r="B343" t="s">
        <v>12328</v>
      </c>
      <c r="C343">
        <v>5.25</v>
      </c>
      <c r="D343" t="s">
        <v>3893</v>
      </c>
      <c r="E343" t="s">
        <v>3894</v>
      </c>
      <c r="F343" s="18">
        <v>41974</v>
      </c>
      <c r="G343" s="18">
        <v>42000</v>
      </c>
      <c r="H343" s="18" t="str">
        <f>IFERROR(INDEX('Docs Signed Input'!B:B,MATCH('Nate''s Evolution'!$B343,'Docs Signed Input'!E:E,0)),"N")</f>
        <v>Y</v>
      </c>
      <c r="I343" s="18" t="str">
        <f>IFERROR(INDEX('Docs Signed Input'!C:C,MATCH('Nate''s Evolution'!B343,'Docs Signed Input'!E:E,0)),"N")</f>
        <v>Y</v>
      </c>
      <c r="L343" t="s">
        <v>2258</v>
      </c>
      <c r="M343" t="s">
        <v>3930</v>
      </c>
      <c r="N343">
        <v>5.25</v>
      </c>
      <c r="O343">
        <v>12</v>
      </c>
      <c r="P343" s="6">
        <v>42035.818124999998</v>
      </c>
      <c r="Q343" t="s">
        <v>3896</v>
      </c>
      <c r="S343" t="s">
        <v>2429</v>
      </c>
      <c r="T343">
        <v>2</v>
      </c>
      <c r="X343" t="b">
        <v>1</v>
      </c>
      <c r="Y343" s="6">
        <v>42037.431944444441</v>
      </c>
    </row>
    <row r="344" spans="1:25" x14ac:dyDescent="0.25">
      <c r="A344" t="s">
        <v>12338</v>
      </c>
      <c r="B344" t="s">
        <v>12339</v>
      </c>
      <c r="C344">
        <v>5.8650000000000002</v>
      </c>
      <c r="D344" t="s">
        <v>3909</v>
      </c>
      <c r="E344" t="s">
        <v>3937</v>
      </c>
      <c r="F344" s="18">
        <v>41974</v>
      </c>
      <c r="G344" s="18">
        <v>42000</v>
      </c>
      <c r="H344" s="18" t="str">
        <f>IFERROR(INDEX('Docs Signed Input'!B:B,MATCH('Nate''s Evolution'!$B344,'Docs Signed Input'!E:E,0)),"N")</f>
        <v>N</v>
      </c>
      <c r="I344" s="18" t="str">
        <f>IFERROR(INDEX('Docs Signed Input'!C:C,MATCH('Nate''s Evolution'!B344,'Docs Signed Input'!E:E,0)),"N")</f>
        <v>N</v>
      </c>
      <c r="L344" t="s">
        <v>2258</v>
      </c>
      <c r="M344" t="s">
        <v>3933</v>
      </c>
      <c r="N344">
        <v>5.8650000000000002</v>
      </c>
      <c r="O344">
        <v>9.5</v>
      </c>
      <c r="P344" s="6">
        <v>42031.481782407405</v>
      </c>
      <c r="Q344" t="s">
        <v>3896</v>
      </c>
      <c r="R344" t="s">
        <v>11563</v>
      </c>
      <c r="S344" t="s">
        <v>12308</v>
      </c>
      <c r="T344">
        <v>6</v>
      </c>
      <c r="V344" t="b">
        <v>1</v>
      </c>
      <c r="Y344" s="6">
        <v>42037.431944444441</v>
      </c>
    </row>
    <row r="345" spans="1:25" x14ac:dyDescent="0.25">
      <c r="A345" t="s">
        <v>12340</v>
      </c>
      <c r="B345" t="s">
        <v>12341</v>
      </c>
      <c r="C345">
        <v>5</v>
      </c>
      <c r="D345" t="s">
        <v>3922</v>
      </c>
      <c r="E345" t="s">
        <v>3985</v>
      </c>
      <c r="F345" s="18">
        <v>41974</v>
      </c>
      <c r="G345" s="18">
        <v>42000</v>
      </c>
      <c r="H345" s="18" t="str">
        <f>IFERROR(INDEX('Docs Signed Input'!B:B,MATCH('Nate''s Evolution'!$B345,'Docs Signed Input'!E:E,0)),"N")</f>
        <v>Y</v>
      </c>
      <c r="I345" s="18" t="str">
        <f>IFERROR(INDEX('Docs Signed Input'!C:C,MATCH('Nate''s Evolution'!B345,'Docs Signed Input'!E:E,0)),"N")</f>
        <v>Y</v>
      </c>
      <c r="J345" s="18">
        <v>42001</v>
      </c>
      <c r="L345" t="s">
        <v>2258</v>
      </c>
      <c r="M345" t="s">
        <v>4000</v>
      </c>
      <c r="N345">
        <v>5</v>
      </c>
      <c r="O345">
        <v>5</v>
      </c>
      <c r="P345" s="6">
        <v>42018.329629629632</v>
      </c>
      <c r="Q345" t="s">
        <v>3896</v>
      </c>
      <c r="S345" t="s">
        <v>3438</v>
      </c>
      <c r="T345">
        <v>19</v>
      </c>
      <c r="X345" t="b">
        <v>1</v>
      </c>
      <c r="Y345" s="6">
        <v>42037.431944444441</v>
      </c>
    </row>
    <row r="346" spans="1:25" x14ac:dyDescent="0.25">
      <c r="A346" t="s">
        <v>12358</v>
      </c>
      <c r="B346" t="s">
        <v>12359</v>
      </c>
      <c r="C346">
        <v>5.8650000000000002</v>
      </c>
      <c r="D346" t="s">
        <v>3893</v>
      </c>
      <c r="E346" t="s">
        <v>3894</v>
      </c>
      <c r="F346" s="18">
        <v>41974</v>
      </c>
      <c r="G346" s="18">
        <v>42002</v>
      </c>
      <c r="H346" s="18" t="str">
        <f>IFERROR(INDEX('Docs Signed Input'!B:B,MATCH('Nate''s Evolution'!$B346,'Docs Signed Input'!E:E,0)),"N")</f>
        <v>Y</v>
      </c>
      <c r="I346" s="18" t="str">
        <f>IFERROR(INDEX('Docs Signed Input'!C:C,MATCH('Nate''s Evolution'!B346,'Docs Signed Input'!E:E,0)),"N")</f>
        <v>N</v>
      </c>
      <c r="L346" t="s">
        <v>2258</v>
      </c>
      <c r="M346" t="s">
        <v>12976</v>
      </c>
      <c r="N346">
        <v>5.8650000000000002</v>
      </c>
      <c r="O346">
        <v>7.65</v>
      </c>
      <c r="P346" s="6">
        <v>42036.818182870367</v>
      </c>
      <c r="Q346" t="s">
        <v>3896</v>
      </c>
      <c r="R346" t="s">
        <v>11687</v>
      </c>
      <c r="S346" t="s">
        <v>3943</v>
      </c>
      <c r="T346">
        <v>1</v>
      </c>
      <c r="X346" t="b">
        <v>1</v>
      </c>
      <c r="Y346" s="6">
        <v>42037.431944444441</v>
      </c>
    </row>
    <row r="347" spans="1:25" x14ac:dyDescent="0.25">
      <c r="A347" t="s">
        <v>12372</v>
      </c>
      <c r="B347" t="s">
        <v>12373</v>
      </c>
      <c r="C347">
        <v>3.3149999999999999</v>
      </c>
      <c r="D347" t="s">
        <v>3922</v>
      </c>
      <c r="E347" t="s">
        <v>3923</v>
      </c>
      <c r="F347" s="18">
        <v>41974</v>
      </c>
      <c r="G347" s="18">
        <v>42002</v>
      </c>
      <c r="H347" s="18" t="str">
        <f>IFERROR(INDEX('Docs Signed Input'!B:B,MATCH('Nate''s Evolution'!$B347,'Docs Signed Input'!E:E,0)),"N")</f>
        <v>N</v>
      </c>
      <c r="I347" s="18" t="str">
        <f>IFERROR(INDEX('Docs Signed Input'!C:C,MATCH('Nate''s Evolution'!B347,'Docs Signed Input'!E:E,0)),"N")</f>
        <v>Y</v>
      </c>
      <c r="J347" s="18">
        <v>42010</v>
      </c>
      <c r="L347" t="s">
        <v>2258</v>
      </c>
      <c r="M347" t="s">
        <v>4317</v>
      </c>
      <c r="N347">
        <v>3.3149999999999999</v>
      </c>
      <c r="O347">
        <v>3.3149999999999999</v>
      </c>
      <c r="P347" s="6">
        <v>42035.818124999998</v>
      </c>
      <c r="Q347" t="s">
        <v>3896</v>
      </c>
      <c r="R347" t="s">
        <v>11563</v>
      </c>
      <c r="S347" t="s">
        <v>3566</v>
      </c>
      <c r="T347">
        <v>2</v>
      </c>
      <c r="X347" t="b">
        <v>1</v>
      </c>
      <c r="Y347" s="6">
        <v>42037.431944444441</v>
      </c>
    </row>
    <row r="348" spans="1:25" x14ac:dyDescent="0.25">
      <c r="A348" t="s">
        <v>12376</v>
      </c>
      <c r="B348" t="s">
        <v>12377</v>
      </c>
      <c r="C348">
        <v>8.4149999999999991</v>
      </c>
      <c r="D348" t="s">
        <v>3893</v>
      </c>
      <c r="E348" t="s">
        <v>3894</v>
      </c>
      <c r="F348" s="18">
        <v>41974</v>
      </c>
      <c r="G348" s="18">
        <v>42002</v>
      </c>
      <c r="H348" s="18" t="str">
        <f>IFERROR(INDEX('Docs Signed Input'!B:B,MATCH('Nate''s Evolution'!$B348,'Docs Signed Input'!E:E,0)),"N")</f>
        <v>N</v>
      </c>
      <c r="I348" s="18" t="str">
        <f>IFERROR(INDEX('Docs Signed Input'!C:C,MATCH('Nate''s Evolution'!B348,'Docs Signed Input'!E:E,0)),"N")</f>
        <v>N</v>
      </c>
      <c r="L348" t="s">
        <v>2258</v>
      </c>
      <c r="M348" t="s">
        <v>3932</v>
      </c>
      <c r="N348">
        <v>8.4149999999999991</v>
      </c>
      <c r="O348">
        <v>11.22</v>
      </c>
      <c r="P348" s="6">
        <v>42035.818124999998</v>
      </c>
      <c r="Q348" t="s">
        <v>3896</v>
      </c>
      <c r="R348" t="s">
        <v>11563</v>
      </c>
      <c r="S348" t="s">
        <v>3712</v>
      </c>
      <c r="T348">
        <v>2</v>
      </c>
      <c r="X348" t="b">
        <v>1</v>
      </c>
      <c r="Y348" s="6">
        <v>42037.431944444441</v>
      </c>
    </row>
    <row r="349" spans="1:25" x14ac:dyDescent="0.25">
      <c r="A349" t="s">
        <v>12396</v>
      </c>
      <c r="B349" t="s">
        <v>12397</v>
      </c>
      <c r="C349">
        <v>3.25</v>
      </c>
      <c r="D349" t="s">
        <v>3893</v>
      </c>
      <c r="E349" t="s">
        <v>3916</v>
      </c>
      <c r="F349" s="18">
        <v>41974</v>
      </c>
      <c r="G349" s="18">
        <v>42002</v>
      </c>
      <c r="H349" s="18" t="str">
        <f>IFERROR(INDEX('Docs Signed Input'!B:B,MATCH('Nate''s Evolution'!$B349,'Docs Signed Input'!E:E,0)),"N")</f>
        <v>Y</v>
      </c>
      <c r="I349" s="18" t="str">
        <f>IFERROR(INDEX('Docs Signed Input'!C:C,MATCH('Nate''s Evolution'!B349,'Docs Signed Input'!E:E,0)),"N")</f>
        <v>N</v>
      </c>
      <c r="L349" t="s">
        <v>2258</v>
      </c>
      <c r="M349" t="s">
        <v>12976</v>
      </c>
      <c r="N349">
        <v>3.25</v>
      </c>
      <c r="O349">
        <v>3.75</v>
      </c>
      <c r="P349" s="6">
        <v>42035.818124999998</v>
      </c>
      <c r="Q349" t="s">
        <v>3896</v>
      </c>
      <c r="R349" t="s">
        <v>3921</v>
      </c>
      <c r="S349" t="s">
        <v>3438</v>
      </c>
      <c r="T349">
        <v>2</v>
      </c>
      <c r="X349" t="b">
        <v>1</v>
      </c>
      <c r="Y349" s="6">
        <v>42037.431944444441</v>
      </c>
    </row>
    <row r="350" spans="1:25" x14ac:dyDescent="0.25">
      <c r="A350" t="s">
        <v>12398</v>
      </c>
      <c r="B350" t="s">
        <v>12399</v>
      </c>
      <c r="C350">
        <v>3.3149999999999999</v>
      </c>
      <c r="D350" t="s">
        <v>2230</v>
      </c>
      <c r="E350" t="s">
        <v>3984</v>
      </c>
      <c r="F350" s="18">
        <v>41974</v>
      </c>
      <c r="G350" s="18">
        <v>42002</v>
      </c>
      <c r="H350" s="18" t="str">
        <f>IFERROR(INDEX('Docs Signed Input'!B:B,MATCH('Nate''s Evolution'!$B350,'Docs Signed Input'!E:E,0)),"N")</f>
        <v>N</v>
      </c>
      <c r="I350" s="18" t="str">
        <f>IFERROR(INDEX('Docs Signed Input'!C:C,MATCH('Nate''s Evolution'!B350,'Docs Signed Input'!E:E,0)),"N")</f>
        <v>N</v>
      </c>
      <c r="L350" t="s">
        <v>2258</v>
      </c>
      <c r="M350" t="s">
        <v>3948</v>
      </c>
      <c r="N350">
        <v>3.3149999999999999</v>
      </c>
      <c r="O350">
        <v>3.3149999999999999</v>
      </c>
      <c r="P350" s="6">
        <v>42011.817465277774</v>
      </c>
      <c r="Q350" t="s">
        <v>3896</v>
      </c>
      <c r="R350" t="s">
        <v>11563</v>
      </c>
      <c r="S350" t="s">
        <v>3485</v>
      </c>
      <c r="T350">
        <v>26</v>
      </c>
      <c r="U350" t="b">
        <v>1</v>
      </c>
      <c r="Y350" s="6">
        <v>42037.431944444441</v>
      </c>
    </row>
    <row r="351" spans="1:25" x14ac:dyDescent="0.25">
      <c r="A351" t="s">
        <v>12319</v>
      </c>
      <c r="B351" t="s">
        <v>12320</v>
      </c>
      <c r="C351">
        <v>6.63</v>
      </c>
      <c r="D351" t="s">
        <v>3893</v>
      </c>
      <c r="E351" t="s">
        <v>3894</v>
      </c>
      <c r="F351" s="18">
        <v>41974</v>
      </c>
      <c r="G351" s="18">
        <v>42002</v>
      </c>
      <c r="H351" s="18" t="str">
        <f>IFERROR(INDEX('Docs Signed Input'!B:B,MATCH('Nate''s Evolution'!$B351,'Docs Signed Input'!E:E,0)),"N")</f>
        <v>N</v>
      </c>
      <c r="I351" s="18" t="str">
        <f>IFERROR(INDEX('Docs Signed Input'!C:C,MATCH('Nate''s Evolution'!B351,'Docs Signed Input'!E:E,0)),"N")</f>
        <v>N</v>
      </c>
      <c r="L351" t="s">
        <v>2258</v>
      </c>
      <c r="M351" t="s">
        <v>4032</v>
      </c>
      <c r="N351">
        <v>6.5</v>
      </c>
      <c r="O351">
        <v>6.63</v>
      </c>
      <c r="P351" s="6">
        <v>42035.818124999998</v>
      </c>
      <c r="Q351" t="s">
        <v>3896</v>
      </c>
      <c r="R351" t="s">
        <v>3918</v>
      </c>
      <c r="S351" t="s">
        <v>12210</v>
      </c>
      <c r="T351">
        <v>2</v>
      </c>
      <c r="X351" t="b">
        <v>1</v>
      </c>
      <c r="Y351" s="6">
        <v>42037.431944444441</v>
      </c>
    </row>
    <row r="352" spans="1:25" x14ac:dyDescent="0.25">
      <c r="A352" t="s">
        <v>12411</v>
      </c>
      <c r="B352" t="s">
        <v>12412</v>
      </c>
      <c r="C352">
        <v>3.8250000000000002</v>
      </c>
      <c r="D352" t="s">
        <v>3893</v>
      </c>
      <c r="E352" t="s">
        <v>3941</v>
      </c>
      <c r="F352" s="18">
        <v>41974</v>
      </c>
      <c r="G352" s="18">
        <v>42002</v>
      </c>
      <c r="H352" s="18" t="str">
        <f>IFERROR(INDEX('Docs Signed Input'!B:B,MATCH('Nate''s Evolution'!$B352,'Docs Signed Input'!E:E,0)),"N")</f>
        <v>Y</v>
      </c>
      <c r="I352" s="18" t="str">
        <f>IFERROR(INDEX('Docs Signed Input'!C:C,MATCH('Nate''s Evolution'!B352,'Docs Signed Input'!E:E,0)),"N")</f>
        <v>N</v>
      </c>
      <c r="L352" t="s">
        <v>2258</v>
      </c>
      <c r="M352" t="s">
        <v>3933</v>
      </c>
      <c r="N352">
        <v>3.8250000000000002</v>
      </c>
      <c r="O352">
        <v>3.8250000000000002</v>
      </c>
      <c r="P352" s="6">
        <v>42035.818124999998</v>
      </c>
      <c r="Q352" t="s">
        <v>3896</v>
      </c>
      <c r="R352" t="s">
        <v>3921</v>
      </c>
      <c r="S352" t="s">
        <v>12267</v>
      </c>
      <c r="T352">
        <v>2</v>
      </c>
      <c r="X352" t="b">
        <v>1</v>
      </c>
      <c r="Y352" s="6">
        <v>42037.431944444441</v>
      </c>
    </row>
    <row r="353" spans="1:25" x14ac:dyDescent="0.25">
      <c r="A353" t="s">
        <v>12415</v>
      </c>
      <c r="B353" t="s">
        <v>12416</v>
      </c>
      <c r="C353">
        <v>3.3149999999999999</v>
      </c>
      <c r="D353" t="s">
        <v>3893</v>
      </c>
      <c r="E353" t="s">
        <v>4117</v>
      </c>
      <c r="F353" s="18">
        <v>41974</v>
      </c>
      <c r="G353" s="18">
        <v>42002</v>
      </c>
      <c r="H353" s="18" t="str">
        <f>IFERROR(INDEX('Docs Signed Input'!B:B,MATCH('Nate''s Evolution'!$B353,'Docs Signed Input'!E:E,0)),"N")</f>
        <v>N</v>
      </c>
      <c r="I353" s="18" t="str">
        <f>IFERROR(INDEX('Docs Signed Input'!C:C,MATCH('Nate''s Evolution'!B353,'Docs Signed Input'!E:E,0)),"N")</f>
        <v>N</v>
      </c>
      <c r="L353" t="s">
        <v>2258</v>
      </c>
      <c r="M353" t="s">
        <v>4317</v>
      </c>
      <c r="N353">
        <v>3.3149999999999999</v>
      </c>
      <c r="O353">
        <v>3.3149999999999999</v>
      </c>
      <c r="P353" s="6">
        <v>42035.818124999998</v>
      </c>
      <c r="Q353" t="s">
        <v>3896</v>
      </c>
      <c r="S353" t="s">
        <v>12122</v>
      </c>
      <c r="T353">
        <v>2</v>
      </c>
      <c r="X353" t="b">
        <v>1</v>
      </c>
      <c r="Y353" s="6">
        <v>42037.431944444441</v>
      </c>
    </row>
    <row r="354" spans="1:25" x14ac:dyDescent="0.25">
      <c r="A354" t="s">
        <v>12428</v>
      </c>
      <c r="B354" t="s">
        <v>12429</v>
      </c>
      <c r="C354">
        <v>2.86</v>
      </c>
      <c r="D354" t="s">
        <v>3893</v>
      </c>
      <c r="E354" t="s">
        <v>3894</v>
      </c>
      <c r="F354" s="18">
        <v>41974</v>
      </c>
      <c r="G354" s="18">
        <v>42002</v>
      </c>
      <c r="H354" s="18" t="str">
        <f>IFERROR(INDEX('Docs Signed Input'!B:B,MATCH('Nate''s Evolution'!$B354,'Docs Signed Input'!E:E,0)),"N")</f>
        <v>N</v>
      </c>
      <c r="I354" s="18" t="str">
        <f>IFERROR(INDEX('Docs Signed Input'!C:C,MATCH('Nate''s Evolution'!B354,'Docs Signed Input'!E:E,0)),"N")</f>
        <v>N</v>
      </c>
      <c r="L354" t="s">
        <v>2258</v>
      </c>
      <c r="M354" t="s">
        <v>4048</v>
      </c>
      <c r="N354">
        <v>2.86</v>
      </c>
      <c r="O354">
        <v>3.9</v>
      </c>
      <c r="P354" s="6">
        <v>42035.818124999998</v>
      </c>
      <c r="Q354" t="s">
        <v>3896</v>
      </c>
      <c r="R354" t="s">
        <v>11563</v>
      </c>
      <c r="S354" t="s">
        <v>3485</v>
      </c>
      <c r="T354">
        <v>2</v>
      </c>
      <c r="X354" t="b">
        <v>1</v>
      </c>
      <c r="Y354" s="6">
        <v>42037.431944444441</v>
      </c>
    </row>
    <row r="355" spans="1:25" x14ac:dyDescent="0.25">
      <c r="A355" t="s">
        <v>12364</v>
      </c>
      <c r="B355" t="s">
        <v>12365</v>
      </c>
      <c r="C355">
        <v>9.4350000000000005</v>
      </c>
      <c r="D355" t="s">
        <v>3893</v>
      </c>
      <c r="E355" t="s">
        <v>3916</v>
      </c>
      <c r="F355" s="18">
        <v>41974</v>
      </c>
      <c r="G355" s="18">
        <v>42003</v>
      </c>
      <c r="H355" s="18" t="str">
        <f>IFERROR(INDEX('Docs Signed Input'!B:B,MATCH('Nate''s Evolution'!$B355,'Docs Signed Input'!E:E,0)),"N")</f>
        <v>N</v>
      </c>
      <c r="I355" s="18" t="str">
        <f>IFERROR(INDEX('Docs Signed Input'!C:C,MATCH('Nate''s Evolution'!B355,'Docs Signed Input'!E:E,0)),"N")</f>
        <v>N</v>
      </c>
      <c r="L355" t="s">
        <v>2258</v>
      </c>
      <c r="M355" t="s">
        <v>3948</v>
      </c>
      <c r="N355">
        <v>5.61</v>
      </c>
      <c r="O355">
        <v>9.4350000000000005</v>
      </c>
      <c r="P355" s="6">
        <v>42035.818124999998</v>
      </c>
      <c r="Q355" t="s">
        <v>3896</v>
      </c>
      <c r="R355" t="s">
        <v>3918</v>
      </c>
      <c r="S355" t="s">
        <v>3766</v>
      </c>
      <c r="T355">
        <v>2</v>
      </c>
      <c r="X355" t="b">
        <v>1</v>
      </c>
      <c r="Y355" s="6">
        <v>42037.431944444441</v>
      </c>
    </row>
    <row r="356" spans="1:25" x14ac:dyDescent="0.25">
      <c r="A356" t="s">
        <v>12370</v>
      </c>
      <c r="B356" t="s">
        <v>12371</v>
      </c>
      <c r="C356">
        <v>8.4149999999999991</v>
      </c>
      <c r="D356" t="s">
        <v>3893</v>
      </c>
      <c r="E356" t="s">
        <v>3894</v>
      </c>
      <c r="F356" s="18">
        <v>41974</v>
      </c>
      <c r="G356" s="18">
        <v>42003</v>
      </c>
      <c r="H356" s="18" t="str">
        <f>IFERROR(INDEX('Docs Signed Input'!B:B,MATCH('Nate''s Evolution'!$B356,'Docs Signed Input'!E:E,0)),"N")</f>
        <v>Y</v>
      </c>
      <c r="I356" s="18" t="str">
        <f>IFERROR(INDEX('Docs Signed Input'!C:C,MATCH('Nate''s Evolution'!B356,'Docs Signed Input'!E:E,0)),"N")</f>
        <v>Y</v>
      </c>
      <c r="J356" s="18">
        <v>42006</v>
      </c>
      <c r="L356" t="s">
        <v>2258</v>
      </c>
      <c r="M356" t="s">
        <v>3948</v>
      </c>
      <c r="N356">
        <v>8.25</v>
      </c>
      <c r="O356">
        <v>8.67</v>
      </c>
      <c r="P356" s="6">
        <v>42035.818124999998</v>
      </c>
      <c r="Q356" t="s">
        <v>3896</v>
      </c>
      <c r="R356" t="s">
        <v>13036</v>
      </c>
      <c r="S356" t="s">
        <v>2251</v>
      </c>
      <c r="T356">
        <v>2</v>
      </c>
      <c r="X356" t="b">
        <v>1</v>
      </c>
      <c r="Y356" s="6">
        <v>42037.431944444441</v>
      </c>
    </row>
    <row r="357" spans="1:25" x14ac:dyDescent="0.25">
      <c r="A357" t="s">
        <v>12378</v>
      </c>
      <c r="B357" t="s">
        <v>12379</v>
      </c>
      <c r="C357">
        <v>8.4149999999999991</v>
      </c>
      <c r="D357" t="s">
        <v>3893</v>
      </c>
      <c r="E357" t="s">
        <v>4060</v>
      </c>
      <c r="F357" s="18">
        <v>41974</v>
      </c>
      <c r="G357" s="18">
        <v>42003</v>
      </c>
      <c r="H357" s="18" t="str">
        <f>IFERROR(INDEX('Docs Signed Input'!B:B,MATCH('Nate''s Evolution'!$B357,'Docs Signed Input'!E:E,0)),"N")</f>
        <v>N</v>
      </c>
      <c r="I357" s="18" t="str">
        <f>IFERROR(INDEX('Docs Signed Input'!C:C,MATCH('Nate''s Evolution'!B357,'Docs Signed Input'!E:E,0)),"N")</f>
        <v>N</v>
      </c>
      <c r="L357" t="s">
        <v>2258</v>
      </c>
      <c r="M357" t="s">
        <v>3932</v>
      </c>
      <c r="N357">
        <v>8.4149999999999991</v>
      </c>
      <c r="O357">
        <v>10.199999999999999</v>
      </c>
      <c r="P357" s="6">
        <v>42035.818124999998</v>
      </c>
      <c r="Q357" t="s">
        <v>3896</v>
      </c>
      <c r="R357" t="s">
        <v>3897</v>
      </c>
      <c r="S357" t="s">
        <v>3589</v>
      </c>
      <c r="T357">
        <v>2</v>
      </c>
      <c r="X357" t="b">
        <v>1</v>
      </c>
      <c r="Y357" s="6">
        <v>42037.431944444441</v>
      </c>
    </row>
    <row r="358" spans="1:25" x14ac:dyDescent="0.25">
      <c r="A358" t="s">
        <v>12380</v>
      </c>
      <c r="B358" t="s">
        <v>12381</v>
      </c>
      <c r="C358">
        <v>5.0999999999999996</v>
      </c>
      <c r="D358" t="s">
        <v>3893</v>
      </c>
      <c r="E358" t="s">
        <v>3989</v>
      </c>
      <c r="F358" s="18">
        <v>41974</v>
      </c>
      <c r="G358" s="18">
        <v>42003</v>
      </c>
      <c r="H358" s="18" t="str">
        <f>IFERROR(INDEX('Docs Signed Input'!B:B,MATCH('Nate''s Evolution'!$B358,'Docs Signed Input'!E:E,0)),"N")</f>
        <v>N</v>
      </c>
      <c r="I358" s="18" t="str">
        <f>IFERROR(INDEX('Docs Signed Input'!C:C,MATCH('Nate''s Evolution'!B358,'Docs Signed Input'!E:E,0)),"N")</f>
        <v>N</v>
      </c>
      <c r="L358" t="s">
        <v>2258</v>
      </c>
      <c r="M358" t="s">
        <v>3932</v>
      </c>
      <c r="N358">
        <v>5.0999999999999996</v>
      </c>
      <c r="O358">
        <v>5.0999999999999996</v>
      </c>
      <c r="P358" s="6">
        <v>42035.818124999998</v>
      </c>
      <c r="Q358" t="s">
        <v>3896</v>
      </c>
      <c r="R358" t="s">
        <v>3911</v>
      </c>
      <c r="S358" t="s">
        <v>3589</v>
      </c>
      <c r="T358">
        <v>2</v>
      </c>
      <c r="X358" t="b">
        <v>1</v>
      </c>
      <c r="Y358" s="6">
        <v>42037.431944444441</v>
      </c>
    </row>
    <row r="359" spans="1:25" x14ac:dyDescent="0.25">
      <c r="A359" t="s">
        <v>12391</v>
      </c>
      <c r="B359" t="s">
        <v>12392</v>
      </c>
      <c r="C359">
        <v>8.16</v>
      </c>
      <c r="D359" t="s">
        <v>3893</v>
      </c>
      <c r="E359" t="s">
        <v>4888</v>
      </c>
      <c r="F359" s="18">
        <v>41974</v>
      </c>
      <c r="G359" s="18">
        <v>42003</v>
      </c>
      <c r="H359" s="18" t="str">
        <f>IFERROR(INDEX('Docs Signed Input'!B:B,MATCH('Nate''s Evolution'!$B359,'Docs Signed Input'!E:E,0)),"N")</f>
        <v>Y</v>
      </c>
      <c r="I359" s="18" t="str">
        <f>IFERROR(INDEX('Docs Signed Input'!C:C,MATCH('Nate''s Evolution'!B359,'Docs Signed Input'!E:E,0)),"N")</f>
        <v>Y</v>
      </c>
      <c r="J359" s="18">
        <v>42006</v>
      </c>
      <c r="L359" t="s">
        <v>2258</v>
      </c>
      <c r="M359" t="s">
        <v>3948</v>
      </c>
      <c r="N359">
        <v>8.16</v>
      </c>
      <c r="O359">
        <v>8.16</v>
      </c>
      <c r="P359" s="6">
        <v>42035.818124999998</v>
      </c>
      <c r="Q359" t="s">
        <v>3896</v>
      </c>
      <c r="R359" t="s">
        <v>7828</v>
      </c>
      <c r="S359" t="s">
        <v>3766</v>
      </c>
      <c r="T359">
        <v>2</v>
      </c>
      <c r="X359" t="b">
        <v>1</v>
      </c>
      <c r="Y359" s="6">
        <v>42037.431944444441</v>
      </c>
    </row>
    <row r="360" spans="1:25" x14ac:dyDescent="0.25">
      <c r="A360" t="s">
        <v>12400</v>
      </c>
      <c r="B360" t="s">
        <v>12401</v>
      </c>
      <c r="C360">
        <v>4.08</v>
      </c>
      <c r="D360" t="s">
        <v>3893</v>
      </c>
      <c r="E360" t="s">
        <v>3894</v>
      </c>
      <c r="F360" s="18">
        <v>41974</v>
      </c>
      <c r="G360" s="18">
        <v>42003</v>
      </c>
      <c r="H360" s="18" t="str">
        <f>IFERROR(INDEX('Docs Signed Input'!B:B,MATCH('Nate''s Evolution'!$B360,'Docs Signed Input'!E:E,0)),"N")</f>
        <v>N</v>
      </c>
      <c r="I360" s="18" t="str">
        <f>IFERROR(INDEX('Docs Signed Input'!C:C,MATCH('Nate''s Evolution'!B360,'Docs Signed Input'!E:E,0)),"N")</f>
        <v>N</v>
      </c>
      <c r="L360" t="s">
        <v>2258</v>
      </c>
      <c r="M360" t="s">
        <v>3948</v>
      </c>
      <c r="N360">
        <v>4.08</v>
      </c>
      <c r="O360">
        <v>4.08</v>
      </c>
      <c r="P360" s="6">
        <v>42035.818124999998</v>
      </c>
      <c r="Q360" t="s">
        <v>3896</v>
      </c>
      <c r="R360" t="s">
        <v>11563</v>
      </c>
      <c r="S360" t="s">
        <v>3485</v>
      </c>
      <c r="T360">
        <v>2</v>
      </c>
      <c r="X360" t="b">
        <v>1</v>
      </c>
      <c r="Y360" s="6">
        <v>42037.431944444441</v>
      </c>
    </row>
    <row r="361" spans="1:25" x14ac:dyDescent="0.25">
      <c r="A361" t="s">
        <v>12407</v>
      </c>
      <c r="B361" t="s">
        <v>12408</v>
      </c>
      <c r="C361">
        <v>7.3949999999999996</v>
      </c>
      <c r="D361" t="s">
        <v>3893</v>
      </c>
      <c r="E361" t="s">
        <v>3894</v>
      </c>
      <c r="F361" s="18">
        <v>41974</v>
      </c>
      <c r="G361" s="18">
        <v>42003</v>
      </c>
      <c r="H361" s="18" t="str">
        <f>IFERROR(INDEX('Docs Signed Input'!B:B,MATCH('Nate''s Evolution'!$B361,'Docs Signed Input'!E:E,0)),"N")</f>
        <v>Y</v>
      </c>
      <c r="I361" s="18" t="str">
        <f>IFERROR(INDEX('Docs Signed Input'!C:C,MATCH('Nate''s Evolution'!B361,'Docs Signed Input'!E:E,0)),"N")</f>
        <v>N</v>
      </c>
      <c r="L361" t="s">
        <v>2258</v>
      </c>
      <c r="M361" t="s">
        <v>3948</v>
      </c>
      <c r="N361">
        <v>7.3949999999999996</v>
      </c>
      <c r="O361">
        <v>9.9450000000000003</v>
      </c>
      <c r="P361" s="6">
        <v>42035.818124999998</v>
      </c>
      <c r="Q361" t="s">
        <v>3896</v>
      </c>
      <c r="R361" t="s">
        <v>3897</v>
      </c>
      <c r="S361" t="s">
        <v>3766</v>
      </c>
      <c r="T361">
        <v>2</v>
      </c>
      <c r="X361" t="b">
        <v>1</v>
      </c>
      <c r="Y361" s="6">
        <v>42037.431944444441</v>
      </c>
    </row>
    <row r="362" spans="1:25" x14ac:dyDescent="0.25">
      <c r="A362" t="s">
        <v>12419</v>
      </c>
      <c r="B362" t="s">
        <v>12420</v>
      </c>
      <c r="C362">
        <v>4.335</v>
      </c>
      <c r="D362" t="s">
        <v>3893</v>
      </c>
      <c r="E362" t="s">
        <v>3989</v>
      </c>
      <c r="F362" s="18">
        <v>41974</v>
      </c>
      <c r="G362" s="18">
        <v>42003</v>
      </c>
      <c r="H362" s="18" t="str">
        <f>IFERROR(INDEX('Docs Signed Input'!B:B,MATCH('Nate''s Evolution'!$B362,'Docs Signed Input'!E:E,0)),"N")</f>
        <v>N</v>
      </c>
      <c r="I362" s="18" t="str">
        <f>IFERROR(INDEX('Docs Signed Input'!C:C,MATCH('Nate''s Evolution'!B362,'Docs Signed Input'!E:E,0)),"N")</f>
        <v>N</v>
      </c>
      <c r="L362" t="s">
        <v>2258</v>
      </c>
      <c r="M362" t="s">
        <v>4317</v>
      </c>
      <c r="N362">
        <v>4.335</v>
      </c>
      <c r="O362">
        <v>4.335</v>
      </c>
      <c r="P362" s="6">
        <v>42035.818124999998</v>
      </c>
      <c r="Q362" t="s">
        <v>3896</v>
      </c>
      <c r="R362" t="s">
        <v>3918</v>
      </c>
      <c r="S362" t="s">
        <v>3566</v>
      </c>
      <c r="T362">
        <v>2</v>
      </c>
      <c r="X362" t="b">
        <v>1</v>
      </c>
      <c r="Y362" s="6">
        <v>42037.431944444441</v>
      </c>
    </row>
    <row r="363" spans="1:25" x14ac:dyDescent="0.25">
      <c r="A363" t="s">
        <v>12424</v>
      </c>
      <c r="B363" t="s">
        <v>12425</v>
      </c>
      <c r="C363">
        <v>3.5</v>
      </c>
      <c r="D363" t="s">
        <v>3900</v>
      </c>
      <c r="E363" t="s">
        <v>3960</v>
      </c>
      <c r="F363" s="18">
        <v>41974</v>
      </c>
      <c r="G363" s="18">
        <v>42003</v>
      </c>
      <c r="H363" s="18" t="str">
        <f>IFERROR(INDEX('Docs Signed Input'!B:B,MATCH('Nate''s Evolution'!$B363,'Docs Signed Input'!E:E,0)),"N")</f>
        <v>Y</v>
      </c>
      <c r="I363" s="18" t="str">
        <f>IFERROR(INDEX('Docs Signed Input'!C:C,MATCH('Nate''s Evolution'!B363,'Docs Signed Input'!E:E,0)),"N")</f>
        <v>Y</v>
      </c>
      <c r="J363" s="18">
        <v>42010</v>
      </c>
      <c r="K363" s="18">
        <v>42033</v>
      </c>
      <c r="L363" t="s">
        <v>2258</v>
      </c>
      <c r="M363" t="s">
        <v>3902</v>
      </c>
      <c r="N363">
        <v>3.5</v>
      </c>
      <c r="O363">
        <v>3.5</v>
      </c>
      <c r="P363" s="6">
        <v>42034.560300925928</v>
      </c>
      <c r="Q363" t="s">
        <v>3896</v>
      </c>
      <c r="S363" t="s">
        <v>2400</v>
      </c>
      <c r="T363">
        <v>3</v>
      </c>
      <c r="W363" t="b">
        <v>1</v>
      </c>
      <c r="Y363" s="6">
        <v>42037.431944444441</v>
      </c>
    </row>
    <row r="364" spans="1:25" x14ac:dyDescent="0.25">
      <c r="A364" t="s">
        <v>12426</v>
      </c>
      <c r="B364" t="s">
        <v>12427</v>
      </c>
      <c r="C364">
        <v>5.0999999999999996</v>
      </c>
      <c r="D364" t="s">
        <v>3893</v>
      </c>
      <c r="E364" t="s">
        <v>3894</v>
      </c>
      <c r="F364" s="18">
        <v>41974</v>
      </c>
      <c r="G364" s="18">
        <v>42003</v>
      </c>
      <c r="H364" s="18" t="str">
        <f>IFERROR(INDEX('Docs Signed Input'!B:B,MATCH('Nate''s Evolution'!$B364,'Docs Signed Input'!E:E,0)),"N")</f>
        <v>N</v>
      </c>
      <c r="I364" s="18" t="str">
        <f>IFERROR(INDEX('Docs Signed Input'!C:C,MATCH('Nate''s Evolution'!B364,'Docs Signed Input'!E:E,0)),"N")</f>
        <v>N</v>
      </c>
      <c r="J364" s="18">
        <v>42006</v>
      </c>
      <c r="L364" t="s">
        <v>2258</v>
      </c>
      <c r="M364" t="s">
        <v>3948</v>
      </c>
      <c r="N364">
        <v>5.0999999999999996</v>
      </c>
      <c r="O364">
        <v>5.0999999999999996</v>
      </c>
      <c r="P364" s="6">
        <v>42035.818124999998</v>
      </c>
      <c r="Q364" t="s">
        <v>3896</v>
      </c>
      <c r="R364" t="s">
        <v>11563</v>
      </c>
      <c r="S364" t="s">
        <v>3485</v>
      </c>
      <c r="T364">
        <v>2</v>
      </c>
      <c r="X364" t="b">
        <v>1</v>
      </c>
      <c r="Y364" s="6">
        <v>42037.431944444441</v>
      </c>
    </row>
    <row r="365" spans="1:25" x14ac:dyDescent="0.25">
      <c r="A365" t="s">
        <v>12362</v>
      </c>
      <c r="B365" t="s">
        <v>12363</v>
      </c>
      <c r="C365">
        <v>7.14</v>
      </c>
      <c r="D365" t="s">
        <v>3893</v>
      </c>
      <c r="E365" t="s">
        <v>3925</v>
      </c>
      <c r="F365" s="18">
        <v>41974</v>
      </c>
      <c r="G365" s="18">
        <v>42004</v>
      </c>
      <c r="H365" s="18" t="str">
        <f>IFERROR(INDEX('Docs Signed Input'!B:B,MATCH('Nate''s Evolution'!$B365,'Docs Signed Input'!E:E,0)),"N")</f>
        <v>N</v>
      </c>
      <c r="I365" s="18" t="str">
        <f>IFERROR(INDEX('Docs Signed Input'!C:C,MATCH('Nate''s Evolution'!B365,'Docs Signed Input'!E:E,0)),"N")</f>
        <v>Y</v>
      </c>
      <c r="J365" s="18">
        <v>42025</v>
      </c>
      <c r="L365" t="s">
        <v>2258</v>
      </c>
      <c r="M365" t="s">
        <v>4032</v>
      </c>
      <c r="N365">
        <v>7.14</v>
      </c>
      <c r="O365">
        <v>8.67</v>
      </c>
      <c r="P365" s="6">
        <v>42035.818124999998</v>
      </c>
      <c r="Q365" t="s">
        <v>3896</v>
      </c>
      <c r="R365" t="s">
        <v>11563</v>
      </c>
      <c r="S365" t="s">
        <v>2992</v>
      </c>
      <c r="T365">
        <v>2</v>
      </c>
      <c r="X365" t="b">
        <v>1</v>
      </c>
      <c r="Y365" s="6">
        <v>42037.431944444441</v>
      </c>
    </row>
    <row r="366" spans="1:25" x14ac:dyDescent="0.25">
      <c r="A366" t="s">
        <v>12388</v>
      </c>
      <c r="B366" t="s">
        <v>12389</v>
      </c>
      <c r="C366">
        <v>6.375</v>
      </c>
      <c r="D366" t="s">
        <v>3893</v>
      </c>
      <c r="E366" t="s">
        <v>3916</v>
      </c>
      <c r="F366" s="18">
        <v>41974</v>
      </c>
      <c r="G366" s="18">
        <v>42004</v>
      </c>
      <c r="H366" s="18" t="str">
        <f>IFERROR(INDEX('Docs Signed Input'!B:B,MATCH('Nate''s Evolution'!$B366,'Docs Signed Input'!E:E,0)),"N")</f>
        <v>Y</v>
      </c>
      <c r="I366" s="18" t="str">
        <f>IFERROR(INDEX('Docs Signed Input'!C:C,MATCH('Nate''s Evolution'!B366,'Docs Signed Input'!E:E,0)),"N")</f>
        <v>N</v>
      </c>
      <c r="L366" t="s">
        <v>2258</v>
      </c>
      <c r="M366" t="s">
        <v>4423</v>
      </c>
      <c r="N366">
        <v>5.75</v>
      </c>
      <c r="O366">
        <v>6.375</v>
      </c>
      <c r="P366" s="6">
        <v>42035.818124999998</v>
      </c>
      <c r="Q366" t="s">
        <v>3896</v>
      </c>
      <c r="R366" t="s">
        <v>3921</v>
      </c>
      <c r="S366" t="s">
        <v>12207</v>
      </c>
      <c r="T366">
        <v>2</v>
      </c>
      <c r="X366" t="b">
        <v>1</v>
      </c>
      <c r="Y366" s="6">
        <v>42037.431944444441</v>
      </c>
    </row>
    <row r="367" spans="1:25" x14ac:dyDescent="0.25">
      <c r="A367" t="s">
        <v>12388</v>
      </c>
      <c r="B367" t="s">
        <v>12390</v>
      </c>
      <c r="C367">
        <v>2.04</v>
      </c>
      <c r="D367" t="s">
        <v>3893</v>
      </c>
      <c r="E367" t="s">
        <v>3916</v>
      </c>
      <c r="F367" s="18">
        <v>41974</v>
      </c>
      <c r="G367" s="18">
        <v>42004</v>
      </c>
      <c r="H367" s="18" t="str">
        <f>IFERROR(INDEX('Docs Signed Input'!B:B,MATCH('Nate''s Evolution'!$B367,'Docs Signed Input'!E:E,0)),"N")</f>
        <v>Y</v>
      </c>
      <c r="I367" s="18" t="str">
        <f>IFERROR(INDEX('Docs Signed Input'!C:C,MATCH('Nate''s Evolution'!B367,'Docs Signed Input'!E:E,0)),"N")</f>
        <v>N</v>
      </c>
      <c r="L367" t="s">
        <v>2258</v>
      </c>
      <c r="M367" t="s">
        <v>4423</v>
      </c>
      <c r="N367">
        <v>2.04</v>
      </c>
      <c r="O367">
        <v>10.25</v>
      </c>
      <c r="P367" s="6">
        <v>42035.818124999998</v>
      </c>
      <c r="Q367" t="s">
        <v>3896</v>
      </c>
      <c r="S367" t="s">
        <v>2263</v>
      </c>
      <c r="T367">
        <v>2</v>
      </c>
      <c r="X367" t="b">
        <v>1</v>
      </c>
      <c r="Y367" s="6">
        <v>42037.431944444441</v>
      </c>
    </row>
    <row r="368" spans="1:25" x14ac:dyDescent="0.25">
      <c r="A368" t="s">
        <v>12366</v>
      </c>
      <c r="B368" t="s">
        <v>12367</v>
      </c>
      <c r="C368">
        <v>8.25</v>
      </c>
      <c r="D368" t="s">
        <v>3922</v>
      </c>
      <c r="E368" t="s">
        <v>3923</v>
      </c>
      <c r="F368" s="18">
        <v>42005</v>
      </c>
      <c r="G368" s="18">
        <v>42006</v>
      </c>
      <c r="H368" s="18" t="str">
        <f>IFERROR(INDEX('Docs Signed Input'!B:B,MATCH('Nate''s Evolution'!$B368,'Docs Signed Input'!E:E,0)),"N")</f>
        <v>N</v>
      </c>
      <c r="I368" s="18" t="str">
        <f>IFERROR(INDEX('Docs Signed Input'!C:C,MATCH('Nate''s Evolution'!B368,'Docs Signed Input'!E:E,0)),"N")</f>
        <v>N</v>
      </c>
      <c r="L368" t="s">
        <v>2258</v>
      </c>
      <c r="M368" t="s">
        <v>3930</v>
      </c>
      <c r="N368">
        <v>7.5</v>
      </c>
      <c r="O368">
        <v>8.25</v>
      </c>
      <c r="P368" s="6">
        <v>42035.818124999998</v>
      </c>
      <c r="Q368" t="s">
        <v>3896</v>
      </c>
      <c r="R368" t="s">
        <v>11563</v>
      </c>
      <c r="S368" t="s">
        <v>11455</v>
      </c>
      <c r="T368">
        <v>2</v>
      </c>
      <c r="X368" t="b">
        <v>1</v>
      </c>
      <c r="Y368" s="6">
        <v>42037.431944444441</v>
      </c>
    </row>
    <row r="369" spans="1:25" x14ac:dyDescent="0.25">
      <c r="A369" t="s">
        <v>12386</v>
      </c>
      <c r="B369" t="s">
        <v>12387</v>
      </c>
      <c r="C369">
        <v>5.0999999999999996</v>
      </c>
      <c r="D369" t="s">
        <v>3909</v>
      </c>
      <c r="E369" t="s">
        <v>3929</v>
      </c>
      <c r="F369" s="18">
        <v>42005</v>
      </c>
      <c r="G369" s="18">
        <v>42006</v>
      </c>
      <c r="H369" s="18" t="str">
        <f>IFERROR(INDEX('Docs Signed Input'!B:B,MATCH('Nate''s Evolution'!$B369,'Docs Signed Input'!E:E,0)),"N")</f>
        <v>N</v>
      </c>
      <c r="I369" s="18" t="str">
        <f>IFERROR(INDEX('Docs Signed Input'!C:C,MATCH('Nate''s Evolution'!B369,'Docs Signed Input'!E:E,0)),"N")</f>
        <v>Y</v>
      </c>
      <c r="J369" s="18">
        <v>42016</v>
      </c>
      <c r="L369" t="s">
        <v>2258</v>
      </c>
      <c r="M369" t="s">
        <v>4027</v>
      </c>
      <c r="N369">
        <v>5.0999999999999996</v>
      </c>
      <c r="O369">
        <v>5.0999999999999996</v>
      </c>
      <c r="P369" s="6">
        <v>42033.606041666666</v>
      </c>
      <c r="Q369" t="s">
        <v>3896</v>
      </c>
      <c r="R369" t="s">
        <v>11563</v>
      </c>
      <c r="S369" t="s">
        <v>3700</v>
      </c>
      <c r="T369">
        <v>4</v>
      </c>
      <c r="V369" t="b">
        <v>1</v>
      </c>
      <c r="Y369" s="6">
        <v>42037.431944444441</v>
      </c>
    </row>
    <row r="370" spans="1:25" x14ac:dyDescent="0.25">
      <c r="A370" t="s">
        <v>12422</v>
      </c>
      <c r="B370" t="s">
        <v>12423</v>
      </c>
      <c r="C370">
        <v>4.08</v>
      </c>
      <c r="D370" t="s">
        <v>3909</v>
      </c>
      <c r="E370" t="s">
        <v>3929</v>
      </c>
      <c r="F370" s="18">
        <v>42005</v>
      </c>
      <c r="G370" s="18">
        <v>42006</v>
      </c>
      <c r="H370" s="18" t="str">
        <f>IFERROR(INDEX('Docs Signed Input'!B:B,MATCH('Nate''s Evolution'!$B370,'Docs Signed Input'!E:E,0)),"N")</f>
        <v>N</v>
      </c>
      <c r="I370" s="18" t="str">
        <f>IFERROR(INDEX('Docs Signed Input'!C:C,MATCH('Nate''s Evolution'!B370,'Docs Signed Input'!E:E,0)),"N")</f>
        <v>Y</v>
      </c>
      <c r="J370" s="18">
        <v>42017</v>
      </c>
      <c r="L370" t="s">
        <v>2258</v>
      </c>
      <c r="M370" t="s">
        <v>4317</v>
      </c>
      <c r="N370">
        <v>4.08</v>
      </c>
      <c r="O370">
        <v>4.08</v>
      </c>
      <c r="P370" s="6">
        <v>42030.818576388891</v>
      </c>
      <c r="Q370" t="s">
        <v>3896</v>
      </c>
      <c r="R370" t="s">
        <v>11563</v>
      </c>
      <c r="S370" t="s">
        <v>3566</v>
      </c>
      <c r="T370">
        <v>7</v>
      </c>
      <c r="V370" t="b">
        <v>1</v>
      </c>
      <c r="Y370" s="6">
        <v>42037.431944444441</v>
      </c>
    </row>
    <row r="371" spans="1:25" x14ac:dyDescent="0.25">
      <c r="A371" t="s">
        <v>12360</v>
      </c>
      <c r="B371" t="s">
        <v>12361</v>
      </c>
      <c r="C371">
        <v>5.2</v>
      </c>
      <c r="D371" t="s">
        <v>3900</v>
      </c>
      <c r="E371" t="s">
        <v>3960</v>
      </c>
      <c r="F371" s="18">
        <v>42005</v>
      </c>
      <c r="G371" s="18">
        <v>42007</v>
      </c>
      <c r="H371" s="18" t="str">
        <f>IFERROR(INDEX('Docs Signed Input'!B:B,MATCH('Nate''s Evolution'!$B371,'Docs Signed Input'!E:E,0)),"N")</f>
        <v>Y</v>
      </c>
      <c r="I371" s="18" t="str">
        <f>IFERROR(INDEX('Docs Signed Input'!C:C,MATCH('Nate''s Evolution'!B371,'Docs Signed Input'!E:E,0)),"N")</f>
        <v>Y</v>
      </c>
      <c r="J371" s="18">
        <v>42020</v>
      </c>
      <c r="K371" s="18">
        <v>42025</v>
      </c>
      <c r="L371" t="s">
        <v>2258</v>
      </c>
      <c r="M371" t="s">
        <v>4048</v>
      </c>
      <c r="N371">
        <v>3.9</v>
      </c>
      <c r="O371">
        <v>5.2</v>
      </c>
      <c r="P371" s="6">
        <v>42030.751967592594</v>
      </c>
      <c r="Q371" t="s">
        <v>3896</v>
      </c>
      <c r="R371" t="s">
        <v>11563</v>
      </c>
      <c r="S371" t="s">
        <v>3581</v>
      </c>
      <c r="T371">
        <v>7</v>
      </c>
      <c r="W371" t="b">
        <v>1</v>
      </c>
      <c r="Y371" s="6">
        <v>42037.431944444441</v>
      </c>
    </row>
    <row r="372" spans="1:25" x14ac:dyDescent="0.25">
      <c r="A372" t="s">
        <v>12382</v>
      </c>
      <c r="B372" t="s">
        <v>12383</v>
      </c>
      <c r="C372">
        <v>7.8</v>
      </c>
      <c r="D372" t="s">
        <v>3900</v>
      </c>
      <c r="E372" t="s">
        <v>4277</v>
      </c>
      <c r="F372" s="18">
        <v>42005</v>
      </c>
      <c r="G372" s="18">
        <v>42007</v>
      </c>
      <c r="H372" s="18" t="str">
        <f>IFERROR(INDEX('Docs Signed Input'!B:B,MATCH('Nate''s Evolution'!$B372,'Docs Signed Input'!E:E,0)),"N")</f>
        <v>Y</v>
      </c>
      <c r="I372" s="18" t="str">
        <f>IFERROR(INDEX('Docs Signed Input'!C:C,MATCH('Nate''s Evolution'!B372,'Docs Signed Input'!E:E,0)),"N")</f>
        <v>Y</v>
      </c>
      <c r="J372" s="18">
        <v>42013</v>
      </c>
      <c r="K372" s="18">
        <v>42026</v>
      </c>
      <c r="L372" t="s">
        <v>2258</v>
      </c>
      <c r="M372" t="s">
        <v>10253</v>
      </c>
      <c r="N372">
        <v>7.8</v>
      </c>
      <c r="O372">
        <v>8.06</v>
      </c>
      <c r="P372" s="6">
        <v>42031.504282407404</v>
      </c>
      <c r="Q372" t="s">
        <v>3896</v>
      </c>
      <c r="R372" t="s">
        <v>11563</v>
      </c>
      <c r="S372" t="s">
        <v>3485</v>
      </c>
      <c r="T372">
        <v>6</v>
      </c>
      <c r="W372" t="b">
        <v>1</v>
      </c>
      <c r="Y372" s="6">
        <v>42037.431944444441</v>
      </c>
    </row>
    <row r="373" spans="1:25" x14ac:dyDescent="0.25">
      <c r="A373" t="s">
        <v>12384</v>
      </c>
      <c r="B373" t="s">
        <v>12385</v>
      </c>
      <c r="C373">
        <v>4.8449999999999998</v>
      </c>
      <c r="D373" t="s">
        <v>2230</v>
      </c>
      <c r="E373" t="s">
        <v>3984</v>
      </c>
      <c r="F373" s="18">
        <v>42005</v>
      </c>
      <c r="G373" s="18">
        <v>42007</v>
      </c>
      <c r="H373" s="18" t="str">
        <f>IFERROR(INDEX('Docs Signed Input'!B:B,MATCH('Nate''s Evolution'!$B373,'Docs Signed Input'!E:E,0)),"N")</f>
        <v>N</v>
      </c>
      <c r="I373" s="18" t="str">
        <f>IFERROR(INDEX('Docs Signed Input'!C:C,MATCH('Nate''s Evolution'!B373,'Docs Signed Input'!E:E,0)),"N")</f>
        <v>N</v>
      </c>
      <c r="J373" s="18">
        <v>42013</v>
      </c>
      <c r="L373" t="s">
        <v>2258</v>
      </c>
      <c r="M373" t="s">
        <v>4032</v>
      </c>
      <c r="N373">
        <v>4.8449999999999998</v>
      </c>
      <c r="O373">
        <v>6.63</v>
      </c>
      <c r="P373" s="6">
        <v>42013.818495370368</v>
      </c>
      <c r="Q373" t="s">
        <v>3896</v>
      </c>
      <c r="R373" t="s">
        <v>11563</v>
      </c>
      <c r="S373" t="s">
        <v>12215</v>
      </c>
      <c r="T373">
        <v>24</v>
      </c>
      <c r="U373" t="b">
        <v>1</v>
      </c>
      <c r="Y373" s="6">
        <v>42037.431944444441</v>
      </c>
    </row>
    <row r="374" spans="1:25" x14ac:dyDescent="0.25">
      <c r="A374" t="s">
        <v>12393</v>
      </c>
      <c r="B374" t="s">
        <v>12394</v>
      </c>
      <c r="C374">
        <v>6.375</v>
      </c>
      <c r="D374" t="s">
        <v>3909</v>
      </c>
      <c r="E374" t="s">
        <v>3929</v>
      </c>
      <c r="F374" s="18">
        <v>42005</v>
      </c>
      <c r="G374" s="18">
        <v>42007</v>
      </c>
      <c r="H374" s="18" t="str">
        <f>IFERROR(INDEX('Docs Signed Input'!B:B,MATCH('Nate''s Evolution'!$B374,'Docs Signed Input'!E:E,0)),"N")</f>
        <v>N</v>
      </c>
      <c r="I374" s="18" t="str">
        <f>IFERROR(INDEX('Docs Signed Input'!C:C,MATCH('Nate''s Evolution'!B374,'Docs Signed Input'!E:E,0)),"N")</f>
        <v>Y</v>
      </c>
      <c r="J374" s="18">
        <v>42013</v>
      </c>
      <c r="L374" t="s">
        <v>2258</v>
      </c>
      <c r="M374" t="s">
        <v>4317</v>
      </c>
      <c r="N374">
        <v>6.375</v>
      </c>
      <c r="O374">
        <v>6.375</v>
      </c>
      <c r="P374" s="6">
        <v>42030.818576388891</v>
      </c>
      <c r="Q374" t="s">
        <v>3896</v>
      </c>
      <c r="R374" t="s">
        <v>11563</v>
      </c>
      <c r="S374" t="s">
        <v>12122</v>
      </c>
      <c r="T374">
        <v>7</v>
      </c>
      <c r="V374" t="b">
        <v>1</v>
      </c>
      <c r="Y374" s="6">
        <v>42037.431944444441</v>
      </c>
    </row>
    <row r="375" spans="1:25" x14ac:dyDescent="0.25">
      <c r="A375" t="s">
        <v>12402</v>
      </c>
      <c r="B375" t="s">
        <v>12403</v>
      </c>
      <c r="C375">
        <v>12.5</v>
      </c>
      <c r="D375" t="s">
        <v>3893</v>
      </c>
      <c r="E375" t="s">
        <v>9250</v>
      </c>
      <c r="F375" s="18">
        <v>42005</v>
      </c>
      <c r="G375" s="18">
        <v>42007</v>
      </c>
      <c r="H375" s="18" t="str">
        <f>IFERROR(INDEX('Docs Signed Input'!B:B,MATCH('Nate''s Evolution'!$B375,'Docs Signed Input'!E:E,0)),"N")</f>
        <v>Y</v>
      </c>
      <c r="I375" s="18" t="str">
        <f>IFERROR(INDEX('Docs Signed Input'!C:C,MATCH('Nate''s Evolution'!B375,'Docs Signed Input'!E:E,0)),"N")</f>
        <v>Y</v>
      </c>
      <c r="J375" s="18">
        <v>42016</v>
      </c>
      <c r="L375" t="s">
        <v>2258</v>
      </c>
      <c r="M375" t="s">
        <v>12976</v>
      </c>
      <c r="N375">
        <v>10.25</v>
      </c>
      <c r="O375">
        <v>12.5</v>
      </c>
      <c r="P375" s="6">
        <v>42035.818124999998</v>
      </c>
      <c r="Q375" t="s">
        <v>3896</v>
      </c>
      <c r="S375" t="s">
        <v>3438</v>
      </c>
      <c r="T375">
        <v>2</v>
      </c>
      <c r="X375" t="b">
        <v>1</v>
      </c>
      <c r="Y375" s="6">
        <v>42037.431944444441</v>
      </c>
    </row>
    <row r="376" spans="1:25" x14ac:dyDescent="0.25">
      <c r="A376" t="s">
        <v>12405</v>
      </c>
      <c r="B376" t="s">
        <v>12406</v>
      </c>
      <c r="C376">
        <v>4.8449999999999998</v>
      </c>
      <c r="D376" t="s">
        <v>3909</v>
      </c>
      <c r="E376" t="s">
        <v>3929</v>
      </c>
      <c r="F376" s="18">
        <v>42005</v>
      </c>
      <c r="G376" s="18">
        <v>42007</v>
      </c>
      <c r="H376" s="18" t="str">
        <f>IFERROR(INDEX('Docs Signed Input'!B:B,MATCH('Nate''s Evolution'!$B376,'Docs Signed Input'!E:E,0)),"N")</f>
        <v>N</v>
      </c>
      <c r="I376" s="18" t="str">
        <f>IFERROR(INDEX('Docs Signed Input'!C:C,MATCH('Nate''s Evolution'!B376,'Docs Signed Input'!E:E,0)),"N")</f>
        <v>N</v>
      </c>
      <c r="L376" t="s">
        <v>2258</v>
      </c>
      <c r="M376" t="s">
        <v>4009</v>
      </c>
      <c r="N376">
        <v>4.8449999999999998</v>
      </c>
      <c r="O376">
        <v>4.8449999999999998</v>
      </c>
      <c r="P376" s="6">
        <v>42011.817465277774</v>
      </c>
      <c r="Q376" t="s">
        <v>3896</v>
      </c>
      <c r="R376" t="s">
        <v>11563</v>
      </c>
      <c r="S376" t="s">
        <v>3640</v>
      </c>
      <c r="T376">
        <v>26</v>
      </c>
      <c r="V376" t="b">
        <v>1</v>
      </c>
      <c r="Y376" s="6">
        <v>42037.431944444441</v>
      </c>
    </row>
    <row r="377" spans="1:25" x14ac:dyDescent="0.25">
      <c r="A377" t="s">
        <v>13310</v>
      </c>
      <c r="B377" t="s">
        <v>12410</v>
      </c>
      <c r="C377">
        <v>6.12</v>
      </c>
      <c r="D377" t="s">
        <v>3893</v>
      </c>
      <c r="E377" t="s">
        <v>3894</v>
      </c>
      <c r="F377" s="18">
        <v>42005</v>
      </c>
      <c r="G377" s="18">
        <v>42007</v>
      </c>
      <c r="H377" s="18" t="str">
        <f>IFERROR(INDEX('Docs Signed Input'!B:B,MATCH('Nate''s Evolution'!$B377,'Docs Signed Input'!E:E,0)),"N")</f>
        <v>N</v>
      </c>
      <c r="I377" s="18" t="str">
        <f>IFERROR(INDEX('Docs Signed Input'!C:C,MATCH('Nate''s Evolution'!B377,'Docs Signed Input'!E:E,0)),"N")</f>
        <v>Y</v>
      </c>
      <c r="J377" s="18">
        <v>42029</v>
      </c>
      <c r="L377" t="s">
        <v>2258</v>
      </c>
      <c r="M377" t="s">
        <v>3933</v>
      </c>
      <c r="N377">
        <v>5.61</v>
      </c>
      <c r="O377">
        <v>6.12</v>
      </c>
      <c r="P377" s="6">
        <v>42035.818124999998</v>
      </c>
      <c r="Q377" t="s">
        <v>3896</v>
      </c>
      <c r="R377" t="s">
        <v>11563</v>
      </c>
      <c r="S377" t="s">
        <v>11503</v>
      </c>
      <c r="T377">
        <v>2</v>
      </c>
      <c r="X377" t="b">
        <v>1</v>
      </c>
      <c r="Y377" s="6">
        <v>42037.431944444441</v>
      </c>
    </row>
    <row r="378" spans="1:25" x14ac:dyDescent="0.25">
      <c r="A378" t="s">
        <v>12413</v>
      </c>
      <c r="B378" t="s">
        <v>12414</v>
      </c>
      <c r="C378">
        <v>5.61</v>
      </c>
      <c r="D378" t="s">
        <v>3893</v>
      </c>
      <c r="E378" t="s">
        <v>3894</v>
      </c>
      <c r="F378" s="18">
        <v>42005</v>
      </c>
      <c r="G378" s="18">
        <v>42007</v>
      </c>
      <c r="H378" s="18" t="str">
        <f>IFERROR(INDEX('Docs Signed Input'!B:B,MATCH('Nate''s Evolution'!$B378,'Docs Signed Input'!E:E,0)),"N")</f>
        <v>N</v>
      </c>
      <c r="I378" s="18" t="str">
        <f>IFERROR(INDEX('Docs Signed Input'!C:C,MATCH('Nate''s Evolution'!B378,'Docs Signed Input'!E:E,0)),"N")</f>
        <v>Y</v>
      </c>
      <c r="J378" s="18">
        <v>42017</v>
      </c>
      <c r="L378" t="s">
        <v>2258</v>
      </c>
      <c r="M378" t="s">
        <v>3933</v>
      </c>
      <c r="N378">
        <v>3.57</v>
      </c>
      <c r="O378">
        <v>5.61</v>
      </c>
      <c r="P378" s="6">
        <v>42035.818124999998</v>
      </c>
      <c r="Q378" t="s">
        <v>3896</v>
      </c>
      <c r="R378" t="s">
        <v>3918</v>
      </c>
      <c r="S378" t="s">
        <v>11503</v>
      </c>
      <c r="T378">
        <v>2</v>
      </c>
      <c r="X378" t="b">
        <v>1</v>
      </c>
      <c r="Y378" s="6">
        <v>42037.431944444441</v>
      </c>
    </row>
    <row r="379" spans="1:25" x14ac:dyDescent="0.25">
      <c r="A379" t="s">
        <v>12417</v>
      </c>
      <c r="B379" t="s">
        <v>12418</v>
      </c>
      <c r="C379">
        <v>12.75</v>
      </c>
      <c r="D379" t="s">
        <v>3893</v>
      </c>
      <c r="E379" t="s">
        <v>4117</v>
      </c>
      <c r="F379" s="18">
        <v>42005</v>
      </c>
      <c r="G379" s="18">
        <v>42007</v>
      </c>
      <c r="H379" s="18" t="str">
        <f>IFERROR(INDEX('Docs Signed Input'!B:B,MATCH('Nate''s Evolution'!$B379,'Docs Signed Input'!E:E,0)),"N")</f>
        <v>N</v>
      </c>
      <c r="I379" s="18" t="str">
        <f>IFERROR(INDEX('Docs Signed Input'!C:C,MATCH('Nate''s Evolution'!B379,'Docs Signed Input'!E:E,0)),"N")</f>
        <v>N</v>
      </c>
      <c r="L379" t="s">
        <v>2258</v>
      </c>
      <c r="M379" t="s">
        <v>4317</v>
      </c>
      <c r="N379">
        <v>12.75</v>
      </c>
      <c r="O379">
        <v>12.75</v>
      </c>
      <c r="P379" s="6">
        <v>42035.818124999998</v>
      </c>
      <c r="Q379" t="s">
        <v>3896</v>
      </c>
      <c r="R379" t="s">
        <v>11563</v>
      </c>
      <c r="S379" t="s">
        <v>3566</v>
      </c>
      <c r="T379">
        <v>2</v>
      </c>
      <c r="X379" t="b">
        <v>1</v>
      </c>
      <c r="Y379" s="6">
        <v>42037.431944444441</v>
      </c>
    </row>
    <row r="380" spans="1:25" x14ac:dyDescent="0.25">
      <c r="A380" t="s">
        <v>12755</v>
      </c>
      <c r="B380" t="s">
        <v>12663</v>
      </c>
      <c r="C380">
        <v>16.25</v>
      </c>
      <c r="D380" t="s">
        <v>3893</v>
      </c>
      <c r="E380" t="s">
        <v>3894</v>
      </c>
      <c r="F380" s="18">
        <v>42005</v>
      </c>
      <c r="G380" s="18">
        <v>42009</v>
      </c>
      <c r="H380" s="18" t="str">
        <f>IFERROR(INDEX('Docs Signed Input'!B:B,MATCH('Nate''s Evolution'!$B380,'Docs Signed Input'!E:E,0)),"N")</f>
        <v>N</v>
      </c>
      <c r="I380" s="18" t="str">
        <f>IFERROR(INDEX('Docs Signed Input'!C:C,MATCH('Nate''s Evolution'!B380,'Docs Signed Input'!E:E,0)),"N")</f>
        <v>N</v>
      </c>
      <c r="L380" t="s">
        <v>2258</v>
      </c>
      <c r="M380" t="s">
        <v>3926</v>
      </c>
      <c r="N380">
        <v>15.25</v>
      </c>
      <c r="O380">
        <v>16.25</v>
      </c>
      <c r="P380" s="6">
        <v>42035.818124999998</v>
      </c>
      <c r="Q380" t="s">
        <v>3896</v>
      </c>
      <c r="R380" t="s">
        <v>11563</v>
      </c>
      <c r="S380" t="s">
        <v>2591</v>
      </c>
      <c r="T380">
        <v>2</v>
      </c>
      <c r="X380" t="b">
        <v>1</v>
      </c>
      <c r="Y380" s="6">
        <v>42037.431944444441</v>
      </c>
    </row>
    <row r="381" spans="1:25" x14ac:dyDescent="0.25">
      <c r="A381" t="s">
        <v>12368</v>
      </c>
      <c r="B381" t="s">
        <v>12369</v>
      </c>
      <c r="C381">
        <v>3.06</v>
      </c>
      <c r="D381" t="s">
        <v>3893</v>
      </c>
      <c r="E381" t="s">
        <v>3894</v>
      </c>
      <c r="F381" s="18">
        <v>42005</v>
      </c>
      <c r="G381" s="18">
        <v>42009</v>
      </c>
      <c r="H381" s="18" t="str">
        <f>IFERROR(INDEX('Docs Signed Input'!B:B,MATCH('Nate''s Evolution'!$B381,'Docs Signed Input'!E:E,0)),"N")</f>
        <v>N</v>
      </c>
      <c r="I381" s="18" t="str">
        <f>IFERROR(INDEX('Docs Signed Input'!C:C,MATCH('Nate''s Evolution'!B381,'Docs Signed Input'!E:E,0)),"N")</f>
        <v>N</v>
      </c>
      <c r="L381" t="s">
        <v>2258</v>
      </c>
      <c r="M381" t="s">
        <v>4423</v>
      </c>
      <c r="N381">
        <v>3</v>
      </c>
      <c r="O381">
        <v>3.06</v>
      </c>
      <c r="P381" s="6">
        <v>42035.818124999998</v>
      </c>
      <c r="Q381" t="s">
        <v>3896</v>
      </c>
      <c r="R381" t="s">
        <v>11563</v>
      </c>
      <c r="S381" t="s">
        <v>12210</v>
      </c>
      <c r="T381">
        <v>2</v>
      </c>
      <c r="X381" t="b">
        <v>1</v>
      </c>
      <c r="Y381" s="6">
        <v>42037.431944444441</v>
      </c>
    </row>
    <row r="382" spans="1:25" x14ac:dyDescent="0.25">
      <c r="A382" t="s">
        <v>12756</v>
      </c>
      <c r="B382" t="s">
        <v>12434</v>
      </c>
      <c r="C382">
        <v>10.199999999999999</v>
      </c>
      <c r="D382" t="s">
        <v>3893</v>
      </c>
      <c r="E382" t="s">
        <v>4888</v>
      </c>
      <c r="F382" s="18">
        <v>42005</v>
      </c>
      <c r="G382" s="18">
        <v>42009</v>
      </c>
      <c r="H382" s="18" t="str">
        <f>IFERROR(INDEX('Docs Signed Input'!B:B,MATCH('Nate''s Evolution'!$B382,'Docs Signed Input'!E:E,0)),"N")</f>
        <v>Y</v>
      </c>
      <c r="I382" s="18" t="str">
        <f>IFERROR(INDEX('Docs Signed Input'!C:C,MATCH('Nate''s Evolution'!B382,'Docs Signed Input'!E:E,0)),"N")</f>
        <v>Y</v>
      </c>
      <c r="J382" s="18">
        <v>42013</v>
      </c>
      <c r="L382" t="s">
        <v>2258</v>
      </c>
      <c r="M382" t="s">
        <v>3948</v>
      </c>
      <c r="N382">
        <v>8.16</v>
      </c>
      <c r="O382">
        <v>10.199999999999999</v>
      </c>
      <c r="P382" s="6">
        <v>42035.818124999998</v>
      </c>
      <c r="Q382" t="s">
        <v>3896</v>
      </c>
      <c r="S382" t="s">
        <v>3766</v>
      </c>
      <c r="T382">
        <v>2</v>
      </c>
      <c r="X382" t="b">
        <v>1</v>
      </c>
      <c r="Y382" s="6">
        <v>42037.431944444441</v>
      </c>
    </row>
    <row r="383" spans="1:25" x14ac:dyDescent="0.25">
      <c r="A383" t="s">
        <v>12439</v>
      </c>
      <c r="B383" t="s">
        <v>12438</v>
      </c>
      <c r="C383">
        <v>5.61</v>
      </c>
      <c r="D383" t="s">
        <v>3909</v>
      </c>
      <c r="E383" t="s">
        <v>3929</v>
      </c>
      <c r="F383" s="18">
        <v>42005</v>
      </c>
      <c r="G383" s="18">
        <v>42009</v>
      </c>
      <c r="H383" s="18" t="str">
        <f>IFERROR(INDEX('Docs Signed Input'!B:B,MATCH('Nate''s Evolution'!$B383,'Docs Signed Input'!E:E,0)),"N")</f>
        <v>N</v>
      </c>
      <c r="I383" s="18" t="str">
        <f>IFERROR(INDEX('Docs Signed Input'!C:C,MATCH('Nate''s Evolution'!B383,'Docs Signed Input'!E:E,0)),"N")</f>
        <v>N</v>
      </c>
      <c r="L383" t="s">
        <v>2258</v>
      </c>
      <c r="M383" t="s">
        <v>3933</v>
      </c>
      <c r="N383">
        <v>5.61</v>
      </c>
      <c r="O383">
        <v>5.61</v>
      </c>
      <c r="P383" s="6">
        <v>42027.81827546296</v>
      </c>
      <c r="Q383" t="s">
        <v>3896</v>
      </c>
      <c r="R383" t="s">
        <v>11563</v>
      </c>
      <c r="S383" t="s">
        <v>11497</v>
      </c>
      <c r="T383">
        <v>10</v>
      </c>
      <c r="V383" t="b">
        <v>1</v>
      </c>
      <c r="Y383" s="6">
        <v>42037.431944444441</v>
      </c>
    </row>
    <row r="384" spans="1:25" x14ac:dyDescent="0.25">
      <c r="A384" t="s">
        <v>12757</v>
      </c>
      <c r="B384" t="s">
        <v>12432</v>
      </c>
      <c r="C384">
        <v>12.75</v>
      </c>
      <c r="D384" t="s">
        <v>3893</v>
      </c>
      <c r="E384" t="s">
        <v>3894</v>
      </c>
      <c r="F384" s="18">
        <v>42005</v>
      </c>
      <c r="G384" s="18">
        <v>42009</v>
      </c>
      <c r="H384" s="18" t="str">
        <f>IFERROR(INDEX('Docs Signed Input'!B:B,MATCH('Nate''s Evolution'!$B384,'Docs Signed Input'!E:E,0)),"N")</f>
        <v>Y</v>
      </c>
      <c r="I384" s="18" t="str">
        <f>IFERROR(INDEX('Docs Signed Input'!C:C,MATCH('Nate''s Evolution'!B384,'Docs Signed Input'!E:E,0)),"N")</f>
        <v>Y</v>
      </c>
      <c r="J384" s="18">
        <v>42011</v>
      </c>
      <c r="L384" t="s">
        <v>2258</v>
      </c>
      <c r="M384" t="s">
        <v>3948</v>
      </c>
      <c r="N384">
        <v>12.25</v>
      </c>
      <c r="O384">
        <v>13.26</v>
      </c>
      <c r="P384" s="6">
        <v>42035.818124999998</v>
      </c>
      <c r="Q384" t="s">
        <v>3896</v>
      </c>
      <c r="R384" t="s">
        <v>13198</v>
      </c>
      <c r="S384" t="s">
        <v>2703</v>
      </c>
      <c r="T384">
        <v>2</v>
      </c>
      <c r="X384" t="b">
        <v>1</v>
      </c>
      <c r="Y384" s="6">
        <v>42037.431944444441</v>
      </c>
    </row>
    <row r="385" spans="1:25" x14ac:dyDescent="0.25">
      <c r="A385" t="s">
        <v>12758</v>
      </c>
      <c r="B385" t="s">
        <v>12430</v>
      </c>
      <c r="C385">
        <v>6.375</v>
      </c>
      <c r="D385" t="s">
        <v>3893</v>
      </c>
      <c r="E385" t="s">
        <v>3894</v>
      </c>
      <c r="F385" s="18">
        <v>42005</v>
      </c>
      <c r="G385" s="18">
        <v>42009</v>
      </c>
      <c r="H385" s="18" t="str">
        <f>IFERROR(INDEX('Docs Signed Input'!B:B,MATCH('Nate''s Evolution'!$B385,'Docs Signed Input'!E:E,0)),"N")</f>
        <v>N</v>
      </c>
      <c r="I385" s="18" t="str">
        <f>IFERROR(INDEX('Docs Signed Input'!C:C,MATCH('Nate''s Evolution'!B385,'Docs Signed Input'!E:E,0)),"N")</f>
        <v>Y</v>
      </c>
      <c r="J385" s="18">
        <v>42013</v>
      </c>
      <c r="L385" t="s">
        <v>2258</v>
      </c>
      <c r="M385" t="s">
        <v>3948</v>
      </c>
      <c r="N385">
        <v>6.375</v>
      </c>
      <c r="O385">
        <v>6.5</v>
      </c>
      <c r="P385" s="6">
        <v>42035.818124999998</v>
      </c>
      <c r="Q385" t="s">
        <v>3896</v>
      </c>
      <c r="R385" t="s">
        <v>3921</v>
      </c>
      <c r="S385" t="s">
        <v>3607</v>
      </c>
      <c r="T385">
        <v>2</v>
      </c>
      <c r="X385" t="b">
        <v>1</v>
      </c>
      <c r="Y385" s="6">
        <v>42037.431944444441</v>
      </c>
    </row>
    <row r="386" spans="1:25" x14ac:dyDescent="0.25">
      <c r="A386" t="s">
        <v>12759</v>
      </c>
      <c r="B386" t="s">
        <v>12436</v>
      </c>
      <c r="C386">
        <v>4.59</v>
      </c>
      <c r="D386" t="s">
        <v>3893</v>
      </c>
      <c r="E386" t="s">
        <v>3894</v>
      </c>
      <c r="F386" s="18">
        <v>42005</v>
      </c>
      <c r="G386" s="18">
        <v>42009</v>
      </c>
      <c r="H386" s="18" t="str">
        <f>IFERROR(INDEX('Docs Signed Input'!B:B,MATCH('Nate''s Evolution'!$B386,'Docs Signed Input'!E:E,0)),"N")</f>
        <v>N</v>
      </c>
      <c r="I386" s="18" t="str">
        <f>IFERROR(INDEX('Docs Signed Input'!C:C,MATCH('Nate''s Evolution'!B386,'Docs Signed Input'!E:E,0)),"N")</f>
        <v>Y</v>
      </c>
      <c r="J386" s="18">
        <v>42014</v>
      </c>
      <c r="L386" t="s">
        <v>2258</v>
      </c>
      <c r="M386" t="s">
        <v>3948</v>
      </c>
      <c r="N386">
        <v>4.5</v>
      </c>
      <c r="O386">
        <v>4.59</v>
      </c>
      <c r="P386" s="6">
        <v>42035.818124999998</v>
      </c>
      <c r="Q386" t="s">
        <v>3896</v>
      </c>
      <c r="R386" t="s">
        <v>11563</v>
      </c>
      <c r="T386">
        <v>2</v>
      </c>
      <c r="X386" t="b">
        <v>1</v>
      </c>
      <c r="Y386" s="6">
        <v>42037.431944444441</v>
      </c>
    </row>
    <row r="387" spans="1:25" x14ac:dyDescent="0.25">
      <c r="A387" t="s">
        <v>12441</v>
      </c>
      <c r="B387" t="s">
        <v>12440</v>
      </c>
      <c r="C387">
        <v>3.3149999999999999</v>
      </c>
      <c r="D387" t="s">
        <v>3893</v>
      </c>
      <c r="E387" t="s">
        <v>4117</v>
      </c>
      <c r="F387" s="18">
        <v>42005</v>
      </c>
      <c r="G387" s="18">
        <v>42009</v>
      </c>
      <c r="H387" s="18" t="str">
        <f>IFERROR(INDEX('Docs Signed Input'!B:B,MATCH('Nate''s Evolution'!$B387,'Docs Signed Input'!E:E,0)),"N")</f>
        <v>N</v>
      </c>
      <c r="I387" s="18" t="str">
        <f>IFERROR(INDEX('Docs Signed Input'!C:C,MATCH('Nate''s Evolution'!B387,'Docs Signed Input'!E:E,0)),"N")</f>
        <v>N</v>
      </c>
      <c r="L387" t="s">
        <v>2258</v>
      </c>
      <c r="M387" t="s">
        <v>3933</v>
      </c>
      <c r="N387">
        <v>3.3149999999999999</v>
      </c>
      <c r="O387">
        <v>3.3149999999999999</v>
      </c>
      <c r="P387" s="6">
        <v>42035.818124999998</v>
      </c>
      <c r="Q387" t="s">
        <v>3896</v>
      </c>
      <c r="R387" t="s">
        <v>11563</v>
      </c>
      <c r="S387" t="s">
        <v>11503</v>
      </c>
      <c r="T387">
        <v>2</v>
      </c>
      <c r="X387" t="b">
        <v>1</v>
      </c>
      <c r="Y387" s="6">
        <v>42037.431944444441</v>
      </c>
    </row>
    <row r="388" spans="1:25" x14ac:dyDescent="0.25">
      <c r="A388" t="s">
        <v>12760</v>
      </c>
      <c r="B388" t="s">
        <v>12664</v>
      </c>
      <c r="C388">
        <v>8</v>
      </c>
      <c r="D388" t="s">
        <v>3909</v>
      </c>
      <c r="E388" t="s">
        <v>3937</v>
      </c>
      <c r="F388" s="18">
        <v>42005</v>
      </c>
      <c r="G388" s="18">
        <v>42009</v>
      </c>
      <c r="H388" s="18" t="str">
        <f>IFERROR(INDEX('Docs Signed Input'!B:B,MATCH('Nate''s Evolution'!$B388,'Docs Signed Input'!E:E,0)),"N")</f>
        <v>N</v>
      </c>
      <c r="I388" s="18" t="str">
        <f>IFERROR(INDEX('Docs Signed Input'!C:C,MATCH('Nate''s Evolution'!B388,'Docs Signed Input'!E:E,0)),"N")</f>
        <v>N</v>
      </c>
      <c r="L388" t="s">
        <v>2258</v>
      </c>
      <c r="M388" t="s">
        <v>4000</v>
      </c>
      <c r="N388">
        <v>8</v>
      </c>
      <c r="O388">
        <v>8</v>
      </c>
      <c r="P388" s="6">
        <v>42011.972430555557</v>
      </c>
      <c r="Q388" t="s">
        <v>3896</v>
      </c>
      <c r="R388" t="s">
        <v>3918</v>
      </c>
      <c r="S388" t="s">
        <v>3438</v>
      </c>
      <c r="T388">
        <v>26</v>
      </c>
      <c r="V388" t="b">
        <v>1</v>
      </c>
      <c r="Y388" s="6">
        <v>42037.431944444441</v>
      </c>
    </row>
    <row r="389" spans="1:25" x14ac:dyDescent="0.25">
      <c r="A389" t="s">
        <v>12761</v>
      </c>
      <c r="B389" t="s">
        <v>12442</v>
      </c>
      <c r="C389">
        <v>2.5499999999999998</v>
      </c>
      <c r="D389" t="s">
        <v>3893</v>
      </c>
      <c r="E389" t="s">
        <v>4117</v>
      </c>
      <c r="F389" s="18">
        <v>42005</v>
      </c>
      <c r="G389" s="18">
        <v>42009</v>
      </c>
      <c r="H389" s="18" t="str">
        <f>IFERROR(INDEX('Docs Signed Input'!B:B,MATCH('Nate''s Evolution'!$B389,'Docs Signed Input'!E:E,0)),"N")</f>
        <v>N</v>
      </c>
      <c r="I389" s="18" t="str">
        <f>IFERROR(INDEX('Docs Signed Input'!C:C,MATCH('Nate''s Evolution'!B389,'Docs Signed Input'!E:E,0)),"N")</f>
        <v>N</v>
      </c>
      <c r="L389" t="s">
        <v>2258</v>
      </c>
      <c r="M389" t="s">
        <v>4317</v>
      </c>
      <c r="N389">
        <v>2.5499999999999998</v>
      </c>
      <c r="O389">
        <v>2.5499999999999998</v>
      </c>
      <c r="P389" s="6">
        <v>42035.818124999998</v>
      </c>
      <c r="Q389" t="s">
        <v>3896</v>
      </c>
      <c r="R389" t="s">
        <v>11563</v>
      </c>
      <c r="S389" t="s">
        <v>12122</v>
      </c>
      <c r="T389">
        <v>2</v>
      </c>
      <c r="X389" t="b">
        <v>1</v>
      </c>
      <c r="Y389" s="6">
        <v>42037.431944444441</v>
      </c>
    </row>
    <row r="390" spans="1:25" x14ac:dyDescent="0.25">
      <c r="A390" t="s">
        <v>12762</v>
      </c>
      <c r="B390" t="s">
        <v>12665</v>
      </c>
      <c r="C390">
        <v>9</v>
      </c>
      <c r="D390" t="s">
        <v>3893</v>
      </c>
      <c r="E390" t="s">
        <v>3925</v>
      </c>
      <c r="F390" s="18">
        <v>42005</v>
      </c>
      <c r="G390" s="18">
        <v>42009</v>
      </c>
      <c r="H390" s="18" t="str">
        <f>IFERROR(INDEX('Docs Signed Input'!B:B,MATCH('Nate''s Evolution'!$B390,'Docs Signed Input'!E:E,0)),"N")</f>
        <v>N</v>
      </c>
      <c r="I390" s="18" t="str">
        <f>IFERROR(INDEX('Docs Signed Input'!C:C,MATCH('Nate''s Evolution'!B390,'Docs Signed Input'!E:E,0)),"N")</f>
        <v>N</v>
      </c>
      <c r="J390" s="18">
        <v>42014</v>
      </c>
      <c r="L390" t="s">
        <v>2258</v>
      </c>
      <c r="M390" t="s">
        <v>3926</v>
      </c>
      <c r="N390">
        <v>8.75</v>
      </c>
      <c r="O390">
        <v>9</v>
      </c>
      <c r="P390" s="6">
        <v>42035.818124999998</v>
      </c>
      <c r="Q390" t="s">
        <v>3896</v>
      </c>
      <c r="R390" t="s">
        <v>11563</v>
      </c>
      <c r="S390" t="s">
        <v>2591</v>
      </c>
      <c r="T390">
        <v>2</v>
      </c>
      <c r="X390" t="b">
        <v>1</v>
      </c>
      <c r="Y390" s="6">
        <v>42037.431944444441</v>
      </c>
    </row>
    <row r="391" spans="1:25" x14ac:dyDescent="0.25">
      <c r="A391" t="s">
        <v>12763</v>
      </c>
      <c r="B391" t="s">
        <v>12666</v>
      </c>
      <c r="C391">
        <v>7</v>
      </c>
      <c r="D391" t="s">
        <v>3893</v>
      </c>
      <c r="E391" t="s">
        <v>3894</v>
      </c>
      <c r="F391" s="18">
        <v>42005</v>
      </c>
      <c r="G391" s="18">
        <v>42009</v>
      </c>
      <c r="H391" s="18" t="str">
        <f>IFERROR(INDEX('Docs Signed Input'!B:B,MATCH('Nate''s Evolution'!$B391,'Docs Signed Input'!E:E,0)),"N")</f>
        <v>N</v>
      </c>
      <c r="I391" s="18" t="str">
        <f>IFERROR(INDEX('Docs Signed Input'!C:C,MATCH('Nate''s Evolution'!B391,'Docs Signed Input'!E:E,0)),"N")</f>
        <v>y</v>
      </c>
      <c r="J391" s="18">
        <v>42017</v>
      </c>
      <c r="L391" t="s">
        <v>2258</v>
      </c>
      <c r="M391" t="s">
        <v>3930</v>
      </c>
      <c r="N391">
        <v>7</v>
      </c>
      <c r="O391">
        <v>7</v>
      </c>
      <c r="P391" s="6">
        <v>42035.818124999998</v>
      </c>
      <c r="Q391" t="s">
        <v>3896</v>
      </c>
      <c r="R391" t="s">
        <v>11563</v>
      </c>
      <c r="S391" t="s">
        <v>11810</v>
      </c>
      <c r="T391">
        <v>2</v>
      </c>
      <c r="X391" t="b">
        <v>1</v>
      </c>
      <c r="Y391" s="6">
        <v>42037.431944444441</v>
      </c>
    </row>
    <row r="392" spans="1:25" x14ac:dyDescent="0.25">
      <c r="A392" t="s">
        <v>12764</v>
      </c>
      <c r="B392" t="s">
        <v>12444</v>
      </c>
      <c r="C392">
        <v>5.61</v>
      </c>
      <c r="D392" t="s">
        <v>3893</v>
      </c>
      <c r="E392" t="s">
        <v>3916</v>
      </c>
      <c r="F392" s="18">
        <v>42005</v>
      </c>
      <c r="G392" s="18">
        <v>42009</v>
      </c>
      <c r="H392" s="18" t="str">
        <f>IFERROR(INDEX('Docs Signed Input'!B:B,MATCH('Nate''s Evolution'!$B392,'Docs Signed Input'!E:E,0)),"N")</f>
        <v>N</v>
      </c>
      <c r="I392" s="18" t="str">
        <f>IFERROR(INDEX('Docs Signed Input'!C:C,MATCH('Nate''s Evolution'!B392,'Docs Signed Input'!E:E,0)),"N")</f>
        <v>N</v>
      </c>
      <c r="L392" t="s">
        <v>3460</v>
      </c>
      <c r="M392" t="s">
        <v>4317</v>
      </c>
      <c r="N392">
        <v>5.3550000000000004</v>
      </c>
      <c r="O392">
        <v>5.61</v>
      </c>
      <c r="P392" s="6">
        <v>42020.59542824074</v>
      </c>
      <c r="Q392" t="s">
        <v>3896</v>
      </c>
      <c r="R392" t="s">
        <v>11563</v>
      </c>
      <c r="S392" t="s">
        <v>3459</v>
      </c>
      <c r="T392">
        <v>17</v>
      </c>
      <c r="X392" t="b">
        <v>1</v>
      </c>
      <c r="Y392" s="6">
        <v>42037.431944444441</v>
      </c>
    </row>
    <row r="393" spans="1:25" x14ac:dyDescent="0.25">
      <c r="A393" t="s">
        <v>12765</v>
      </c>
      <c r="B393" t="s">
        <v>12667</v>
      </c>
      <c r="C393">
        <v>3.5</v>
      </c>
      <c r="D393" t="s">
        <v>3893</v>
      </c>
      <c r="E393" t="s">
        <v>4888</v>
      </c>
      <c r="F393" s="18">
        <v>42005</v>
      </c>
      <c r="G393" s="18">
        <v>42009</v>
      </c>
      <c r="H393" s="18" t="str">
        <f>IFERROR(INDEX('Docs Signed Input'!B:B,MATCH('Nate''s Evolution'!$B393,'Docs Signed Input'!E:E,0)),"N")</f>
        <v>N</v>
      </c>
      <c r="I393" s="18" t="str">
        <f>IFERROR(INDEX('Docs Signed Input'!C:C,MATCH('Nate''s Evolution'!B393,'Docs Signed Input'!E:E,0)),"N")</f>
        <v>N</v>
      </c>
      <c r="J393" s="18">
        <v>42034</v>
      </c>
      <c r="L393" t="s">
        <v>2258</v>
      </c>
      <c r="M393" t="s">
        <v>12976</v>
      </c>
      <c r="N393">
        <v>3.5</v>
      </c>
      <c r="O393">
        <v>3.5</v>
      </c>
      <c r="P393" s="6">
        <v>42035.818124999998</v>
      </c>
      <c r="Q393" t="s">
        <v>3896</v>
      </c>
      <c r="R393" t="s">
        <v>11563</v>
      </c>
      <c r="S393" t="s">
        <v>3438</v>
      </c>
      <c r="T393">
        <v>2</v>
      </c>
      <c r="X393" t="b">
        <v>1</v>
      </c>
      <c r="Y393" s="6">
        <v>42037.431944444441</v>
      </c>
    </row>
    <row r="394" spans="1:25" x14ac:dyDescent="0.25">
      <c r="A394" t="s">
        <v>12766</v>
      </c>
      <c r="B394" t="s">
        <v>12446</v>
      </c>
      <c r="C394">
        <v>5.3550000000000004</v>
      </c>
      <c r="D394" t="s">
        <v>3893</v>
      </c>
      <c r="E394" t="s">
        <v>4117</v>
      </c>
      <c r="F394" s="18">
        <v>42005</v>
      </c>
      <c r="G394" s="18">
        <v>42009</v>
      </c>
      <c r="H394" s="18" t="str">
        <f>IFERROR(INDEX('Docs Signed Input'!B:B,MATCH('Nate''s Evolution'!$B394,'Docs Signed Input'!E:E,0)),"N")</f>
        <v>N</v>
      </c>
      <c r="I394" s="18" t="str">
        <f>IFERROR(INDEX('Docs Signed Input'!C:C,MATCH('Nate''s Evolution'!B394,'Docs Signed Input'!E:E,0)),"N")</f>
        <v>N</v>
      </c>
      <c r="L394" t="s">
        <v>2258</v>
      </c>
      <c r="M394" t="s">
        <v>4317</v>
      </c>
      <c r="N394">
        <v>5.3550000000000004</v>
      </c>
      <c r="O394">
        <v>5.3550000000000004</v>
      </c>
      <c r="P394" s="6">
        <v>42035.818124999998</v>
      </c>
      <c r="Q394" t="s">
        <v>3896</v>
      </c>
      <c r="R394" t="s">
        <v>11563</v>
      </c>
      <c r="S394" t="s">
        <v>12122</v>
      </c>
      <c r="T394">
        <v>2</v>
      </c>
      <c r="X394" t="b">
        <v>1</v>
      </c>
      <c r="Y394" s="6">
        <v>42037.431944444441</v>
      </c>
    </row>
    <row r="395" spans="1:25" x14ac:dyDescent="0.25">
      <c r="A395" t="s">
        <v>12745</v>
      </c>
      <c r="B395" t="s">
        <v>12652</v>
      </c>
      <c r="C395">
        <v>5.8650000000000002</v>
      </c>
      <c r="D395" t="s">
        <v>3893</v>
      </c>
      <c r="E395" t="s">
        <v>3989</v>
      </c>
      <c r="F395" s="18">
        <v>42005</v>
      </c>
      <c r="G395" s="18">
        <v>42010</v>
      </c>
      <c r="H395" s="18" t="str">
        <f>IFERROR(INDEX('Docs Signed Input'!B:B,MATCH('Nate''s Evolution'!$B395,'Docs Signed Input'!E:E,0)),"N")</f>
        <v>N</v>
      </c>
      <c r="I395" s="18" t="str">
        <f>IFERROR(INDEX('Docs Signed Input'!C:C,MATCH('Nate''s Evolution'!B395,'Docs Signed Input'!E:E,0)),"N")</f>
        <v>N</v>
      </c>
      <c r="L395" t="s">
        <v>3460</v>
      </c>
      <c r="M395" t="s">
        <v>4317</v>
      </c>
      <c r="N395">
        <v>5.8650000000000002</v>
      </c>
      <c r="O395">
        <v>5.8650000000000002</v>
      </c>
      <c r="P395" s="6">
        <v>42035.818124999998</v>
      </c>
      <c r="Q395" t="s">
        <v>3896</v>
      </c>
      <c r="R395" t="s">
        <v>11563</v>
      </c>
      <c r="S395" t="s">
        <v>3459</v>
      </c>
      <c r="T395">
        <v>2</v>
      </c>
      <c r="X395" t="b">
        <v>1</v>
      </c>
      <c r="Y395" s="6">
        <v>42037.431944444441</v>
      </c>
    </row>
    <row r="396" spans="1:25" x14ac:dyDescent="0.25">
      <c r="A396" t="s">
        <v>12746</v>
      </c>
      <c r="B396" t="s">
        <v>12653</v>
      </c>
      <c r="C396">
        <v>9.9450000000000003</v>
      </c>
      <c r="D396" t="s">
        <v>3893</v>
      </c>
      <c r="E396" t="s">
        <v>4117</v>
      </c>
      <c r="F396" s="18">
        <v>42005</v>
      </c>
      <c r="G396" s="18">
        <v>42010</v>
      </c>
      <c r="H396" s="18" t="str">
        <f>IFERROR(INDEX('Docs Signed Input'!B:B,MATCH('Nate''s Evolution'!$B396,'Docs Signed Input'!E:E,0)),"N")</f>
        <v>N</v>
      </c>
      <c r="I396" s="18" t="str">
        <f>IFERROR(INDEX('Docs Signed Input'!C:C,MATCH('Nate''s Evolution'!B396,'Docs Signed Input'!E:E,0)),"N")</f>
        <v>N</v>
      </c>
      <c r="L396" t="s">
        <v>2258</v>
      </c>
      <c r="M396" t="s">
        <v>3933</v>
      </c>
      <c r="N396">
        <v>9.9450000000000003</v>
      </c>
      <c r="O396">
        <v>9.9450000000000003</v>
      </c>
      <c r="P396" s="6">
        <v>42035.818124999998</v>
      </c>
      <c r="Q396" t="s">
        <v>3896</v>
      </c>
      <c r="R396" t="s">
        <v>11563</v>
      </c>
      <c r="S396" t="s">
        <v>3154</v>
      </c>
      <c r="T396">
        <v>2</v>
      </c>
      <c r="X396" t="b">
        <v>1</v>
      </c>
      <c r="Y396" s="6">
        <v>42037.431944444441</v>
      </c>
    </row>
    <row r="397" spans="1:25" x14ac:dyDescent="0.25">
      <c r="A397" t="s">
        <v>12747</v>
      </c>
      <c r="B397" t="s">
        <v>12654</v>
      </c>
      <c r="C397">
        <v>15.75</v>
      </c>
      <c r="D397" t="s">
        <v>3893</v>
      </c>
      <c r="E397" t="s">
        <v>3894</v>
      </c>
      <c r="F397" s="18">
        <v>42005</v>
      </c>
      <c r="G397" s="18">
        <v>42010</v>
      </c>
      <c r="H397" s="18" t="str">
        <f>IFERROR(INDEX('Docs Signed Input'!B:B,MATCH('Nate''s Evolution'!$B397,'Docs Signed Input'!E:E,0)),"N")</f>
        <v>Y</v>
      </c>
      <c r="I397" s="18" t="str">
        <f>IFERROR(INDEX('Docs Signed Input'!C:C,MATCH('Nate''s Evolution'!B397,'Docs Signed Input'!E:E,0)),"N")</f>
        <v>N</v>
      </c>
      <c r="L397" t="s">
        <v>2258</v>
      </c>
      <c r="M397" t="s">
        <v>13127</v>
      </c>
      <c r="N397">
        <v>12.5</v>
      </c>
      <c r="O397">
        <v>15.75</v>
      </c>
      <c r="P397" s="6">
        <v>42037.428587962961</v>
      </c>
      <c r="Q397" t="s">
        <v>3896</v>
      </c>
      <c r="S397" t="s">
        <v>2277</v>
      </c>
      <c r="T397">
        <v>0</v>
      </c>
      <c r="X397" t="b">
        <v>1</v>
      </c>
      <c r="Y397" s="6">
        <v>42037.431944444441</v>
      </c>
    </row>
    <row r="398" spans="1:25" x14ac:dyDescent="0.25">
      <c r="A398" t="s">
        <v>13147</v>
      </c>
      <c r="B398" t="s">
        <v>12655</v>
      </c>
      <c r="C398">
        <v>7.5</v>
      </c>
      <c r="D398" t="s">
        <v>3950</v>
      </c>
      <c r="E398" t="s">
        <v>5475</v>
      </c>
      <c r="F398" s="18">
        <v>42005</v>
      </c>
      <c r="G398" s="18">
        <v>42010</v>
      </c>
      <c r="H398" s="18" t="str">
        <f>IFERROR(INDEX('Docs Signed Input'!B:B,MATCH('Nate''s Evolution'!$B398,'Docs Signed Input'!E:E,0)),"N")</f>
        <v>Y</v>
      </c>
      <c r="I398" s="18" t="str">
        <f>IFERROR(INDEX('Docs Signed Input'!C:C,MATCH('Nate''s Evolution'!B398,'Docs Signed Input'!E:E,0)),"N")</f>
        <v>Y</v>
      </c>
      <c r="J398" s="18">
        <v>42027</v>
      </c>
      <c r="K398" s="18">
        <v>42031</v>
      </c>
      <c r="L398" t="s">
        <v>2258</v>
      </c>
      <c r="M398" t="s">
        <v>3930</v>
      </c>
      <c r="N398">
        <v>7.5</v>
      </c>
      <c r="O398">
        <v>8</v>
      </c>
      <c r="P398" s="6">
        <v>42032.694189814814</v>
      </c>
      <c r="Q398" t="s">
        <v>3896</v>
      </c>
      <c r="S398" t="s">
        <v>11467</v>
      </c>
      <c r="T398">
        <v>5</v>
      </c>
      <c r="W398" t="b">
        <v>1</v>
      </c>
      <c r="Y398" s="6">
        <v>42037.431944444441</v>
      </c>
    </row>
    <row r="399" spans="1:25" x14ac:dyDescent="0.25">
      <c r="A399" t="s">
        <v>12748</v>
      </c>
      <c r="B399" t="s">
        <v>12656</v>
      </c>
      <c r="C399">
        <v>3.75</v>
      </c>
      <c r="D399" t="s">
        <v>3893</v>
      </c>
      <c r="E399" t="s">
        <v>3916</v>
      </c>
      <c r="F399" s="18">
        <v>42005</v>
      </c>
      <c r="G399" s="18">
        <v>42010</v>
      </c>
      <c r="H399" s="18" t="str">
        <f>IFERROR(INDEX('Docs Signed Input'!B:B,MATCH('Nate''s Evolution'!$B399,'Docs Signed Input'!E:E,0)),"N")</f>
        <v>N</v>
      </c>
      <c r="I399" s="18" t="str">
        <f>IFERROR(INDEX('Docs Signed Input'!C:C,MATCH('Nate''s Evolution'!B399,'Docs Signed Input'!E:E,0)),"N")</f>
        <v>N</v>
      </c>
      <c r="L399" t="s">
        <v>2258</v>
      </c>
      <c r="M399" t="s">
        <v>12976</v>
      </c>
      <c r="N399">
        <v>3.75</v>
      </c>
      <c r="O399">
        <v>4.25</v>
      </c>
      <c r="P399" s="6">
        <v>42035.818124999998</v>
      </c>
      <c r="Q399" t="s">
        <v>3896</v>
      </c>
      <c r="R399" t="s">
        <v>3911</v>
      </c>
      <c r="S399" t="s">
        <v>3519</v>
      </c>
      <c r="T399">
        <v>2</v>
      </c>
      <c r="X399" t="b">
        <v>1</v>
      </c>
      <c r="Y399" s="6">
        <v>42037.431944444441</v>
      </c>
    </row>
    <row r="400" spans="1:25" x14ac:dyDescent="0.25">
      <c r="A400" t="s">
        <v>12749</v>
      </c>
      <c r="B400" t="s">
        <v>12657</v>
      </c>
      <c r="C400">
        <v>3</v>
      </c>
      <c r="D400" t="s">
        <v>3893</v>
      </c>
      <c r="E400" t="s">
        <v>3925</v>
      </c>
      <c r="F400" s="18">
        <v>42005</v>
      </c>
      <c r="G400" s="18">
        <v>42010</v>
      </c>
      <c r="H400" s="18" t="str">
        <f>IFERROR(INDEX('Docs Signed Input'!B:B,MATCH('Nate''s Evolution'!$B400,'Docs Signed Input'!E:E,0)),"N")</f>
        <v>Y</v>
      </c>
      <c r="I400" s="18" t="str">
        <f>IFERROR(INDEX('Docs Signed Input'!C:C,MATCH('Nate''s Evolution'!B400,'Docs Signed Input'!E:E,0)),"N")</f>
        <v>N</v>
      </c>
      <c r="J400" s="18">
        <v>42033</v>
      </c>
      <c r="L400" t="s">
        <v>23</v>
      </c>
      <c r="M400" t="s">
        <v>3926</v>
      </c>
      <c r="N400">
        <v>2.75</v>
      </c>
      <c r="O400">
        <v>3</v>
      </c>
      <c r="P400" s="6">
        <v>42035.818124999998</v>
      </c>
      <c r="Q400" t="s">
        <v>3896</v>
      </c>
      <c r="R400" t="s">
        <v>3921</v>
      </c>
      <c r="S400" t="s">
        <v>2680</v>
      </c>
      <c r="T400">
        <v>2</v>
      </c>
      <c r="X400" t="b">
        <v>1</v>
      </c>
      <c r="Y400" s="6">
        <v>42037.431944444441</v>
      </c>
    </row>
    <row r="401" spans="1:25" x14ac:dyDescent="0.25">
      <c r="A401" t="s">
        <v>12750</v>
      </c>
      <c r="B401" t="s">
        <v>12658</v>
      </c>
      <c r="C401">
        <v>3.8250000000000002</v>
      </c>
      <c r="D401" t="s">
        <v>3893</v>
      </c>
      <c r="E401" t="s">
        <v>3894</v>
      </c>
      <c r="F401" s="18">
        <v>42005</v>
      </c>
      <c r="G401" s="18">
        <v>42010</v>
      </c>
      <c r="H401" s="18" t="str">
        <f>IFERROR(INDEX('Docs Signed Input'!B:B,MATCH('Nate''s Evolution'!$B401,'Docs Signed Input'!E:E,0)),"N")</f>
        <v>N</v>
      </c>
      <c r="I401" s="18" t="str">
        <f>IFERROR(INDEX('Docs Signed Input'!C:C,MATCH('Nate''s Evolution'!B401,'Docs Signed Input'!E:E,0)),"N")</f>
        <v>Y</v>
      </c>
      <c r="J401" s="18">
        <v>42018</v>
      </c>
      <c r="L401" t="s">
        <v>2258</v>
      </c>
      <c r="M401" t="s">
        <v>3948</v>
      </c>
      <c r="N401">
        <v>3.8250000000000002</v>
      </c>
      <c r="O401">
        <v>4.08</v>
      </c>
      <c r="P401" s="6">
        <v>42035.818124999998</v>
      </c>
      <c r="Q401" t="s">
        <v>3896</v>
      </c>
      <c r="R401" t="s">
        <v>11563</v>
      </c>
      <c r="S401" t="s">
        <v>3485</v>
      </c>
      <c r="T401">
        <v>2</v>
      </c>
      <c r="X401" t="b">
        <v>1</v>
      </c>
      <c r="Y401" s="6">
        <v>42037.431944444441</v>
      </c>
    </row>
    <row r="402" spans="1:25" x14ac:dyDescent="0.25">
      <c r="A402" t="s">
        <v>12751</v>
      </c>
      <c r="B402" t="s">
        <v>12659</v>
      </c>
      <c r="C402">
        <v>5.0999999999999996</v>
      </c>
      <c r="D402" t="s">
        <v>3893</v>
      </c>
      <c r="E402" t="s">
        <v>3894</v>
      </c>
      <c r="F402" s="18">
        <v>42005</v>
      </c>
      <c r="G402" s="18">
        <v>42010</v>
      </c>
      <c r="H402" s="18" t="str">
        <f>IFERROR(INDEX('Docs Signed Input'!B:B,MATCH('Nate''s Evolution'!$B402,'Docs Signed Input'!E:E,0)),"N")</f>
        <v>N</v>
      </c>
      <c r="I402" s="18" t="str">
        <f>IFERROR(INDEX('Docs Signed Input'!C:C,MATCH('Nate''s Evolution'!B402,'Docs Signed Input'!E:E,0)),"N")</f>
        <v>N</v>
      </c>
      <c r="J402" s="18">
        <v>42019</v>
      </c>
      <c r="L402" t="s">
        <v>2258</v>
      </c>
      <c r="M402" t="s">
        <v>3933</v>
      </c>
      <c r="N402">
        <v>5.0999999999999996</v>
      </c>
      <c r="O402">
        <v>5.0999999999999996</v>
      </c>
      <c r="P402" s="6">
        <v>42035.818124999998</v>
      </c>
      <c r="Q402" t="s">
        <v>3896</v>
      </c>
      <c r="R402" t="s">
        <v>3918</v>
      </c>
      <c r="S402" t="s">
        <v>11503</v>
      </c>
      <c r="T402">
        <v>2</v>
      </c>
      <c r="X402" t="b">
        <v>1</v>
      </c>
      <c r="Y402" s="6">
        <v>42037.431944444441</v>
      </c>
    </row>
    <row r="403" spans="1:25" x14ac:dyDescent="0.25">
      <c r="A403" t="s">
        <v>12752</v>
      </c>
      <c r="B403" t="s">
        <v>12660</v>
      </c>
      <c r="C403">
        <v>9.5</v>
      </c>
      <c r="D403" t="s">
        <v>3893</v>
      </c>
      <c r="E403" t="s">
        <v>3925</v>
      </c>
      <c r="F403" s="18">
        <v>42005</v>
      </c>
      <c r="G403" s="18">
        <v>42010</v>
      </c>
      <c r="H403" s="18" t="str">
        <f>IFERROR(INDEX('Docs Signed Input'!B:B,MATCH('Nate''s Evolution'!$B403,'Docs Signed Input'!E:E,0)),"N")</f>
        <v>N</v>
      </c>
      <c r="I403" s="18" t="str">
        <f>IFERROR(INDEX('Docs Signed Input'!C:C,MATCH('Nate''s Evolution'!B403,'Docs Signed Input'!E:E,0)),"N")</f>
        <v>N</v>
      </c>
      <c r="J403" s="18">
        <v>42036</v>
      </c>
      <c r="L403" t="s">
        <v>2258</v>
      </c>
      <c r="M403" t="s">
        <v>12976</v>
      </c>
      <c r="N403">
        <v>9.25</v>
      </c>
      <c r="O403">
        <v>9.5</v>
      </c>
      <c r="P403" s="6">
        <v>42036.818182870367</v>
      </c>
      <c r="Q403" t="s">
        <v>3896</v>
      </c>
      <c r="R403" t="s">
        <v>11563</v>
      </c>
      <c r="S403" t="s">
        <v>3519</v>
      </c>
      <c r="T403">
        <v>1</v>
      </c>
      <c r="X403" t="b">
        <v>1</v>
      </c>
      <c r="Y403" s="6">
        <v>42037.431944444441</v>
      </c>
    </row>
    <row r="404" spans="1:25" x14ac:dyDescent="0.25">
      <c r="A404" t="s">
        <v>12753</v>
      </c>
      <c r="B404" t="s">
        <v>12661</v>
      </c>
      <c r="C404">
        <v>5.46</v>
      </c>
      <c r="D404" t="s">
        <v>3893</v>
      </c>
      <c r="E404" t="s">
        <v>4117</v>
      </c>
      <c r="F404" s="18">
        <v>42005</v>
      </c>
      <c r="G404" s="18">
        <v>42010</v>
      </c>
      <c r="H404" s="18" t="str">
        <f>IFERROR(INDEX('Docs Signed Input'!B:B,MATCH('Nate''s Evolution'!$B404,'Docs Signed Input'!E:E,0)),"N")</f>
        <v>Y</v>
      </c>
      <c r="I404" s="18" t="str">
        <f>IFERROR(INDEX('Docs Signed Input'!C:C,MATCH('Nate''s Evolution'!B404,'Docs Signed Input'!E:E,0)),"N")</f>
        <v>N</v>
      </c>
      <c r="L404" t="s">
        <v>2258</v>
      </c>
      <c r="M404" t="s">
        <v>5081</v>
      </c>
      <c r="N404">
        <v>5.46</v>
      </c>
      <c r="O404">
        <v>5.46</v>
      </c>
      <c r="P404" s="6">
        <v>42035.818124999998</v>
      </c>
      <c r="Q404" t="s">
        <v>3896</v>
      </c>
      <c r="R404" t="s">
        <v>8024</v>
      </c>
      <c r="S404" t="s">
        <v>3412</v>
      </c>
      <c r="T404">
        <v>2</v>
      </c>
      <c r="X404" t="b">
        <v>1</v>
      </c>
      <c r="Y404" s="6">
        <v>42037.431944444441</v>
      </c>
    </row>
    <row r="405" spans="1:25" x14ac:dyDescent="0.25">
      <c r="A405" t="s">
        <v>12754</v>
      </c>
      <c r="B405" t="s">
        <v>12662</v>
      </c>
      <c r="C405">
        <v>5.8650000000000002</v>
      </c>
      <c r="D405" t="s">
        <v>3893</v>
      </c>
      <c r="E405" t="s">
        <v>3989</v>
      </c>
      <c r="F405" s="18">
        <v>42005</v>
      </c>
      <c r="G405" s="18">
        <v>42010</v>
      </c>
      <c r="H405" s="18" t="str">
        <f>IFERROR(INDEX('Docs Signed Input'!B:B,MATCH('Nate''s Evolution'!$B405,'Docs Signed Input'!E:E,0)),"N")</f>
        <v>N</v>
      </c>
      <c r="I405" s="18" t="str">
        <f>IFERROR(INDEX('Docs Signed Input'!C:C,MATCH('Nate''s Evolution'!B405,'Docs Signed Input'!E:E,0)),"N")</f>
        <v>N</v>
      </c>
      <c r="L405" t="s">
        <v>3460</v>
      </c>
      <c r="M405" t="s">
        <v>4317</v>
      </c>
      <c r="N405">
        <v>5.8650000000000002</v>
      </c>
      <c r="O405">
        <v>5.8650000000000002</v>
      </c>
      <c r="P405" s="6">
        <v>42035.818124999998</v>
      </c>
      <c r="Q405" t="s">
        <v>3896</v>
      </c>
      <c r="R405" t="s">
        <v>11563</v>
      </c>
      <c r="S405" t="s">
        <v>3459</v>
      </c>
      <c r="T405">
        <v>2</v>
      </c>
      <c r="X405" t="b">
        <v>1</v>
      </c>
      <c r="Y405" s="6">
        <v>42037.431944444441</v>
      </c>
    </row>
    <row r="406" spans="1:25" x14ac:dyDescent="0.25">
      <c r="A406" t="s">
        <v>12736</v>
      </c>
      <c r="B406" t="s">
        <v>12643</v>
      </c>
      <c r="C406">
        <v>3.3149999999999999</v>
      </c>
      <c r="D406" t="s">
        <v>3893</v>
      </c>
      <c r="E406" t="s">
        <v>3894</v>
      </c>
      <c r="F406" s="18">
        <v>42005</v>
      </c>
      <c r="G406" s="18">
        <v>42011</v>
      </c>
      <c r="H406" s="18" t="str">
        <f>IFERROR(INDEX('Docs Signed Input'!B:B,MATCH('Nate''s Evolution'!$B406,'Docs Signed Input'!E:E,0)),"N")</f>
        <v>N</v>
      </c>
      <c r="I406" s="18" t="str">
        <f>IFERROR(INDEX('Docs Signed Input'!C:C,MATCH('Nate''s Evolution'!B406,'Docs Signed Input'!E:E,0)),"N")</f>
        <v>Y</v>
      </c>
      <c r="J406" s="18">
        <v>42029</v>
      </c>
      <c r="L406" t="s">
        <v>2258</v>
      </c>
      <c r="M406" t="s">
        <v>3932</v>
      </c>
      <c r="N406">
        <v>3.3149999999999999</v>
      </c>
      <c r="O406">
        <v>3.3149999999999999</v>
      </c>
      <c r="P406" s="6">
        <v>42035.818124999998</v>
      </c>
      <c r="Q406" t="s">
        <v>3896</v>
      </c>
      <c r="R406" t="s">
        <v>11563</v>
      </c>
      <c r="S406" t="s">
        <v>3589</v>
      </c>
      <c r="T406">
        <v>2</v>
      </c>
      <c r="X406" t="b">
        <v>1</v>
      </c>
      <c r="Y406" s="6">
        <v>42037.431944444441</v>
      </c>
    </row>
    <row r="407" spans="1:25" x14ac:dyDescent="0.25">
      <c r="A407" t="s">
        <v>12737</v>
      </c>
      <c r="B407" t="s">
        <v>12644</v>
      </c>
      <c r="C407">
        <v>6.375</v>
      </c>
      <c r="D407" t="s">
        <v>3893</v>
      </c>
      <c r="E407" t="s">
        <v>3894</v>
      </c>
      <c r="F407" s="18">
        <v>42005</v>
      </c>
      <c r="G407" s="18">
        <v>42011</v>
      </c>
      <c r="H407" s="18" t="str">
        <f>IFERROR(INDEX('Docs Signed Input'!B:B,MATCH('Nate''s Evolution'!$B407,'Docs Signed Input'!E:E,0)),"N")</f>
        <v>N</v>
      </c>
      <c r="I407" s="18" t="str">
        <f>IFERROR(INDEX('Docs Signed Input'!C:C,MATCH('Nate''s Evolution'!B407,'Docs Signed Input'!E:E,0)),"N")</f>
        <v>Y</v>
      </c>
      <c r="J407" s="18">
        <v>42022</v>
      </c>
      <c r="L407" t="s">
        <v>2258</v>
      </c>
      <c r="M407" t="s">
        <v>3948</v>
      </c>
      <c r="N407">
        <v>5.3550000000000004</v>
      </c>
      <c r="O407">
        <v>6.375</v>
      </c>
      <c r="P407" s="6">
        <v>42035.818124999998</v>
      </c>
      <c r="Q407" t="s">
        <v>3896</v>
      </c>
      <c r="R407" t="s">
        <v>3918</v>
      </c>
      <c r="S407" t="s">
        <v>2689</v>
      </c>
      <c r="T407">
        <v>2</v>
      </c>
      <c r="X407" t="b">
        <v>1</v>
      </c>
      <c r="Y407" s="6">
        <v>42037.431944444441</v>
      </c>
    </row>
    <row r="408" spans="1:25" x14ac:dyDescent="0.25">
      <c r="A408" t="s">
        <v>12738</v>
      </c>
      <c r="B408" t="s">
        <v>12645</v>
      </c>
      <c r="C408">
        <v>2.5499999999999998</v>
      </c>
      <c r="D408" t="s">
        <v>3893</v>
      </c>
      <c r="E408" t="s">
        <v>4117</v>
      </c>
      <c r="F408" s="18">
        <v>42005</v>
      </c>
      <c r="G408" s="18">
        <v>42011</v>
      </c>
      <c r="H408" s="18" t="str">
        <f>IFERROR(INDEX('Docs Signed Input'!B:B,MATCH('Nate''s Evolution'!$B408,'Docs Signed Input'!E:E,0)),"N")</f>
        <v>N</v>
      </c>
      <c r="I408" s="18" t="str">
        <f>IFERROR(INDEX('Docs Signed Input'!C:C,MATCH('Nate''s Evolution'!B408,'Docs Signed Input'!E:E,0)),"N")</f>
        <v>N</v>
      </c>
      <c r="L408" t="s">
        <v>2252</v>
      </c>
      <c r="M408" t="s">
        <v>3948</v>
      </c>
      <c r="N408">
        <v>2.5499999999999998</v>
      </c>
      <c r="O408">
        <v>2.5499999999999998</v>
      </c>
      <c r="P408" s="6">
        <v>42035.818124999998</v>
      </c>
      <c r="Q408" t="s">
        <v>3896</v>
      </c>
      <c r="R408" t="s">
        <v>11563</v>
      </c>
      <c r="S408" t="s">
        <v>2251</v>
      </c>
      <c r="T408">
        <v>2</v>
      </c>
      <c r="X408" t="b">
        <v>1</v>
      </c>
      <c r="Y408" s="6">
        <v>42037.431944444441</v>
      </c>
    </row>
    <row r="409" spans="1:25" x14ac:dyDescent="0.25">
      <c r="A409" t="s">
        <v>12739</v>
      </c>
      <c r="B409" t="s">
        <v>12646</v>
      </c>
      <c r="C409">
        <v>4.59</v>
      </c>
      <c r="D409" t="s">
        <v>3922</v>
      </c>
      <c r="E409" t="s">
        <v>3951</v>
      </c>
      <c r="F409" s="18">
        <v>42005</v>
      </c>
      <c r="G409" s="18">
        <v>42011</v>
      </c>
      <c r="H409" s="18" t="str">
        <f>IFERROR(INDEX('Docs Signed Input'!B:B,MATCH('Nate''s Evolution'!$B409,'Docs Signed Input'!E:E,0)),"N")</f>
        <v>Y</v>
      </c>
      <c r="I409" s="18" t="str">
        <f>IFERROR(INDEX('Docs Signed Input'!C:C,MATCH('Nate''s Evolution'!B409,'Docs Signed Input'!E:E,0)),"N")</f>
        <v>Y</v>
      </c>
      <c r="J409" s="18">
        <v>42025</v>
      </c>
      <c r="K409" s="18">
        <v>42039</v>
      </c>
      <c r="L409" t="s">
        <v>3460</v>
      </c>
      <c r="M409" t="s">
        <v>4317</v>
      </c>
      <c r="N409">
        <v>4.59</v>
      </c>
      <c r="O409">
        <v>12.75</v>
      </c>
      <c r="P409" s="6">
        <v>42034.431331018517</v>
      </c>
      <c r="Q409" t="s">
        <v>3896</v>
      </c>
      <c r="R409" t="s">
        <v>11563</v>
      </c>
      <c r="S409" t="s">
        <v>3459</v>
      </c>
      <c r="T409">
        <v>3</v>
      </c>
      <c r="X409" t="b">
        <v>1</v>
      </c>
      <c r="Y409" s="6">
        <v>42037.431944444441</v>
      </c>
    </row>
    <row r="410" spans="1:25" x14ac:dyDescent="0.25">
      <c r="A410" t="s">
        <v>12740</v>
      </c>
      <c r="B410" t="s">
        <v>12647</v>
      </c>
      <c r="C410">
        <v>8.25</v>
      </c>
      <c r="D410" t="s">
        <v>3893</v>
      </c>
      <c r="E410" t="s">
        <v>3916</v>
      </c>
      <c r="F410" s="18">
        <v>42005</v>
      </c>
      <c r="G410" s="18">
        <v>42011</v>
      </c>
      <c r="H410" s="18" t="str">
        <f>IFERROR(INDEX('Docs Signed Input'!B:B,MATCH('Nate''s Evolution'!$B410,'Docs Signed Input'!E:E,0)),"N")</f>
        <v>Y</v>
      </c>
      <c r="I410" s="18" t="str">
        <f>IFERROR(INDEX('Docs Signed Input'!C:C,MATCH('Nate''s Evolution'!B410,'Docs Signed Input'!E:E,0)),"N")</f>
        <v>N</v>
      </c>
      <c r="L410" t="s">
        <v>2258</v>
      </c>
      <c r="M410" t="s">
        <v>3902</v>
      </c>
      <c r="N410">
        <v>8.25</v>
      </c>
      <c r="O410">
        <v>8.75</v>
      </c>
      <c r="P410" s="6">
        <v>42035.818124999998</v>
      </c>
      <c r="Q410" t="s">
        <v>3896</v>
      </c>
      <c r="S410" t="s">
        <v>2813</v>
      </c>
      <c r="T410">
        <v>2</v>
      </c>
      <c r="X410" t="b">
        <v>1</v>
      </c>
      <c r="Y410" s="6">
        <v>42037.431944444441</v>
      </c>
    </row>
    <row r="411" spans="1:25" x14ac:dyDescent="0.25">
      <c r="A411" t="s">
        <v>12741</v>
      </c>
      <c r="B411" t="s">
        <v>12648</v>
      </c>
      <c r="C411">
        <v>6.24</v>
      </c>
      <c r="D411" t="s">
        <v>3893</v>
      </c>
      <c r="E411" t="s">
        <v>4117</v>
      </c>
      <c r="F411" s="18">
        <v>42005</v>
      </c>
      <c r="G411" s="18">
        <v>42011</v>
      </c>
      <c r="H411" s="18" t="str">
        <f>IFERROR(INDEX('Docs Signed Input'!B:B,MATCH('Nate''s Evolution'!$B411,'Docs Signed Input'!E:E,0)),"N")</f>
        <v>N</v>
      </c>
      <c r="I411" s="18" t="str">
        <f>IFERROR(INDEX('Docs Signed Input'!C:C,MATCH('Nate''s Evolution'!B411,'Docs Signed Input'!E:E,0)),"N")</f>
        <v>N</v>
      </c>
      <c r="L411" t="s">
        <v>2258</v>
      </c>
      <c r="M411" t="s">
        <v>3948</v>
      </c>
      <c r="N411">
        <v>6.24</v>
      </c>
      <c r="O411">
        <v>6.24</v>
      </c>
      <c r="P411" s="6">
        <v>42035.818124999998</v>
      </c>
      <c r="Q411" t="s">
        <v>3896</v>
      </c>
      <c r="R411" t="s">
        <v>11563</v>
      </c>
      <c r="S411" t="s">
        <v>3485</v>
      </c>
      <c r="T411">
        <v>2</v>
      </c>
      <c r="X411" t="b">
        <v>1</v>
      </c>
      <c r="Y411" s="6">
        <v>42037.431944444441</v>
      </c>
    </row>
    <row r="412" spans="1:25" x14ac:dyDescent="0.25">
      <c r="A412" t="s">
        <v>12742</v>
      </c>
      <c r="B412" t="s">
        <v>12649</v>
      </c>
      <c r="C412">
        <v>4.8449999999999998</v>
      </c>
      <c r="D412" t="s">
        <v>3893</v>
      </c>
      <c r="E412" t="s">
        <v>3894</v>
      </c>
      <c r="F412" s="18">
        <v>42005</v>
      </c>
      <c r="G412" s="18">
        <v>42011</v>
      </c>
      <c r="H412" s="18" t="str">
        <f>IFERROR(INDEX('Docs Signed Input'!B:B,MATCH('Nate''s Evolution'!$B412,'Docs Signed Input'!E:E,0)),"N")</f>
        <v>N</v>
      </c>
      <c r="I412" s="18" t="str">
        <f>IFERROR(INDEX('Docs Signed Input'!C:C,MATCH('Nate''s Evolution'!B412,'Docs Signed Input'!E:E,0)),"N")</f>
        <v>Y</v>
      </c>
      <c r="J412" s="18">
        <v>42021</v>
      </c>
      <c r="L412" t="s">
        <v>2258</v>
      </c>
      <c r="M412" t="s">
        <v>3933</v>
      </c>
      <c r="N412">
        <v>4.8449999999999998</v>
      </c>
      <c r="O412">
        <v>5.3550000000000004</v>
      </c>
      <c r="P412" s="6">
        <v>42035.818124999998</v>
      </c>
      <c r="Q412" t="s">
        <v>3896</v>
      </c>
      <c r="R412" t="s">
        <v>3918</v>
      </c>
      <c r="S412" t="s">
        <v>12267</v>
      </c>
      <c r="T412">
        <v>2</v>
      </c>
      <c r="X412" t="b">
        <v>1</v>
      </c>
      <c r="Y412" s="6">
        <v>42037.431944444441</v>
      </c>
    </row>
    <row r="413" spans="1:25" x14ac:dyDescent="0.25">
      <c r="A413" t="s">
        <v>12743</v>
      </c>
      <c r="B413" t="s">
        <v>12650</v>
      </c>
      <c r="C413">
        <v>8.67</v>
      </c>
      <c r="D413" t="s">
        <v>3922</v>
      </c>
      <c r="E413" t="s">
        <v>3951</v>
      </c>
      <c r="F413" s="18">
        <v>42005</v>
      </c>
      <c r="G413" s="18">
        <v>42011</v>
      </c>
      <c r="H413" s="18" t="str">
        <f>IFERROR(INDEX('Docs Signed Input'!B:B,MATCH('Nate''s Evolution'!$B413,'Docs Signed Input'!E:E,0)),"N")</f>
        <v>Y</v>
      </c>
      <c r="I413" s="18" t="str">
        <f>IFERROR(INDEX('Docs Signed Input'!C:C,MATCH('Nate''s Evolution'!B413,'Docs Signed Input'!E:E,0)),"N")</f>
        <v>Y</v>
      </c>
      <c r="J413" s="18">
        <v>42024</v>
      </c>
      <c r="K413" s="18">
        <v>42038</v>
      </c>
      <c r="L413" t="s">
        <v>2258</v>
      </c>
      <c r="M413" t="s">
        <v>4140</v>
      </c>
      <c r="N413">
        <v>8.67</v>
      </c>
      <c r="O413">
        <v>8.9250000000000007</v>
      </c>
      <c r="P413" s="6">
        <v>42033.625798611109</v>
      </c>
      <c r="Q413" t="s">
        <v>3896</v>
      </c>
      <c r="R413" t="s">
        <v>11760</v>
      </c>
      <c r="S413" t="s">
        <v>2591</v>
      </c>
      <c r="T413">
        <v>4</v>
      </c>
      <c r="X413" t="b">
        <v>1</v>
      </c>
      <c r="Y413" s="6">
        <v>42037.431944444441</v>
      </c>
    </row>
    <row r="414" spans="1:25" x14ac:dyDescent="0.25">
      <c r="A414" t="s">
        <v>12744</v>
      </c>
      <c r="B414" t="s">
        <v>12651</v>
      </c>
      <c r="C414">
        <v>14.28</v>
      </c>
      <c r="D414" t="s">
        <v>3893</v>
      </c>
      <c r="E414" t="s">
        <v>3894</v>
      </c>
      <c r="F414" s="18">
        <v>42005</v>
      </c>
      <c r="G414" s="18">
        <v>42011</v>
      </c>
      <c r="H414" s="18" t="str">
        <f>IFERROR(INDEX('Docs Signed Input'!B:B,MATCH('Nate''s Evolution'!$B414,'Docs Signed Input'!E:E,0)),"N")</f>
        <v>N</v>
      </c>
      <c r="I414" s="18" t="str">
        <f>IFERROR(INDEX('Docs Signed Input'!C:C,MATCH('Nate''s Evolution'!B414,'Docs Signed Input'!E:E,0)),"N")</f>
        <v>N</v>
      </c>
      <c r="L414" t="s">
        <v>2870</v>
      </c>
      <c r="M414" t="s">
        <v>4423</v>
      </c>
      <c r="N414">
        <v>14.28</v>
      </c>
      <c r="O414">
        <v>18.614999999999998</v>
      </c>
      <c r="P414" s="6">
        <v>42035.818124999998</v>
      </c>
      <c r="Q414" t="s">
        <v>3896</v>
      </c>
      <c r="R414" t="s">
        <v>11563</v>
      </c>
      <c r="S414" t="s">
        <v>2869</v>
      </c>
      <c r="T414">
        <v>2</v>
      </c>
      <c r="X414" t="b">
        <v>1</v>
      </c>
      <c r="Y414" s="6">
        <v>42037.431944444441</v>
      </c>
    </row>
    <row r="415" spans="1:25" x14ac:dyDescent="0.25">
      <c r="A415" t="s">
        <v>12725</v>
      </c>
      <c r="B415" t="s">
        <v>12632</v>
      </c>
      <c r="C415">
        <v>3.3149999999999999</v>
      </c>
      <c r="D415" t="s">
        <v>3893</v>
      </c>
      <c r="E415" t="s">
        <v>3894</v>
      </c>
      <c r="F415" s="18">
        <v>42005</v>
      </c>
      <c r="G415" s="18">
        <v>42012</v>
      </c>
      <c r="H415" s="18" t="str">
        <f>IFERROR(INDEX('Docs Signed Input'!B:B,MATCH('Nate''s Evolution'!$B415,'Docs Signed Input'!E:E,0)),"N")</f>
        <v>N</v>
      </c>
      <c r="I415" s="18" t="str">
        <f>IFERROR(INDEX('Docs Signed Input'!C:C,MATCH('Nate''s Evolution'!B415,'Docs Signed Input'!E:E,0)),"N")</f>
        <v>Y</v>
      </c>
      <c r="J415" s="18">
        <v>42015</v>
      </c>
      <c r="L415" t="s">
        <v>2258</v>
      </c>
      <c r="M415" t="s">
        <v>3933</v>
      </c>
      <c r="N415">
        <v>3.06</v>
      </c>
      <c r="O415">
        <v>3.57</v>
      </c>
      <c r="P415" s="6">
        <v>42035.818124999998</v>
      </c>
      <c r="Q415" t="s">
        <v>3896</v>
      </c>
      <c r="R415" t="s">
        <v>11563</v>
      </c>
      <c r="S415" t="s">
        <v>11497</v>
      </c>
      <c r="T415">
        <v>2</v>
      </c>
      <c r="X415" t="b">
        <v>1</v>
      </c>
      <c r="Y415" s="6">
        <v>42037.431944444441</v>
      </c>
    </row>
    <row r="416" spans="1:25" x14ac:dyDescent="0.25">
      <c r="A416" t="s">
        <v>12726</v>
      </c>
      <c r="B416" t="s">
        <v>12633</v>
      </c>
      <c r="C416">
        <v>3.3149999999999999</v>
      </c>
      <c r="D416" t="s">
        <v>3922</v>
      </c>
      <c r="E416" t="s">
        <v>3923</v>
      </c>
      <c r="F416" s="18">
        <v>42005</v>
      </c>
      <c r="G416" s="18">
        <v>42012</v>
      </c>
      <c r="H416" s="18" t="str">
        <f>IFERROR(INDEX('Docs Signed Input'!B:B,MATCH('Nate''s Evolution'!$B416,'Docs Signed Input'!E:E,0)),"N")</f>
        <v>N</v>
      </c>
      <c r="I416" s="18" t="str">
        <f>IFERROR(INDEX('Docs Signed Input'!C:C,MATCH('Nate''s Evolution'!B416,'Docs Signed Input'!E:E,0)),"N")</f>
        <v>Y</v>
      </c>
      <c r="J416" s="18">
        <v>42019</v>
      </c>
      <c r="L416" t="s">
        <v>3460</v>
      </c>
      <c r="M416" t="s">
        <v>4317</v>
      </c>
      <c r="N416">
        <v>3.3149999999999999</v>
      </c>
      <c r="O416">
        <v>3.8250000000000002</v>
      </c>
      <c r="P416" s="6">
        <v>42035.818124999998</v>
      </c>
      <c r="Q416" t="s">
        <v>3896</v>
      </c>
      <c r="R416" t="s">
        <v>11563</v>
      </c>
      <c r="S416" t="s">
        <v>3459</v>
      </c>
      <c r="T416">
        <v>2</v>
      </c>
      <c r="X416" t="b">
        <v>1</v>
      </c>
      <c r="Y416" s="6">
        <v>42037.431944444441</v>
      </c>
    </row>
    <row r="417" spans="1:25" x14ac:dyDescent="0.25">
      <c r="A417" t="s">
        <v>12727</v>
      </c>
      <c r="B417" t="s">
        <v>12634</v>
      </c>
      <c r="C417">
        <v>5.8650000000000002</v>
      </c>
      <c r="D417" t="s">
        <v>3922</v>
      </c>
      <c r="E417" t="s">
        <v>3951</v>
      </c>
      <c r="F417" s="18">
        <v>42005</v>
      </c>
      <c r="G417" s="18">
        <v>42012</v>
      </c>
      <c r="H417" s="18" t="str">
        <f>IFERROR(INDEX('Docs Signed Input'!B:B,MATCH('Nate''s Evolution'!$B417,'Docs Signed Input'!E:E,0)),"N")</f>
        <v>N</v>
      </c>
      <c r="I417" s="18" t="str">
        <f>IFERROR(INDEX('Docs Signed Input'!C:C,MATCH('Nate''s Evolution'!B417,'Docs Signed Input'!E:E,0)),"N")</f>
        <v>Y</v>
      </c>
      <c r="J417" s="18">
        <v>42025</v>
      </c>
      <c r="K417" s="18">
        <v>42061</v>
      </c>
      <c r="L417" t="s">
        <v>2258</v>
      </c>
      <c r="M417" t="s">
        <v>4140</v>
      </c>
      <c r="N417">
        <v>5.8650000000000002</v>
      </c>
      <c r="O417">
        <v>6.8849999999999998</v>
      </c>
      <c r="P417" s="6">
        <v>42032.452604166669</v>
      </c>
      <c r="Q417" t="s">
        <v>3896</v>
      </c>
      <c r="R417" t="s">
        <v>13228</v>
      </c>
      <c r="S417" t="s">
        <v>2591</v>
      </c>
      <c r="T417">
        <v>5</v>
      </c>
      <c r="X417" t="b">
        <v>1</v>
      </c>
      <c r="Y417" s="6">
        <v>42037.431944444441</v>
      </c>
    </row>
    <row r="418" spans="1:25" x14ac:dyDescent="0.25">
      <c r="A418" t="s">
        <v>12728</v>
      </c>
      <c r="B418" t="s">
        <v>12635</v>
      </c>
      <c r="C418">
        <v>3.3149999999999999</v>
      </c>
      <c r="D418" t="s">
        <v>3893</v>
      </c>
      <c r="E418" t="s">
        <v>3894</v>
      </c>
      <c r="F418" s="18">
        <v>42005</v>
      </c>
      <c r="G418" s="18">
        <v>42012</v>
      </c>
      <c r="H418" s="18" t="str">
        <f>IFERROR(INDEX('Docs Signed Input'!B:B,MATCH('Nate''s Evolution'!$B418,'Docs Signed Input'!E:E,0)),"N")</f>
        <v>N</v>
      </c>
      <c r="I418" s="18" t="str">
        <f>IFERROR(INDEX('Docs Signed Input'!C:C,MATCH('Nate''s Evolution'!B418,'Docs Signed Input'!E:E,0)),"N")</f>
        <v>N</v>
      </c>
      <c r="L418" t="s">
        <v>2258</v>
      </c>
      <c r="M418" t="s">
        <v>4317</v>
      </c>
      <c r="N418">
        <v>3.3149999999999999</v>
      </c>
      <c r="O418">
        <v>3.3149999999999999</v>
      </c>
      <c r="P418" s="6">
        <v>42035.818124999998</v>
      </c>
      <c r="Q418" t="s">
        <v>3896</v>
      </c>
      <c r="R418" t="s">
        <v>3918</v>
      </c>
      <c r="S418" t="s">
        <v>12496</v>
      </c>
      <c r="T418">
        <v>2</v>
      </c>
      <c r="X418" t="b">
        <v>1</v>
      </c>
      <c r="Y418" s="6">
        <v>42037.431944444441</v>
      </c>
    </row>
    <row r="419" spans="1:25" x14ac:dyDescent="0.25">
      <c r="A419" t="s">
        <v>12729</v>
      </c>
      <c r="B419" t="s">
        <v>12636</v>
      </c>
      <c r="C419">
        <v>9.25</v>
      </c>
      <c r="D419" t="s">
        <v>3893</v>
      </c>
      <c r="E419" t="s">
        <v>3894</v>
      </c>
      <c r="F419" s="18">
        <v>42005</v>
      </c>
      <c r="G419" s="18">
        <v>42012</v>
      </c>
      <c r="H419" s="18" t="str">
        <f>IFERROR(INDEX('Docs Signed Input'!B:B,MATCH('Nate''s Evolution'!$B419,'Docs Signed Input'!E:E,0)),"N")</f>
        <v>Y</v>
      </c>
      <c r="I419" s="18" t="str">
        <f>IFERROR(INDEX('Docs Signed Input'!C:C,MATCH('Nate''s Evolution'!B419,'Docs Signed Input'!E:E,0)),"N")</f>
        <v>N</v>
      </c>
      <c r="L419" t="s">
        <v>2258</v>
      </c>
      <c r="M419" t="s">
        <v>3917</v>
      </c>
      <c r="N419">
        <v>8.5</v>
      </c>
      <c r="O419">
        <v>9.25</v>
      </c>
      <c r="P419" s="6">
        <v>42035.818124999998</v>
      </c>
      <c r="Q419" t="s">
        <v>3896</v>
      </c>
      <c r="R419" t="s">
        <v>3897</v>
      </c>
      <c r="S419" t="s">
        <v>2277</v>
      </c>
      <c r="T419">
        <v>2</v>
      </c>
      <c r="X419" t="b">
        <v>1</v>
      </c>
      <c r="Y419" s="6">
        <v>42037.431944444441</v>
      </c>
    </row>
    <row r="420" spans="1:25" x14ac:dyDescent="0.25">
      <c r="A420" t="s">
        <v>12730</v>
      </c>
      <c r="B420" t="s">
        <v>12637</v>
      </c>
      <c r="C420">
        <v>8.5</v>
      </c>
      <c r="D420" t="s">
        <v>3893</v>
      </c>
      <c r="E420" t="s">
        <v>3894</v>
      </c>
      <c r="F420" s="18">
        <v>42005</v>
      </c>
      <c r="G420" s="18">
        <v>42012</v>
      </c>
      <c r="H420" s="18" t="str">
        <f>IFERROR(INDEX('Docs Signed Input'!B:B,MATCH('Nate''s Evolution'!$B420,'Docs Signed Input'!E:E,0)),"N")</f>
        <v>N</v>
      </c>
      <c r="I420" s="18" t="str">
        <f>IFERROR(INDEX('Docs Signed Input'!C:C,MATCH('Nate''s Evolution'!B420,'Docs Signed Input'!E:E,0)),"N")</f>
        <v>N</v>
      </c>
      <c r="L420" t="s">
        <v>3215</v>
      </c>
      <c r="M420" t="s">
        <v>3930</v>
      </c>
      <c r="N420">
        <v>8.5</v>
      </c>
      <c r="O420">
        <v>12</v>
      </c>
      <c r="P420" s="6">
        <v>42035.818124999998</v>
      </c>
      <c r="Q420" t="s">
        <v>3896</v>
      </c>
      <c r="R420" t="s">
        <v>11563</v>
      </c>
      <c r="S420" t="s">
        <v>3214</v>
      </c>
      <c r="T420">
        <v>2</v>
      </c>
      <c r="X420" t="b">
        <v>1</v>
      </c>
      <c r="Y420" s="6">
        <v>42037.431944444441</v>
      </c>
    </row>
    <row r="421" spans="1:25" x14ac:dyDescent="0.25">
      <c r="A421" t="s">
        <v>12731</v>
      </c>
      <c r="B421" t="s">
        <v>12638</v>
      </c>
      <c r="C421">
        <v>10.199999999999999</v>
      </c>
      <c r="D421" t="s">
        <v>3893</v>
      </c>
      <c r="E421" t="s">
        <v>3894</v>
      </c>
      <c r="F421" s="18">
        <v>42005</v>
      </c>
      <c r="G421" s="18">
        <v>42012</v>
      </c>
      <c r="H421" s="18" t="str">
        <f>IFERROR(INDEX('Docs Signed Input'!B:B,MATCH('Nate''s Evolution'!$B421,'Docs Signed Input'!E:E,0)),"N")</f>
        <v>N</v>
      </c>
      <c r="I421" s="18" t="str">
        <f>IFERROR(INDEX('Docs Signed Input'!C:C,MATCH('Nate''s Evolution'!B421,'Docs Signed Input'!E:E,0)),"N")</f>
        <v>Y</v>
      </c>
      <c r="J421" s="18">
        <v>42026</v>
      </c>
      <c r="L421" t="s">
        <v>2258</v>
      </c>
      <c r="M421" t="s">
        <v>3948</v>
      </c>
      <c r="N421">
        <v>8.4149999999999991</v>
      </c>
      <c r="O421">
        <v>10.199999999999999</v>
      </c>
      <c r="P421" s="6">
        <v>42035.818124999998</v>
      </c>
      <c r="Q421" t="s">
        <v>3896</v>
      </c>
      <c r="R421" t="s">
        <v>3918</v>
      </c>
      <c r="S421" t="s">
        <v>3766</v>
      </c>
      <c r="T421">
        <v>2</v>
      </c>
      <c r="X421" t="b">
        <v>1</v>
      </c>
      <c r="Y421" s="6">
        <v>42037.431944444441</v>
      </c>
    </row>
    <row r="422" spans="1:25" x14ac:dyDescent="0.25">
      <c r="A422" t="s">
        <v>12732</v>
      </c>
      <c r="B422" t="s">
        <v>12639</v>
      </c>
      <c r="C422">
        <v>3.57</v>
      </c>
      <c r="D422" t="s">
        <v>3922</v>
      </c>
      <c r="E422" t="s">
        <v>3985</v>
      </c>
      <c r="F422" s="18">
        <v>42005</v>
      </c>
      <c r="G422" s="18">
        <v>42012</v>
      </c>
      <c r="H422" s="18" t="str">
        <f>IFERROR(INDEX('Docs Signed Input'!B:B,MATCH('Nate''s Evolution'!$B422,'Docs Signed Input'!E:E,0)),"N")</f>
        <v>Y</v>
      </c>
      <c r="I422" s="18" t="str">
        <f>IFERROR(INDEX('Docs Signed Input'!C:C,MATCH('Nate''s Evolution'!B422,'Docs Signed Input'!E:E,0)),"N")</f>
        <v>Y</v>
      </c>
      <c r="J422" s="18">
        <v>42020</v>
      </c>
      <c r="L422" t="s">
        <v>2258</v>
      </c>
      <c r="M422" t="s">
        <v>4317</v>
      </c>
      <c r="N422">
        <v>3.57</v>
      </c>
      <c r="O422">
        <v>3.8250000000000002</v>
      </c>
      <c r="P422" s="6">
        <v>42031.62572916667</v>
      </c>
      <c r="Q422" t="s">
        <v>3896</v>
      </c>
      <c r="R422" t="s">
        <v>5696</v>
      </c>
      <c r="S422" t="s">
        <v>2243</v>
      </c>
      <c r="T422">
        <v>6</v>
      </c>
      <c r="X422" t="b">
        <v>1</v>
      </c>
      <c r="Y422" s="6">
        <v>42037.431944444441</v>
      </c>
    </row>
    <row r="423" spans="1:25" x14ac:dyDescent="0.25">
      <c r="A423" t="s">
        <v>12733</v>
      </c>
      <c r="B423" t="s">
        <v>12640</v>
      </c>
      <c r="C423">
        <v>12.75</v>
      </c>
      <c r="D423" t="s">
        <v>3893</v>
      </c>
      <c r="E423" t="s">
        <v>3894</v>
      </c>
      <c r="F423" s="18">
        <v>42005</v>
      </c>
      <c r="G423" s="18">
        <v>42012</v>
      </c>
      <c r="H423" s="18" t="str">
        <f>IFERROR(INDEX('Docs Signed Input'!B:B,MATCH('Nate''s Evolution'!$B423,'Docs Signed Input'!E:E,0)),"N")</f>
        <v>N</v>
      </c>
      <c r="I423" s="18" t="str">
        <f>IFERROR(INDEX('Docs Signed Input'!C:C,MATCH('Nate''s Evolution'!B423,'Docs Signed Input'!E:E,0)),"N")</f>
        <v>N</v>
      </c>
      <c r="L423" t="s">
        <v>2258</v>
      </c>
      <c r="M423" t="s">
        <v>4138</v>
      </c>
      <c r="N423">
        <v>12.75</v>
      </c>
      <c r="O423">
        <v>12.75</v>
      </c>
      <c r="P423" s="6">
        <v>42035.818124999998</v>
      </c>
      <c r="Q423" t="s">
        <v>3896</v>
      </c>
      <c r="R423" t="s">
        <v>11563</v>
      </c>
      <c r="S423" t="s">
        <v>3172</v>
      </c>
      <c r="T423">
        <v>2</v>
      </c>
      <c r="X423" t="b">
        <v>1</v>
      </c>
      <c r="Y423" s="6">
        <v>42037.431944444441</v>
      </c>
    </row>
    <row r="424" spans="1:25" x14ac:dyDescent="0.25">
      <c r="A424" t="s">
        <v>12734</v>
      </c>
      <c r="B424" t="s">
        <v>12641</v>
      </c>
      <c r="C424">
        <v>4.08</v>
      </c>
      <c r="D424" t="s">
        <v>3893</v>
      </c>
      <c r="E424" t="s">
        <v>3989</v>
      </c>
      <c r="F424" s="18">
        <v>42005</v>
      </c>
      <c r="G424" s="18">
        <v>42012</v>
      </c>
      <c r="H424" s="18" t="str">
        <f>IFERROR(INDEX('Docs Signed Input'!B:B,MATCH('Nate''s Evolution'!$B424,'Docs Signed Input'!E:E,0)),"N")</f>
        <v>N</v>
      </c>
      <c r="I424" s="18" t="str">
        <f>IFERROR(INDEX('Docs Signed Input'!C:C,MATCH('Nate''s Evolution'!B424,'Docs Signed Input'!E:E,0)),"N")</f>
        <v>N</v>
      </c>
      <c r="L424" t="s">
        <v>2258</v>
      </c>
      <c r="M424" t="s">
        <v>4140</v>
      </c>
      <c r="N424">
        <v>4.08</v>
      </c>
      <c r="O424">
        <v>4.08</v>
      </c>
      <c r="P424" s="6">
        <v>42035.818124999998</v>
      </c>
      <c r="Q424" t="s">
        <v>3896</v>
      </c>
      <c r="R424" t="s">
        <v>3918</v>
      </c>
      <c r="S424" t="s">
        <v>4723</v>
      </c>
      <c r="T424">
        <v>2</v>
      </c>
      <c r="X424" t="b">
        <v>1</v>
      </c>
      <c r="Y424" s="6">
        <v>42037.431944444441</v>
      </c>
    </row>
    <row r="425" spans="1:25" x14ac:dyDescent="0.25">
      <c r="A425" t="s">
        <v>12735</v>
      </c>
      <c r="B425" t="s">
        <v>12642</v>
      </c>
      <c r="C425">
        <v>6.375</v>
      </c>
      <c r="D425" t="s">
        <v>3893</v>
      </c>
      <c r="E425" t="s">
        <v>3925</v>
      </c>
      <c r="F425" s="18">
        <v>42005</v>
      </c>
      <c r="G425" s="18">
        <v>42012</v>
      </c>
      <c r="H425" s="18" t="str">
        <f>IFERROR(INDEX('Docs Signed Input'!B:B,MATCH('Nate''s Evolution'!$B425,'Docs Signed Input'!E:E,0)),"N")</f>
        <v>N</v>
      </c>
      <c r="I425" s="18" t="str">
        <f>IFERROR(INDEX('Docs Signed Input'!C:C,MATCH('Nate''s Evolution'!B425,'Docs Signed Input'!E:E,0)),"N")</f>
        <v>Y</v>
      </c>
      <c r="J425" s="18">
        <v>42018</v>
      </c>
      <c r="L425" t="s">
        <v>2242</v>
      </c>
      <c r="M425" t="s">
        <v>4140</v>
      </c>
      <c r="N425">
        <v>6.375</v>
      </c>
      <c r="O425">
        <v>6.375</v>
      </c>
      <c r="P425" s="6">
        <v>42035.818124999998</v>
      </c>
      <c r="Q425" t="s">
        <v>3896</v>
      </c>
      <c r="R425" t="s">
        <v>11563</v>
      </c>
      <c r="S425" t="s">
        <v>3650</v>
      </c>
      <c r="T425">
        <v>2</v>
      </c>
      <c r="X425" t="b">
        <v>1</v>
      </c>
      <c r="Y425" s="6">
        <v>42037.431944444441</v>
      </c>
    </row>
    <row r="426" spans="1:25" x14ac:dyDescent="0.25">
      <c r="A426" t="s">
        <v>12703</v>
      </c>
      <c r="B426" t="s">
        <v>12610</v>
      </c>
      <c r="C426">
        <v>5.98</v>
      </c>
      <c r="D426" t="s">
        <v>3922</v>
      </c>
      <c r="E426" t="s">
        <v>3985</v>
      </c>
      <c r="F426" s="18">
        <v>42005</v>
      </c>
      <c r="G426" s="18">
        <v>42013</v>
      </c>
      <c r="H426" s="18" t="str">
        <f>IFERROR(INDEX('Docs Signed Input'!B:B,MATCH('Nate''s Evolution'!$B426,'Docs Signed Input'!E:E,0)),"N")</f>
        <v>N</v>
      </c>
      <c r="I426" s="18" t="str">
        <f>IFERROR(INDEX('Docs Signed Input'!C:C,MATCH('Nate''s Evolution'!B426,'Docs Signed Input'!E:E,0)),"N")</f>
        <v>N</v>
      </c>
      <c r="J426" s="18">
        <v>42020</v>
      </c>
      <c r="L426" t="s">
        <v>2258</v>
      </c>
      <c r="M426" t="s">
        <v>4048</v>
      </c>
      <c r="N426">
        <v>4.9400000000000004</v>
      </c>
      <c r="O426">
        <v>5.98</v>
      </c>
      <c r="P426" s="6">
        <v>42032.726631944446</v>
      </c>
      <c r="Q426" t="s">
        <v>3896</v>
      </c>
      <c r="R426" t="s">
        <v>3911</v>
      </c>
      <c r="S426" t="s">
        <v>3581</v>
      </c>
      <c r="T426">
        <v>5</v>
      </c>
      <c r="X426" t="b">
        <v>1</v>
      </c>
      <c r="Y426" s="6">
        <v>42037.431944444441</v>
      </c>
    </row>
    <row r="427" spans="1:25" x14ac:dyDescent="0.25">
      <c r="A427" t="s">
        <v>12704</v>
      </c>
      <c r="B427" t="s">
        <v>12611</v>
      </c>
      <c r="C427">
        <v>5</v>
      </c>
      <c r="D427" t="s">
        <v>3893</v>
      </c>
      <c r="E427" t="s">
        <v>3894</v>
      </c>
      <c r="F427" s="18">
        <v>42005</v>
      </c>
      <c r="G427" s="18">
        <v>42013</v>
      </c>
      <c r="H427" s="18" t="str">
        <f>IFERROR(INDEX('Docs Signed Input'!B:B,MATCH('Nate''s Evolution'!$B427,'Docs Signed Input'!E:E,0)),"N")</f>
        <v>Y</v>
      </c>
      <c r="I427" s="18" t="str">
        <f>IFERROR(INDEX('Docs Signed Input'!C:C,MATCH('Nate''s Evolution'!B427,'Docs Signed Input'!E:E,0)),"N")</f>
        <v>N</v>
      </c>
      <c r="L427" t="s">
        <v>2825</v>
      </c>
      <c r="M427" t="s">
        <v>3917</v>
      </c>
      <c r="N427">
        <v>5</v>
      </c>
      <c r="O427">
        <v>5.75</v>
      </c>
      <c r="P427" s="6">
        <v>42035.818124999998</v>
      </c>
      <c r="Q427" t="s">
        <v>3896</v>
      </c>
      <c r="R427" t="s">
        <v>4222</v>
      </c>
      <c r="S427" t="s">
        <v>2824</v>
      </c>
      <c r="T427">
        <v>2</v>
      </c>
      <c r="X427" t="b">
        <v>1</v>
      </c>
      <c r="Y427" s="6">
        <v>42037.431944444441</v>
      </c>
    </row>
    <row r="428" spans="1:25" x14ac:dyDescent="0.25">
      <c r="A428" t="s">
        <v>12705</v>
      </c>
      <c r="B428" t="s">
        <v>12612</v>
      </c>
      <c r="C428">
        <v>4.08</v>
      </c>
      <c r="D428" t="s">
        <v>3893</v>
      </c>
      <c r="E428" t="s">
        <v>3916</v>
      </c>
      <c r="F428" s="18">
        <v>42005</v>
      </c>
      <c r="G428" s="18">
        <v>42013</v>
      </c>
      <c r="H428" s="18" t="str">
        <f>IFERROR(INDEX('Docs Signed Input'!B:B,MATCH('Nate''s Evolution'!$B428,'Docs Signed Input'!E:E,0)),"N")</f>
        <v>Y</v>
      </c>
      <c r="I428" s="18" t="str">
        <f>IFERROR(INDEX('Docs Signed Input'!C:C,MATCH('Nate''s Evolution'!B428,'Docs Signed Input'!E:E,0)),"N")</f>
        <v>N</v>
      </c>
      <c r="L428" t="s">
        <v>2258</v>
      </c>
      <c r="M428" t="s">
        <v>4140</v>
      </c>
      <c r="N428">
        <v>4.08</v>
      </c>
      <c r="O428">
        <v>4.08</v>
      </c>
      <c r="P428" s="6">
        <v>42035.818124999998</v>
      </c>
      <c r="Q428" t="s">
        <v>3896</v>
      </c>
      <c r="R428" t="s">
        <v>3921</v>
      </c>
      <c r="S428" t="s">
        <v>3650</v>
      </c>
      <c r="T428">
        <v>2</v>
      </c>
      <c r="X428" t="b">
        <v>1</v>
      </c>
      <c r="Y428" s="6">
        <v>42037.431944444441</v>
      </c>
    </row>
    <row r="429" spans="1:25" x14ac:dyDescent="0.25">
      <c r="A429" t="s">
        <v>12706</v>
      </c>
      <c r="B429" t="s">
        <v>12613</v>
      </c>
      <c r="C429">
        <v>19.38</v>
      </c>
      <c r="D429" t="s">
        <v>3893</v>
      </c>
      <c r="E429" t="s">
        <v>3989</v>
      </c>
      <c r="F429" s="18">
        <v>42005</v>
      </c>
      <c r="G429" s="18">
        <v>42013</v>
      </c>
      <c r="H429" s="18" t="str">
        <f>IFERROR(INDEX('Docs Signed Input'!B:B,MATCH('Nate''s Evolution'!$B429,'Docs Signed Input'!E:E,0)),"N")</f>
        <v>N</v>
      </c>
      <c r="I429" s="18" t="str">
        <f>IFERROR(INDEX('Docs Signed Input'!C:C,MATCH('Nate''s Evolution'!B429,'Docs Signed Input'!E:E,0)),"N")</f>
        <v>N</v>
      </c>
      <c r="L429" t="s">
        <v>2258</v>
      </c>
      <c r="M429" t="s">
        <v>4317</v>
      </c>
      <c r="N429">
        <v>19.38</v>
      </c>
      <c r="O429">
        <v>19.38</v>
      </c>
      <c r="P429" s="6">
        <v>42035.818124999998</v>
      </c>
      <c r="Q429" t="s">
        <v>3896</v>
      </c>
      <c r="R429" t="s">
        <v>11563</v>
      </c>
      <c r="S429" t="s">
        <v>12500</v>
      </c>
      <c r="T429">
        <v>2</v>
      </c>
      <c r="X429" t="b">
        <v>1</v>
      </c>
      <c r="Y429" s="6">
        <v>42037.431944444441</v>
      </c>
    </row>
    <row r="430" spans="1:25" x14ac:dyDescent="0.25">
      <c r="A430" t="s">
        <v>12707</v>
      </c>
      <c r="B430" t="s">
        <v>12614</v>
      </c>
      <c r="C430">
        <v>5.3550000000000004</v>
      </c>
      <c r="D430" t="s">
        <v>3922</v>
      </c>
      <c r="E430" t="s">
        <v>3951</v>
      </c>
      <c r="F430" s="18">
        <v>42005</v>
      </c>
      <c r="G430" s="18">
        <v>42013</v>
      </c>
      <c r="H430" s="18" t="str">
        <f>IFERROR(INDEX('Docs Signed Input'!B:B,MATCH('Nate''s Evolution'!$B430,'Docs Signed Input'!E:E,0)),"N")</f>
        <v>N</v>
      </c>
      <c r="I430" s="18" t="str">
        <f>IFERROR(INDEX('Docs Signed Input'!C:C,MATCH('Nate''s Evolution'!B430,'Docs Signed Input'!E:E,0)),"N")</f>
        <v>N</v>
      </c>
      <c r="J430" s="18">
        <v>42024</v>
      </c>
      <c r="K430" s="18">
        <v>42048</v>
      </c>
      <c r="L430" t="s">
        <v>2258</v>
      </c>
      <c r="M430" t="s">
        <v>4317</v>
      </c>
      <c r="N430">
        <v>5.3550000000000004</v>
      </c>
      <c r="O430">
        <v>6.8849999999999998</v>
      </c>
      <c r="P430" s="6">
        <v>42033.818680555552</v>
      </c>
      <c r="Q430" t="s">
        <v>3896</v>
      </c>
      <c r="R430" t="s">
        <v>3921</v>
      </c>
      <c r="S430" t="s">
        <v>12500</v>
      </c>
      <c r="T430">
        <v>4</v>
      </c>
      <c r="X430" t="b">
        <v>1</v>
      </c>
      <c r="Y430" s="6">
        <v>42037.431944444441</v>
      </c>
    </row>
    <row r="431" spans="1:25" x14ac:dyDescent="0.25">
      <c r="A431" t="s">
        <v>12708</v>
      </c>
      <c r="B431" t="s">
        <v>12615</v>
      </c>
      <c r="C431">
        <v>3.8250000000000002</v>
      </c>
      <c r="D431" t="s">
        <v>3909</v>
      </c>
      <c r="E431" t="s">
        <v>3937</v>
      </c>
      <c r="F431" s="18">
        <v>42005</v>
      </c>
      <c r="G431" s="18">
        <v>42013</v>
      </c>
      <c r="H431" s="18" t="str">
        <f>IFERROR(INDEX('Docs Signed Input'!B:B,MATCH('Nate''s Evolution'!$B431,'Docs Signed Input'!E:E,0)),"N")</f>
        <v>N</v>
      </c>
      <c r="I431" s="18" t="str">
        <f>IFERROR(INDEX('Docs Signed Input'!C:C,MATCH('Nate''s Evolution'!B431,'Docs Signed Input'!E:E,0)),"N")</f>
        <v>N</v>
      </c>
      <c r="J431" s="18">
        <v>42016</v>
      </c>
      <c r="L431" t="s">
        <v>2258</v>
      </c>
      <c r="M431" t="s">
        <v>4317</v>
      </c>
      <c r="N431">
        <v>3.8250000000000002</v>
      </c>
      <c r="O431">
        <v>6.5</v>
      </c>
      <c r="P431" s="6">
        <v>42027.678854166668</v>
      </c>
      <c r="Q431" t="s">
        <v>3896</v>
      </c>
      <c r="R431" t="s">
        <v>13203</v>
      </c>
      <c r="S431" t="s">
        <v>12500</v>
      </c>
      <c r="T431">
        <v>10</v>
      </c>
      <c r="V431" t="b">
        <v>1</v>
      </c>
      <c r="Y431" s="6">
        <v>42037.431944444441</v>
      </c>
    </row>
    <row r="432" spans="1:25" x14ac:dyDescent="0.25">
      <c r="A432" t="s">
        <v>12709</v>
      </c>
      <c r="B432" t="s">
        <v>12616</v>
      </c>
      <c r="C432">
        <v>4.08</v>
      </c>
      <c r="D432" t="s">
        <v>3893</v>
      </c>
      <c r="E432" t="s">
        <v>3894</v>
      </c>
      <c r="F432" s="18">
        <v>42005</v>
      </c>
      <c r="G432" s="18">
        <v>42013</v>
      </c>
      <c r="H432" s="18" t="str">
        <f>IFERROR(INDEX('Docs Signed Input'!B:B,MATCH('Nate''s Evolution'!$B432,'Docs Signed Input'!E:E,0)),"N")</f>
        <v>N</v>
      </c>
      <c r="I432" s="18" t="str">
        <f>IFERROR(INDEX('Docs Signed Input'!C:C,MATCH('Nate''s Evolution'!B432,'Docs Signed Input'!E:E,0)),"N")</f>
        <v>N</v>
      </c>
      <c r="L432" t="s">
        <v>2870</v>
      </c>
      <c r="M432" t="s">
        <v>4423</v>
      </c>
      <c r="N432">
        <v>4.08</v>
      </c>
      <c r="O432">
        <v>6.8849999999999998</v>
      </c>
      <c r="P432" s="6">
        <v>42035.818124999998</v>
      </c>
      <c r="Q432" t="s">
        <v>3896</v>
      </c>
      <c r="R432" t="s">
        <v>13021</v>
      </c>
      <c r="S432" t="s">
        <v>2869</v>
      </c>
      <c r="T432">
        <v>2</v>
      </c>
      <c r="X432" t="b">
        <v>1</v>
      </c>
      <c r="Y432" s="6">
        <v>42037.431944444441</v>
      </c>
    </row>
    <row r="433" spans="1:25" x14ac:dyDescent="0.25">
      <c r="A433" t="s">
        <v>12710</v>
      </c>
      <c r="B433" t="s">
        <v>12617</v>
      </c>
      <c r="C433">
        <v>6.12</v>
      </c>
      <c r="D433" t="s">
        <v>3893</v>
      </c>
      <c r="E433" t="s">
        <v>3925</v>
      </c>
      <c r="F433" s="18">
        <v>42005</v>
      </c>
      <c r="G433" s="18">
        <v>42013</v>
      </c>
      <c r="H433" s="18" t="str">
        <f>IFERROR(INDEX('Docs Signed Input'!B:B,MATCH('Nate''s Evolution'!$B433,'Docs Signed Input'!E:E,0)),"N")</f>
        <v>N</v>
      </c>
      <c r="I433" s="18" t="str">
        <f>IFERROR(INDEX('Docs Signed Input'!C:C,MATCH('Nate''s Evolution'!B433,'Docs Signed Input'!E:E,0)),"N")</f>
        <v>Y</v>
      </c>
      <c r="J433" s="18">
        <v>42019</v>
      </c>
      <c r="L433" t="s">
        <v>2258</v>
      </c>
      <c r="M433" t="s">
        <v>4140</v>
      </c>
      <c r="N433">
        <v>6.12</v>
      </c>
      <c r="O433">
        <v>6.12</v>
      </c>
      <c r="P433" s="6">
        <v>42035.818124999998</v>
      </c>
      <c r="Q433" t="s">
        <v>3896</v>
      </c>
      <c r="R433" t="s">
        <v>11563</v>
      </c>
      <c r="S433" t="s">
        <v>4723</v>
      </c>
      <c r="T433">
        <v>2</v>
      </c>
      <c r="X433" t="b">
        <v>1</v>
      </c>
      <c r="Y433" s="6">
        <v>42037.431944444441</v>
      </c>
    </row>
    <row r="434" spans="1:25" x14ac:dyDescent="0.25">
      <c r="A434" t="s">
        <v>12711</v>
      </c>
      <c r="B434" t="s">
        <v>12618</v>
      </c>
      <c r="C434">
        <v>4.08</v>
      </c>
      <c r="D434" t="s">
        <v>3893</v>
      </c>
      <c r="E434" t="s">
        <v>3989</v>
      </c>
      <c r="F434" s="18">
        <v>42005</v>
      </c>
      <c r="G434" s="18">
        <v>42013</v>
      </c>
      <c r="H434" s="18" t="str">
        <f>IFERROR(INDEX('Docs Signed Input'!B:B,MATCH('Nate''s Evolution'!$B434,'Docs Signed Input'!E:E,0)),"N")</f>
        <v>N</v>
      </c>
      <c r="I434" s="18" t="str">
        <f>IFERROR(INDEX('Docs Signed Input'!C:C,MATCH('Nate''s Evolution'!B434,'Docs Signed Input'!E:E,0)),"N")</f>
        <v>N</v>
      </c>
      <c r="L434" t="s">
        <v>2258</v>
      </c>
      <c r="M434" t="s">
        <v>4317</v>
      </c>
      <c r="N434">
        <v>4.08</v>
      </c>
      <c r="O434">
        <v>4.08</v>
      </c>
      <c r="P434" s="6">
        <v>42035.818124999998</v>
      </c>
      <c r="Q434" t="s">
        <v>3896</v>
      </c>
      <c r="R434" t="s">
        <v>11563</v>
      </c>
      <c r="S434" t="s">
        <v>12496</v>
      </c>
      <c r="T434">
        <v>2</v>
      </c>
      <c r="X434" t="b">
        <v>1</v>
      </c>
      <c r="Y434" s="6">
        <v>42037.431944444441</v>
      </c>
    </row>
    <row r="435" spans="1:25" x14ac:dyDescent="0.25">
      <c r="A435" t="s">
        <v>12712</v>
      </c>
      <c r="B435" t="s">
        <v>12619</v>
      </c>
      <c r="C435">
        <v>2.2949999999999999</v>
      </c>
      <c r="D435" t="s">
        <v>3893</v>
      </c>
      <c r="E435" t="s">
        <v>3894</v>
      </c>
      <c r="F435" s="18">
        <v>42005</v>
      </c>
      <c r="G435" s="18">
        <v>42013</v>
      </c>
      <c r="H435" s="18" t="str">
        <f>IFERROR(INDEX('Docs Signed Input'!B:B,MATCH('Nate''s Evolution'!$B435,'Docs Signed Input'!E:E,0)),"N")</f>
        <v>N</v>
      </c>
      <c r="I435" s="18" t="str">
        <f>IFERROR(INDEX('Docs Signed Input'!C:C,MATCH('Nate''s Evolution'!B435,'Docs Signed Input'!E:E,0)),"N")</f>
        <v>Y</v>
      </c>
      <c r="J435" s="18">
        <v>42021</v>
      </c>
      <c r="L435" t="s">
        <v>2258</v>
      </c>
      <c r="M435" t="s">
        <v>3933</v>
      </c>
      <c r="N435">
        <v>2.2949999999999999</v>
      </c>
      <c r="O435">
        <v>2.5499999999999998</v>
      </c>
      <c r="P435" s="6">
        <v>42035.818124999998</v>
      </c>
      <c r="Q435" t="s">
        <v>3896</v>
      </c>
      <c r="R435" t="s">
        <v>11563</v>
      </c>
      <c r="S435" t="s">
        <v>11503</v>
      </c>
      <c r="T435">
        <v>2</v>
      </c>
      <c r="X435" t="b">
        <v>1</v>
      </c>
      <c r="Y435" s="6">
        <v>42037.431944444441</v>
      </c>
    </row>
    <row r="436" spans="1:25" x14ac:dyDescent="0.25">
      <c r="A436" t="s">
        <v>12713</v>
      </c>
      <c r="B436" t="s">
        <v>12620</v>
      </c>
      <c r="C436">
        <v>3</v>
      </c>
      <c r="D436" t="s">
        <v>3893</v>
      </c>
      <c r="E436" t="s">
        <v>4117</v>
      </c>
      <c r="F436" s="18">
        <v>42005</v>
      </c>
      <c r="G436" s="18">
        <v>42013</v>
      </c>
      <c r="H436" s="18" t="str">
        <f>IFERROR(INDEX('Docs Signed Input'!B:B,MATCH('Nate''s Evolution'!$B436,'Docs Signed Input'!E:E,0)),"N")</f>
        <v>N</v>
      </c>
      <c r="I436" s="18" t="str">
        <f>IFERROR(INDEX('Docs Signed Input'!C:C,MATCH('Nate''s Evolution'!B436,'Docs Signed Input'!E:E,0)),"N")</f>
        <v>N</v>
      </c>
      <c r="L436" t="s">
        <v>2258</v>
      </c>
      <c r="M436" t="s">
        <v>12976</v>
      </c>
      <c r="N436">
        <v>3</v>
      </c>
      <c r="O436">
        <v>3</v>
      </c>
      <c r="P436" s="6">
        <v>42035.818124999998</v>
      </c>
      <c r="Q436" t="s">
        <v>3896</v>
      </c>
      <c r="R436" t="s">
        <v>11563</v>
      </c>
      <c r="S436" t="s">
        <v>12283</v>
      </c>
      <c r="T436">
        <v>2</v>
      </c>
      <c r="X436" t="b">
        <v>1</v>
      </c>
      <c r="Y436" s="6">
        <v>42037.431944444441</v>
      </c>
    </row>
    <row r="437" spans="1:25" x14ac:dyDescent="0.25">
      <c r="A437" t="s">
        <v>12714</v>
      </c>
      <c r="B437" t="s">
        <v>12621</v>
      </c>
      <c r="C437">
        <v>2.5</v>
      </c>
      <c r="D437" t="s">
        <v>3893</v>
      </c>
      <c r="E437" t="s">
        <v>4117</v>
      </c>
      <c r="F437" s="18">
        <v>42005</v>
      </c>
      <c r="G437" s="18">
        <v>42013</v>
      </c>
      <c r="H437" s="18" t="str">
        <f>IFERROR(INDEX('Docs Signed Input'!B:B,MATCH('Nate''s Evolution'!$B437,'Docs Signed Input'!E:E,0)),"N")</f>
        <v>N</v>
      </c>
      <c r="I437" s="18" t="str">
        <f>IFERROR(INDEX('Docs Signed Input'!C:C,MATCH('Nate''s Evolution'!B437,'Docs Signed Input'!E:E,0)),"N")</f>
        <v>N</v>
      </c>
      <c r="L437" t="s">
        <v>3751</v>
      </c>
      <c r="M437" t="s">
        <v>3930</v>
      </c>
      <c r="N437">
        <v>2.5</v>
      </c>
      <c r="O437">
        <v>2.5</v>
      </c>
      <c r="P437" s="6">
        <v>42035.818124999998</v>
      </c>
      <c r="Q437" t="s">
        <v>3896</v>
      </c>
      <c r="R437" t="s">
        <v>11563</v>
      </c>
      <c r="S437" t="s">
        <v>11811</v>
      </c>
      <c r="T437">
        <v>2</v>
      </c>
      <c r="X437" t="b">
        <v>1</v>
      </c>
      <c r="Y437" s="6">
        <v>42037.431944444441</v>
      </c>
    </row>
    <row r="438" spans="1:25" x14ac:dyDescent="0.25">
      <c r="A438" t="s">
        <v>12715</v>
      </c>
      <c r="B438" t="s">
        <v>12622</v>
      </c>
      <c r="C438">
        <v>8.5</v>
      </c>
      <c r="D438" t="s">
        <v>3893</v>
      </c>
      <c r="E438" t="s">
        <v>3894</v>
      </c>
      <c r="F438" s="18">
        <v>42005</v>
      </c>
      <c r="G438" s="18">
        <v>42013</v>
      </c>
      <c r="H438" s="18" t="str">
        <f>IFERROR(INDEX('Docs Signed Input'!B:B,MATCH('Nate''s Evolution'!$B438,'Docs Signed Input'!E:E,0)),"N")</f>
        <v>Y</v>
      </c>
      <c r="I438" s="18" t="str">
        <f>IFERROR(INDEX('Docs Signed Input'!C:C,MATCH('Nate''s Evolution'!B438,'Docs Signed Input'!E:E,0)),"N")</f>
        <v>N</v>
      </c>
      <c r="L438" t="s">
        <v>2258</v>
      </c>
      <c r="M438" t="s">
        <v>12976</v>
      </c>
      <c r="N438">
        <v>8.25</v>
      </c>
      <c r="O438">
        <v>8.5</v>
      </c>
      <c r="P438" s="6">
        <v>42035.818124999998</v>
      </c>
      <c r="Q438" t="s">
        <v>3896</v>
      </c>
      <c r="R438" t="s">
        <v>3921</v>
      </c>
      <c r="S438" t="s">
        <v>3943</v>
      </c>
      <c r="T438">
        <v>2</v>
      </c>
      <c r="X438" t="b">
        <v>1</v>
      </c>
      <c r="Y438" s="6">
        <v>42037.431944444441</v>
      </c>
    </row>
    <row r="439" spans="1:25" x14ac:dyDescent="0.25">
      <c r="A439" t="s">
        <v>12716</v>
      </c>
      <c r="B439" t="s">
        <v>12623</v>
      </c>
      <c r="C439">
        <v>4.8449999999999998</v>
      </c>
      <c r="D439" t="s">
        <v>3909</v>
      </c>
      <c r="E439" t="s">
        <v>3937</v>
      </c>
      <c r="F439" s="18">
        <v>42005</v>
      </c>
      <c r="G439" s="18">
        <v>42013</v>
      </c>
      <c r="H439" s="18" t="str">
        <f>IFERROR(INDEX('Docs Signed Input'!B:B,MATCH('Nate''s Evolution'!$B439,'Docs Signed Input'!E:E,0)),"N")</f>
        <v>N</v>
      </c>
      <c r="I439" s="18" t="str">
        <f>IFERROR(INDEX('Docs Signed Input'!C:C,MATCH('Nate''s Evolution'!B439,'Docs Signed Input'!E:E,0)),"N")</f>
        <v>N</v>
      </c>
      <c r="L439" t="s">
        <v>2258</v>
      </c>
      <c r="M439" t="s">
        <v>4317</v>
      </c>
      <c r="N439">
        <v>4.8449999999999998</v>
      </c>
      <c r="O439">
        <v>4.8449999999999998</v>
      </c>
      <c r="P439" s="6">
        <v>42020.793900462966</v>
      </c>
      <c r="Q439" t="s">
        <v>3896</v>
      </c>
      <c r="R439" t="s">
        <v>11563</v>
      </c>
      <c r="S439" t="s">
        <v>12500</v>
      </c>
      <c r="T439">
        <v>17</v>
      </c>
      <c r="V439" t="b">
        <v>1</v>
      </c>
      <c r="Y439" s="6">
        <v>42037.431944444441</v>
      </c>
    </row>
    <row r="440" spans="1:25" x14ac:dyDescent="0.25">
      <c r="A440" t="s">
        <v>12717</v>
      </c>
      <c r="B440" t="s">
        <v>12624</v>
      </c>
      <c r="C440">
        <v>8</v>
      </c>
      <c r="D440" t="s">
        <v>3893</v>
      </c>
      <c r="E440" t="s">
        <v>3894</v>
      </c>
      <c r="F440" s="18">
        <v>42005</v>
      </c>
      <c r="G440" s="18">
        <v>42013</v>
      </c>
      <c r="H440" s="18" t="str">
        <f>IFERROR(INDEX('Docs Signed Input'!B:B,MATCH('Nate''s Evolution'!$B440,'Docs Signed Input'!E:E,0)),"N")</f>
        <v>y</v>
      </c>
      <c r="I440" s="18" t="str">
        <f>IFERROR(INDEX('Docs Signed Input'!C:C,MATCH('Nate''s Evolution'!B440,'Docs Signed Input'!E:E,0)),"N")</f>
        <v>N</v>
      </c>
      <c r="L440" t="s">
        <v>2258</v>
      </c>
      <c r="M440" t="s">
        <v>3902</v>
      </c>
      <c r="N440">
        <v>8</v>
      </c>
      <c r="O440">
        <v>8</v>
      </c>
      <c r="P440" s="6">
        <v>42035.818124999998</v>
      </c>
      <c r="Q440" t="s">
        <v>3896</v>
      </c>
      <c r="R440" t="s">
        <v>3921</v>
      </c>
      <c r="S440" t="s">
        <v>4991</v>
      </c>
      <c r="T440">
        <v>2</v>
      </c>
      <c r="X440" t="b">
        <v>1</v>
      </c>
      <c r="Y440" s="6">
        <v>42037.431944444441</v>
      </c>
    </row>
    <row r="441" spans="1:25" x14ac:dyDescent="0.25">
      <c r="A441" t="s">
        <v>12718</v>
      </c>
      <c r="B441" t="s">
        <v>12625</v>
      </c>
      <c r="C441">
        <v>6.8849999999999998</v>
      </c>
      <c r="D441" t="s">
        <v>3893</v>
      </c>
      <c r="E441" t="s">
        <v>3894</v>
      </c>
      <c r="F441" s="18">
        <v>42005</v>
      </c>
      <c r="G441" s="18">
        <v>42013</v>
      </c>
      <c r="H441" s="18" t="str">
        <f>IFERROR(INDEX('Docs Signed Input'!B:B,MATCH('Nate''s Evolution'!$B441,'Docs Signed Input'!E:E,0)),"N")</f>
        <v>Y</v>
      </c>
      <c r="I441" s="18" t="str">
        <f>IFERROR(INDEX('Docs Signed Input'!C:C,MATCH('Nate''s Evolution'!B441,'Docs Signed Input'!E:E,0)),"N")</f>
        <v>N</v>
      </c>
      <c r="L441" t="s">
        <v>2258</v>
      </c>
      <c r="M441" t="s">
        <v>12976</v>
      </c>
      <c r="N441">
        <v>6.8849999999999998</v>
      </c>
      <c r="O441">
        <v>7.25</v>
      </c>
      <c r="P441" s="6">
        <v>42035.818124999998</v>
      </c>
      <c r="Q441" t="s">
        <v>3896</v>
      </c>
      <c r="R441" t="s">
        <v>3921</v>
      </c>
      <c r="S441" t="s">
        <v>12283</v>
      </c>
      <c r="T441">
        <v>2</v>
      </c>
      <c r="X441" t="b">
        <v>1</v>
      </c>
      <c r="Y441" s="6">
        <v>42037.431944444441</v>
      </c>
    </row>
    <row r="442" spans="1:25" x14ac:dyDescent="0.25">
      <c r="A442" t="s">
        <v>12719</v>
      </c>
      <c r="B442" t="s">
        <v>12626</v>
      </c>
      <c r="C442">
        <v>5.61</v>
      </c>
      <c r="D442" t="s">
        <v>3893</v>
      </c>
      <c r="E442" t="s">
        <v>3894</v>
      </c>
      <c r="F442" s="18">
        <v>42005</v>
      </c>
      <c r="G442" s="18">
        <v>42013</v>
      </c>
      <c r="H442" s="18" t="str">
        <f>IFERROR(INDEX('Docs Signed Input'!B:B,MATCH('Nate''s Evolution'!$B442,'Docs Signed Input'!E:E,0)),"N")</f>
        <v>N</v>
      </c>
      <c r="I442" s="18" t="str">
        <f>IFERROR(INDEX('Docs Signed Input'!C:C,MATCH('Nate''s Evolution'!B442,'Docs Signed Input'!E:E,0)),"N")</f>
        <v>Y</v>
      </c>
      <c r="J442" s="18">
        <v>42017</v>
      </c>
      <c r="L442" t="s">
        <v>3486</v>
      </c>
      <c r="M442" t="s">
        <v>3948</v>
      </c>
      <c r="N442">
        <v>5.61</v>
      </c>
      <c r="O442">
        <v>5.61</v>
      </c>
      <c r="P442" s="6">
        <v>42035.818124999998</v>
      </c>
      <c r="Q442" t="s">
        <v>3896</v>
      </c>
      <c r="R442" t="s">
        <v>11563</v>
      </c>
      <c r="S442" t="s">
        <v>3485</v>
      </c>
      <c r="T442">
        <v>2</v>
      </c>
      <c r="X442" t="b">
        <v>1</v>
      </c>
      <c r="Y442" s="6">
        <v>42037.431944444441</v>
      </c>
    </row>
    <row r="443" spans="1:25" x14ac:dyDescent="0.25">
      <c r="A443" t="s">
        <v>12720</v>
      </c>
      <c r="B443" t="s">
        <v>12627</v>
      </c>
      <c r="C443">
        <v>3</v>
      </c>
      <c r="D443" t="s">
        <v>3922</v>
      </c>
      <c r="E443" t="s">
        <v>3947</v>
      </c>
      <c r="F443" s="18">
        <v>42005</v>
      </c>
      <c r="G443" s="18">
        <v>42013</v>
      </c>
      <c r="H443" s="18" t="str">
        <f>IFERROR(INDEX('Docs Signed Input'!B:B,MATCH('Nate''s Evolution'!$B443,'Docs Signed Input'!E:E,0)),"N")</f>
        <v>Y</v>
      </c>
      <c r="I443" s="18" t="str">
        <f>IFERROR(INDEX('Docs Signed Input'!C:C,MATCH('Nate''s Evolution'!B443,'Docs Signed Input'!E:E,0)),"N")</f>
        <v>Y</v>
      </c>
      <c r="J443" s="18">
        <v>42015</v>
      </c>
      <c r="K443" s="18">
        <v>42035</v>
      </c>
      <c r="L443" t="s">
        <v>3361</v>
      </c>
      <c r="M443" t="s">
        <v>3902</v>
      </c>
      <c r="N443">
        <v>3</v>
      </c>
      <c r="O443">
        <v>3.5</v>
      </c>
      <c r="P443" s="6">
        <v>42031.489421296297</v>
      </c>
      <c r="Q443" t="s">
        <v>3896</v>
      </c>
      <c r="S443" t="s">
        <v>3360</v>
      </c>
      <c r="T443">
        <v>2</v>
      </c>
      <c r="X443" t="b">
        <v>1</v>
      </c>
      <c r="Y443" s="6">
        <v>42037.431944444441</v>
      </c>
    </row>
    <row r="444" spans="1:25" x14ac:dyDescent="0.25">
      <c r="A444" t="s">
        <v>12721</v>
      </c>
      <c r="B444" t="s">
        <v>12628</v>
      </c>
      <c r="C444">
        <v>4.42</v>
      </c>
      <c r="D444" t="s">
        <v>3893</v>
      </c>
      <c r="E444" t="s">
        <v>3925</v>
      </c>
      <c r="F444" s="18">
        <v>42005</v>
      </c>
      <c r="G444" s="18">
        <v>42013</v>
      </c>
      <c r="H444" s="18" t="str">
        <f>IFERROR(INDEX('Docs Signed Input'!B:B,MATCH('Nate''s Evolution'!$B444,'Docs Signed Input'!E:E,0)),"N")</f>
        <v>N</v>
      </c>
      <c r="I444" s="18" t="str">
        <f>IFERROR(INDEX('Docs Signed Input'!C:C,MATCH('Nate''s Evolution'!B444,'Docs Signed Input'!E:E,0)),"N")</f>
        <v>Y</v>
      </c>
      <c r="J444" s="18">
        <v>42026</v>
      </c>
      <c r="L444" t="s">
        <v>2252</v>
      </c>
      <c r="M444" t="s">
        <v>5909</v>
      </c>
      <c r="N444">
        <v>4.16</v>
      </c>
      <c r="O444">
        <v>4.42</v>
      </c>
      <c r="P444" s="6">
        <v>42035.818124999998</v>
      </c>
      <c r="Q444" t="s">
        <v>3896</v>
      </c>
      <c r="R444" t="s">
        <v>10312</v>
      </c>
      <c r="S444" t="s">
        <v>2251</v>
      </c>
      <c r="T444">
        <v>2</v>
      </c>
      <c r="X444" t="b">
        <v>1</v>
      </c>
      <c r="Y444" s="6">
        <v>42037.431944444441</v>
      </c>
    </row>
    <row r="445" spans="1:25" x14ac:dyDescent="0.25">
      <c r="A445" t="s">
        <v>12722</v>
      </c>
      <c r="B445" t="s">
        <v>12629</v>
      </c>
      <c r="C445">
        <v>5.0999999999999996</v>
      </c>
      <c r="D445" t="s">
        <v>3893</v>
      </c>
      <c r="E445" t="s">
        <v>3894</v>
      </c>
      <c r="F445" s="18">
        <v>42005</v>
      </c>
      <c r="G445" s="18">
        <v>42013</v>
      </c>
      <c r="H445" s="18" t="str">
        <f>IFERROR(INDEX('Docs Signed Input'!B:B,MATCH('Nate''s Evolution'!$B445,'Docs Signed Input'!E:E,0)),"N")</f>
        <v>N</v>
      </c>
      <c r="I445" s="18" t="str">
        <f>IFERROR(INDEX('Docs Signed Input'!C:C,MATCH('Nate''s Evolution'!B445,'Docs Signed Input'!E:E,0)),"N")</f>
        <v>N</v>
      </c>
      <c r="L445" t="s">
        <v>11496</v>
      </c>
      <c r="M445" t="s">
        <v>3933</v>
      </c>
      <c r="N445">
        <v>5.0999999999999996</v>
      </c>
      <c r="O445">
        <v>5.3550000000000004</v>
      </c>
      <c r="P445" s="6">
        <v>42035.818124999998</v>
      </c>
      <c r="Q445" t="s">
        <v>3896</v>
      </c>
      <c r="R445" t="s">
        <v>11563</v>
      </c>
      <c r="S445" t="s">
        <v>11497</v>
      </c>
      <c r="T445">
        <v>2</v>
      </c>
      <c r="X445" t="b">
        <v>1</v>
      </c>
      <c r="Y445" s="6">
        <v>42037.431944444441</v>
      </c>
    </row>
    <row r="446" spans="1:25" x14ac:dyDescent="0.25">
      <c r="A446" t="s">
        <v>12723</v>
      </c>
      <c r="B446" t="s">
        <v>12630</v>
      </c>
      <c r="C446">
        <v>2.5</v>
      </c>
      <c r="D446" t="s">
        <v>3922</v>
      </c>
      <c r="E446" t="s">
        <v>3985</v>
      </c>
      <c r="F446" s="18">
        <v>42005</v>
      </c>
      <c r="G446" s="18">
        <v>42013</v>
      </c>
      <c r="H446" s="18" t="str">
        <f>IFERROR(INDEX('Docs Signed Input'!B:B,MATCH('Nate''s Evolution'!$B446,'Docs Signed Input'!E:E,0)),"N")</f>
        <v>N</v>
      </c>
      <c r="I446" s="18" t="str">
        <f>IFERROR(INDEX('Docs Signed Input'!C:C,MATCH('Nate''s Evolution'!B446,'Docs Signed Input'!E:E,0)),"N")</f>
        <v>Y</v>
      </c>
      <c r="J446" s="18">
        <v>42019</v>
      </c>
      <c r="L446" t="s">
        <v>3215</v>
      </c>
      <c r="M446" t="s">
        <v>3930</v>
      </c>
      <c r="N446">
        <v>2.25</v>
      </c>
      <c r="O446">
        <v>2.5</v>
      </c>
      <c r="P446" s="6">
        <v>42030.63076388889</v>
      </c>
      <c r="Q446" t="s">
        <v>3896</v>
      </c>
      <c r="R446" t="s">
        <v>3918</v>
      </c>
      <c r="S446" t="s">
        <v>3214</v>
      </c>
      <c r="T446">
        <v>7</v>
      </c>
      <c r="X446" t="b">
        <v>1</v>
      </c>
      <c r="Y446" s="6">
        <v>42037.431944444441</v>
      </c>
    </row>
    <row r="447" spans="1:25" x14ac:dyDescent="0.25">
      <c r="A447" t="s">
        <v>12724</v>
      </c>
      <c r="B447" t="s">
        <v>12631</v>
      </c>
      <c r="C447">
        <v>5.3550000000000004</v>
      </c>
      <c r="D447" t="s">
        <v>3893</v>
      </c>
      <c r="E447" t="s">
        <v>3894</v>
      </c>
      <c r="F447" s="18">
        <v>42005</v>
      </c>
      <c r="G447" s="18">
        <v>42013</v>
      </c>
      <c r="H447" s="18" t="str">
        <f>IFERROR(INDEX('Docs Signed Input'!B:B,MATCH('Nate''s Evolution'!$B447,'Docs Signed Input'!E:E,0)),"N")</f>
        <v>N</v>
      </c>
      <c r="I447" s="18" t="str">
        <f>IFERROR(INDEX('Docs Signed Input'!C:C,MATCH('Nate''s Evolution'!B447,'Docs Signed Input'!E:E,0)),"N")</f>
        <v>Y</v>
      </c>
      <c r="J447" s="18">
        <v>42025</v>
      </c>
      <c r="L447" t="s">
        <v>2258</v>
      </c>
      <c r="M447" t="s">
        <v>3933</v>
      </c>
      <c r="N447">
        <v>5.3550000000000004</v>
      </c>
      <c r="O447">
        <v>5.3550000000000004</v>
      </c>
      <c r="P447" s="6">
        <v>42035.818124999998</v>
      </c>
      <c r="Q447" t="s">
        <v>3896</v>
      </c>
      <c r="R447" t="s">
        <v>11563</v>
      </c>
      <c r="S447" t="s">
        <v>11503</v>
      </c>
      <c r="T447">
        <v>2</v>
      </c>
      <c r="X447" t="b">
        <v>1</v>
      </c>
      <c r="Y447" s="6">
        <v>42037.431944444441</v>
      </c>
    </row>
    <row r="448" spans="1:25" x14ac:dyDescent="0.25">
      <c r="A448" t="s">
        <v>12671</v>
      </c>
      <c r="B448" t="s">
        <v>12577</v>
      </c>
      <c r="C448">
        <v>5.46</v>
      </c>
      <c r="D448" t="s">
        <v>3893</v>
      </c>
      <c r="E448" t="s">
        <v>3894</v>
      </c>
      <c r="F448" s="18">
        <v>42005</v>
      </c>
      <c r="G448" s="18">
        <v>42014</v>
      </c>
      <c r="H448" s="18" t="str">
        <f>IFERROR(INDEX('Docs Signed Input'!B:B,MATCH('Nate''s Evolution'!$B448,'Docs Signed Input'!E:E,0)),"N")</f>
        <v>Y</v>
      </c>
      <c r="I448" s="18" t="str">
        <f>IFERROR(INDEX('Docs Signed Input'!C:C,MATCH('Nate''s Evolution'!B448,'Docs Signed Input'!E:E,0)),"N")</f>
        <v>Y</v>
      </c>
      <c r="J448" s="18">
        <v>42021</v>
      </c>
      <c r="L448" t="s">
        <v>2890</v>
      </c>
      <c r="M448" t="s">
        <v>4048</v>
      </c>
      <c r="N448">
        <v>5.46</v>
      </c>
      <c r="O448">
        <v>5.72</v>
      </c>
      <c r="P448" s="6">
        <v>42035.818124999998</v>
      </c>
      <c r="Q448" t="s">
        <v>3896</v>
      </c>
      <c r="R448" t="s">
        <v>5861</v>
      </c>
      <c r="S448" t="s">
        <v>2889</v>
      </c>
      <c r="T448">
        <v>2</v>
      </c>
      <c r="X448" t="b">
        <v>1</v>
      </c>
      <c r="Y448" s="6">
        <v>42037.431944444441</v>
      </c>
    </row>
    <row r="449" spans="1:25" x14ac:dyDescent="0.25">
      <c r="A449" t="s">
        <v>12672</v>
      </c>
      <c r="B449" t="s">
        <v>12578</v>
      </c>
      <c r="C449">
        <v>5.46</v>
      </c>
      <c r="D449" t="s">
        <v>3900</v>
      </c>
      <c r="E449" t="s">
        <v>3960</v>
      </c>
      <c r="F449" s="18">
        <v>42005</v>
      </c>
      <c r="G449" s="18">
        <v>42014</v>
      </c>
      <c r="H449" s="18" t="str">
        <f>IFERROR(INDEX('Docs Signed Input'!B:B,MATCH('Nate''s Evolution'!$B449,'Docs Signed Input'!E:E,0)),"N")</f>
        <v>Y</v>
      </c>
      <c r="I449" s="18" t="str">
        <f>IFERROR(INDEX('Docs Signed Input'!C:C,MATCH('Nate''s Evolution'!B449,'Docs Signed Input'!E:E,0)),"N")</f>
        <v>Y</v>
      </c>
      <c r="J449" s="18">
        <v>42026</v>
      </c>
      <c r="K449" s="18">
        <v>42032</v>
      </c>
      <c r="L449" t="s">
        <v>11504</v>
      </c>
      <c r="M449" t="s">
        <v>10253</v>
      </c>
      <c r="N449">
        <v>5.46</v>
      </c>
      <c r="O449">
        <v>6.76</v>
      </c>
      <c r="P449" s="6">
        <v>42033.710312499999</v>
      </c>
      <c r="Q449" t="s">
        <v>3896</v>
      </c>
      <c r="R449" t="s">
        <v>8024</v>
      </c>
      <c r="S449" t="s">
        <v>11505</v>
      </c>
      <c r="T449">
        <v>4</v>
      </c>
      <c r="W449" t="b">
        <v>1</v>
      </c>
      <c r="Y449" s="6">
        <v>42037.431944444441</v>
      </c>
    </row>
    <row r="450" spans="1:25" x14ac:dyDescent="0.25">
      <c r="A450" t="s">
        <v>12673</v>
      </c>
      <c r="B450" t="s">
        <v>12579</v>
      </c>
      <c r="C450">
        <v>4.08</v>
      </c>
      <c r="D450" t="s">
        <v>3893</v>
      </c>
      <c r="E450" t="s">
        <v>3989</v>
      </c>
      <c r="F450" s="18">
        <v>42005</v>
      </c>
      <c r="G450" s="18">
        <v>42014</v>
      </c>
      <c r="H450" s="18" t="str">
        <f>IFERROR(INDEX('Docs Signed Input'!B:B,MATCH('Nate''s Evolution'!$B450,'Docs Signed Input'!E:E,0)),"N")</f>
        <v>N</v>
      </c>
      <c r="I450" s="18" t="str">
        <f>IFERROR(INDEX('Docs Signed Input'!C:C,MATCH('Nate''s Evolution'!B450,'Docs Signed Input'!E:E,0)),"N")</f>
        <v>N</v>
      </c>
      <c r="L450" t="s">
        <v>2258</v>
      </c>
      <c r="M450" t="s">
        <v>4140</v>
      </c>
      <c r="N450">
        <v>4.08</v>
      </c>
      <c r="O450">
        <v>4.08</v>
      </c>
      <c r="P450" s="6">
        <v>42035.818124999998</v>
      </c>
      <c r="Q450" t="s">
        <v>3896</v>
      </c>
      <c r="R450" t="s">
        <v>11563</v>
      </c>
      <c r="S450" t="s">
        <v>2591</v>
      </c>
      <c r="T450">
        <v>2</v>
      </c>
      <c r="X450" t="b">
        <v>1</v>
      </c>
      <c r="Y450" s="6">
        <v>42037.431944444441</v>
      </c>
    </row>
    <row r="451" spans="1:25" x14ac:dyDescent="0.25">
      <c r="A451" t="s">
        <v>12674</v>
      </c>
      <c r="B451" t="s">
        <v>12580</v>
      </c>
      <c r="C451">
        <v>10.455</v>
      </c>
      <c r="D451" t="s">
        <v>3893</v>
      </c>
      <c r="E451" t="s">
        <v>12374</v>
      </c>
      <c r="F451" s="18">
        <v>42005</v>
      </c>
      <c r="G451" s="18">
        <v>42014</v>
      </c>
      <c r="H451" s="18" t="str">
        <f>IFERROR(INDEX('Docs Signed Input'!B:B,MATCH('Nate''s Evolution'!$B451,'Docs Signed Input'!E:E,0)),"N")</f>
        <v>N</v>
      </c>
      <c r="I451" s="18" t="str">
        <f>IFERROR(INDEX('Docs Signed Input'!C:C,MATCH('Nate''s Evolution'!B451,'Docs Signed Input'!E:E,0)),"N")</f>
        <v>N</v>
      </c>
      <c r="L451" t="s">
        <v>2258</v>
      </c>
      <c r="M451" t="s">
        <v>4317</v>
      </c>
      <c r="N451">
        <v>10.455</v>
      </c>
      <c r="O451">
        <v>10.455</v>
      </c>
      <c r="P451" s="6">
        <v>42035.818124999998</v>
      </c>
      <c r="Q451" t="s">
        <v>3896</v>
      </c>
      <c r="R451" t="s">
        <v>11563</v>
      </c>
      <c r="S451" t="s">
        <v>12500</v>
      </c>
      <c r="T451">
        <v>2</v>
      </c>
      <c r="X451" t="b">
        <v>1</v>
      </c>
      <c r="Y451" s="6">
        <v>42037.431944444441</v>
      </c>
    </row>
    <row r="452" spans="1:25" x14ac:dyDescent="0.25">
      <c r="A452" t="s">
        <v>12675</v>
      </c>
      <c r="B452" t="s">
        <v>12581</v>
      </c>
      <c r="C452">
        <v>2.8050000000000002</v>
      </c>
      <c r="D452" t="s">
        <v>3922</v>
      </c>
      <c r="E452" t="s">
        <v>3985</v>
      </c>
      <c r="F452" s="18">
        <v>42005</v>
      </c>
      <c r="G452" s="18">
        <v>42014</v>
      </c>
      <c r="H452" s="18" t="str">
        <f>IFERROR(INDEX('Docs Signed Input'!B:B,MATCH('Nate''s Evolution'!$B452,'Docs Signed Input'!E:E,0)),"N")</f>
        <v>N</v>
      </c>
      <c r="I452" s="18" t="str">
        <f>IFERROR(INDEX('Docs Signed Input'!C:C,MATCH('Nate''s Evolution'!B452,'Docs Signed Input'!E:E,0)),"N")</f>
        <v>N</v>
      </c>
      <c r="J452" s="18">
        <v>42020</v>
      </c>
      <c r="L452" t="s">
        <v>2258</v>
      </c>
      <c r="M452" t="s">
        <v>4140</v>
      </c>
      <c r="N452">
        <v>2.8050000000000002</v>
      </c>
      <c r="O452">
        <v>4.08</v>
      </c>
      <c r="P452" s="6">
        <v>42025.817766203705</v>
      </c>
      <c r="Q452" t="s">
        <v>3896</v>
      </c>
      <c r="R452" t="s">
        <v>11563</v>
      </c>
      <c r="S452" t="s">
        <v>2591</v>
      </c>
      <c r="T452">
        <v>12</v>
      </c>
      <c r="X452" t="b">
        <v>1</v>
      </c>
      <c r="Y452" s="6">
        <v>42037.431944444441</v>
      </c>
    </row>
    <row r="453" spans="1:25" x14ac:dyDescent="0.25">
      <c r="A453" t="s">
        <v>12676</v>
      </c>
      <c r="B453" t="s">
        <v>12582</v>
      </c>
      <c r="C453">
        <v>6.375</v>
      </c>
      <c r="D453" t="s">
        <v>3900</v>
      </c>
      <c r="E453" t="s">
        <v>3960</v>
      </c>
      <c r="F453" s="18">
        <v>42005</v>
      </c>
      <c r="G453" s="18">
        <v>42014</v>
      </c>
      <c r="H453" s="18" t="str">
        <f>IFERROR(INDEX('Docs Signed Input'!B:B,MATCH('Nate''s Evolution'!$B453,'Docs Signed Input'!E:E,0)),"N")</f>
        <v>Y</v>
      </c>
      <c r="I453" s="18" t="str">
        <f>IFERROR(INDEX('Docs Signed Input'!C:C,MATCH('Nate''s Evolution'!B453,'Docs Signed Input'!E:E,0)),"N")</f>
        <v>Y</v>
      </c>
      <c r="J453" s="18">
        <v>42024</v>
      </c>
      <c r="K453" s="18">
        <v>42030</v>
      </c>
      <c r="L453" t="s">
        <v>2258</v>
      </c>
      <c r="M453" t="s">
        <v>4140</v>
      </c>
      <c r="N453">
        <v>6.375</v>
      </c>
      <c r="O453">
        <v>9.18</v>
      </c>
      <c r="P453" s="6">
        <v>42031.778622685182</v>
      </c>
      <c r="Q453" t="s">
        <v>3896</v>
      </c>
      <c r="R453" t="s">
        <v>11760</v>
      </c>
      <c r="S453" t="s">
        <v>2591</v>
      </c>
      <c r="T453">
        <v>6</v>
      </c>
      <c r="W453" t="b">
        <v>1</v>
      </c>
      <c r="Y453" s="6">
        <v>42037.431944444441</v>
      </c>
    </row>
    <row r="454" spans="1:25" x14ac:dyDescent="0.25">
      <c r="A454" t="s">
        <v>12677</v>
      </c>
      <c r="B454" t="s">
        <v>12583</v>
      </c>
      <c r="C454">
        <v>5.2</v>
      </c>
      <c r="D454" t="s">
        <v>3893</v>
      </c>
      <c r="E454" t="s">
        <v>3894</v>
      </c>
      <c r="F454" s="18">
        <v>42005</v>
      </c>
      <c r="G454" s="18">
        <v>42014</v>
      </c>
      <c r="H454" s="18" t="str">
        <f>IFERROR(INDEX('Docs Signed Input'!B:B,MATCH('Nate''s Evolution'!$B454,'Docs Signed Input'!E:E,0)),"N")</f>
        <v>Y</v>
      </c>
      <c r="I454" s="18" t="str">
        <f>IFERROR(INDEX('Docs Signed Input'!C:C,MATCH('Nate''s Evolution'!B454,'Docs Signed Input'!E:E,0)),"N")</f>
        <v>Y</v>
      </c>
      <c r="J454" s="18">
        <v>42017</v>
      </c>
      <c r="L454" t="s">
        <v>2258</v>
      </c>
      <c r="M454" t="s">
        <v>4048</v>
      </c>
      <c r="N454">
        <v>5.2</v>
      </c>
      <c r="O454">
        <v>5.2</v>
      </c>
      <c r="P454" s="6">
        <v>42035.818124999998</v>
      </c>
      <c r="Q454" t="s">
        <v>3896</v>
      </c>
      <c r="R454" t="s">
        <v>3921</v>
      </c>
      <c r="S454" t="s">
        <v>2889</v>
      </c>
      <c r="T454">
        <v>2</v>
      </c>
      <c r="X454" t="b">
        <v>1</v>
      </c>
      <c r="Y454" s="6">
        <v>42037.431944444441</v>
      </c>
    </row>
    <row r="455" spans="1:25" x14ac:dyDescent="0.25">
      <c r="A455" t="s">
        <v>12678</v>
      </c>
      <c r="B455" t="s">
        <v>12584</v>
      </c>
      <c r="C455">
        <v>6.8849999999999998</v>
      </c>
      <c r="D455" t="s">
        <v>3893</v>
      </c>
      <c r="E455" t="s">
        <v>3894</v>
      </c>
      <c r="F455" s="18">
        <v>42005</v>
      </c>
      <c r="G455" s="18">
        <v>42014</v>
      </c>
      <c r="H455" s="18" t="str">
        <f>IFERROR(INDEX('Docs Signed Input'!B:B,MATCH('Nate''s Evolution'!$B455,'Docs Signed Input'!E:E,0)),"N")</f>
        <v>N</v>
      </c>
      <c r="I455" s="18" t="str">
        <f>IFERROR(INDEX('Docs Signed Input'!C:C,MATCH('Nate''s Evolution'!B455,'Docs Signed Input'!E:E,0)),"N")</f>
        <v>N</v>
      </c>
      <c r="J455" s="18">
        <v>42031</v>
      </c>
      <c r="L455" t="s">
        <v>3590</v>
      </c>
      <c r="M455" t="s">
        <v>3932</v>
      </c>
      <c r="N455">
        <v>5.8650000000000002</v>
      </c>
      <c r="O455">
        <v>6.8849999999999998</v>
      </c>
      <c r="P455" s="6">
        <v>42035.818124999998</v>
      </c>
      <c r="Q455" t="s">
        <v>3896</v>
      </c>
      <c r="R455" t="s">
        <v>11563</v>
      </c>
      <c r="S455" t="s">
        <v>3589</v>
      </c>
      <c r="T455">
        <v>2</v>
      </c>
      <c r="X455" t="b">
        <v>1</v>
      </c>
      <c r="Y455" s="6">
        <v>42037.431944444441</v>
      </c>
    </row>
    <row r="456" spans="1:25" x14ac:dyDescent="0.25">
      <c r="A456" t="s">
        <v>12679</v>
      </c>
      <c r="B456" t="s">
        <v>12585</v>
      </c>
      <c r="C456">
        <v>13.52</v>
      </c>
      <c r="D456" t="s">
        <v>3893</v>
      </c>
      <c r="E456" t="s">
        <v>3989</v>
      </c>
      <c r="F456" s="18">
        <v>42005</v>
      </c>
      <c r="G456" s="18">
        <v>42014</v>
      </c>
      <c r="H456" s="18" t="str">
        <f>IFERROR(INDEX('Docs Signed Input'!B:B,MATCH('Nate''s Evolution'!$B456,'Docs Signed Input'!E:E,0)),"N")</f>
        <v>N</v>
      </c>
      <c r="I456" s="18" t="str">
        <f>IFERROR(INDEX('Docs Signed Input'!C:C,MATCH('Nate''s Evolution'!B456,'Docs Signed Input'!E:E,0)),"N")</f>
        <v>N</v>
      </c>
      <c r="L456" t="s">
        <v>11510</v>
      </c>
      <c r="M456" t="s">
        <v>10253</v>
      </c>
      <c r="N456">
        <v>13.52</v>
      </c>
      <c r="O456">
        <v>13.52</v>
      </c>
      <c r="P456" s="6">
        <v>42035.818124999998</v>
      </c>
      <c r="Q456" t="s">
        <v>3896</v>
      </c>
      <c r="R456" t="s">
        <v>11563</v>
      </c>
      <c r="S456" t="s">
        <v>11511</v>
      </c>
      <c r="T456">
        <v>2</v>
      </c>
      <c r="X456" t="b">
        <v>1</v>
      </c>
      <c r="Y456" s="6">
        <v>42037.431944444441</v>
      </c>
    </row>
    <row r="457" spans="1:25" x14ac:dyDescent="0.25">
      <c r="A457" t="s">
        <v>12680</v>
      </c>
      <c r="B457" t="s">
        <v>12586</v>
      </c>
      <c r="C457">
        <v>8.32</v>
      </c>
      <c r="D457" t="s">
        <v>3893</v>
      </c>
      <c r="E457" t="s">
        <v>4888</v>
      </c>
      <c r="F457" s="18">
        <v>42005</v>
      </c>
      <c r="G457" s="18">
        <v>42014</v>
      </c>
      <c r="H457" s="18" t="str">
        <f>IFERROR(INDEX('Docs Signed Input'!B:B,MATCH('Nate''s Evolution'!$B457,'Docs Signed Input'!E:E,0)),"N")</f>
        <v>N</v>
      </c>
      <c r="I457" s="18" t="str">
        <f>IFERROR(INDEX('Docs Signed Input'!C:C,MATCH('Nate''s Evolution'!B457,'Docs Signed Input'!E:E,0)),"N")</f>
        <v>N</v>
      </c>
      <c r="J457" s="18">
        <v>42036</v>
      </c>
      <c r="L457" t="s">
        <v>3454</v>
      </c>
      <c r="M457" t="s">
        <v>10253</v>
      </c>
      <c r="N457">
        <v>7.8</v>
      </c>
      <c r="O457">
        <v>8.32</v>
      </c>
      <c r="P457" s="6">
        <v>42036.818182870367</v>
      </c>
      <c r="Q457" t="s">
        <v>3896</v>
      </c>
      <c r="R457" t="s">
        <v>11563</v>
      </c>
      <c r="S457" t="s">
        <v>3453</v>
      </c>
      <c r="T457">
        <v>1</v>
      </c>
      <c r="X457" t="b">
        <v>1</v>
      </c>
      <c r="Y457" s="6">
        <v>42037.431944444441</v>
      </c>
    </row>
    <row r="458" spans="1:25" x14ac:dyDescent="0.25">
      <c r="A458" t="s">
        <v>12681</v>
      </c>
      <c r="B458" t="s">
        <v>12587</v>
      </c>
      <c r="C458">
        <v>5.8650000000000002</v>
      </c>
      <c r="D458" t="s">
        <v>3893</v>
      </c>
      <c r="E458" t="s">
        <v>3989</v>
      </c>
      <c r="F458" s="18">
        <v>42005</v>
      </c>
      <c r="G458" s="18">
        <v>42014</v>
      </c>
      <c r="H458" s="18" t="str">
        <f>IFERROR(INDEX('Docs Signed Input'!B:B,MATCH('Nate''s Evolution'!$B458,'Docs Signed Input'!E:E,0)),"N")</f>
        <v>N</v>
      </c>
      <c r="I458" s="18" t="str">
        <f>IFERROR(INDEX('Docs Signed Input'!C:C,MATCH('Nate''s Evolution'!B458,'Docs Signed Input'!E:E,0)),"N")</f>
        <v>N</v>
      </c>
      <c r="L458" t="s">
        <v>2258</v>
      </c>
      <c r="M458" t="s">
        <v>4317</v>
      </c>
      <c r="N458">
        <v>5.8650000000000002</v>
      </c>
      <c r="O458">
        <v>5.8650000000000002</v>
      </c>
      <c r="P458" s="6">
        <v>42035.818124999998</v>
      </c>
      <c r="Q458" t="s">
        <v>3896</v>
      </c>
      <c r="S458" t="s">
        <v>12496</v>
      </c>
      <c r="T458">
        <v>2</v>
      </c>
      <c r="X458" t="b">
        <v>1</v>
      </c>
      <c r="Y458" s="6">
        <v>42037.431944444441</v>
      </c>
    </row>
    <row r="459" spans="1:25" x14ac:dyDescent="0.25">
      <c r="A459" t="s">
        <v>12682</v>
      </c>
      <c r="B459" t="s">
        <v>12588</v>
      </c>
      <c r="C459">
        <v>7.65</v>
      </c>
      <c r="D459" t="s">
        <v>3893</v>
      </c>
      <c r="E459" t="s">
        <v>4117</v>
      </c>
      <c r="F459" s="18">
        <v>42005</v>
      </c>
      <c r="G459" s="18">
        <v>42014</v>
      </c>
      <c r="H459" s="18" t="str">
        <f>IFERROR(INDEX('Docs Signed Input'!B:B,MATCH('Nate''s Evolution'!$B459,'Docs Signed Input'!E:E,0)),"N")</f>
        <v>N</v>
      </c>
      <c r="I459" s="18" t="str">
        <f>IFERROR(INDEX('Docs Signed Input'!C:C,MATCH('Nate''s Evolution'!B459,'Docs Signed Input'!E:E,0)),"N")</f>
        <v>N</v>
      </c>
      <c r="L459" t="s">
        <v>2258</v>
      </c>
      <c r="M459" t="s">
        <v>4032</v>
      </c>
      <c r="N459">
        <v>7.65</v>
      </c>
      <c r="O459">
        <v>7.65</v>
      </c>
      <c r="P459" s="6">
        <v>42035.818124999998</v>
      </c>
      <c r="Q459" t="s">
        <v>3896</v>
      </c>
      <c r="R459" t="s">
        <v>11563</v>
      </c>
      <c r="S459" t="s">
        <v>3523</v>
      </c>
      <c r="T459">
        <v>2</v>
      </c>
      <c r="X459" t="b">
        <v>1</v>
      </c>
      <c r="Y459" s="6">
        <v>42037.431944444441</v>
      </c>
    </row>
    <row r="460" spans="1:25" x14ac:dyDescent="0.25">
      <c r="A460" t="s">
        <v>12683</v>
      </c>
      <c r="B460" t="s">
        <v>12589</v>
      </c>
      <c r="C460">
        <v>6.63</v>
      </c>
      <c r="D460" t="s">
        <v>3893</v>
      </c>
      <c r="E460" t="s">
        <v>3894</v>
      </c>
      <c r="F460" s="18">
        <v>42005</v>
      </c>
      <c r="G460" s="18">
        <v>42014</v>
      </c>
      <c r="H460" s="18" t="str">
        <f>IFERROR(INDEX('Docs Signed Input'!B:B,MATCH('Nate''s Evolution'!$B460,'Docs Signed Input'!E:E,0)),"N")</f>
        <v>N</v>
      </c>
      <c r="I460" s="18" t="str">
        <f>IFERROR(INDEX('Docs Signed Input'!C:C,MATCH('Nate''s Evolution'!B460,'Docs Signed Input'!E:E,0)),"N")</f>
        <v>N</v>
      </c>
      <c r="L460" t="s">
        <v>2258</v>
      </c>
      <c r="M460" t="s">
        <v>3948</v>
      </c>
      <c r="N460">
        <v>6.63</v>
      </c>
      <c r="O460">
        <v>7.3949999999999996</v>
      </c>
      <c r="P460" s="6">
        <v>42035.818124999998</v>
      </c>
      <c r="Q460" t="s">
        <v>3896</v>
      </c>
      <c r="R460" t="s">
        <v>3918</v>
      </c>
      <c r="S460" t="s">
        <v>3766</v>
      </c>
      <c r="T460">
        <v>2</v>
      </c>
      <c r="X460" t="b">
        <v>1</v>
      </c>
      <c r="Y460" s="6">
        <v>42037.431944444441</v>
      </c>
    </row>
    <row r="461" spans="1:25" x14ac:dyDescent="0.25">
      <c r="A461" t="s">
        <v>12684</v>
      </c>
      <c r="B461" t="s">
        <v>12590</v>
      </c>
      <c r="C461">
        <v>3.3149999999999999</v>
      </c>
      <c r="D461" t="s">
        <v>3909</v>
      </c>
      <c r="E461" t="s">
        <v>3937</v>
      </c>
      <c r="F461" s="18">
        <v>42005</v>
      </c>
      <c r="G461" s="18">
        <v>42014</v>
      </c>
      <c r="H461" s="18" t="str">
        <f>IFERROR(INDEX('Docs Signed Input'!B:B,MATCH('Nate''s Evolution'!$B461,'Docs Signed Input'!E:E,0)),"N")</f>
        <v>N</v>
      </c>
      <c r="I461" s="18" t="str">
        <f>IFERROR(INDEX('Docs Signed Input'!C:C,MATCH('Nate''s Evolution'!B461,'Docs Signed Input'!E:E,0)),"N")</f>
        <v>Y</v>
      </c>
      <c r="J461" s="18">
        <v>42025</v>
      </c>
      <c r="L461" t="s">
        <v>3460</v>
      </c>
      <c r="M461" t="s">
        <v>4317</v>
      </c>
      <c r="N461">
        <v>3.06</v>
      </c>
      <c r="O461">
        <v>3.3149999999999999</v>
      </c>
      <c r="P461" s="6">
        <v>42027.553831018522</v>
      </c>
      <c r="Q461" t="s">
        <v>3896</v>
      </c>
      <c r="R461" t="s">
        <v>11563</v>
      </c>
      <c r="S461" t="s">
        <v>3459</v>
      </c>
      <c r="T461">
        <v>10</v>
      </c>
      <c r="V461" t="b">
        <v>1</v>
      </c>
      <c r="Y461" s="6">
        <v>42037.431944444441</v>
      </c>
    </row>
    <row r="462" spans="1:25" x14ac:dyDescent="0.25">
      <c r="A462" t="s">
        <v>12685</v>
      </c>
      <c r="B462" t="s">
        <v>12591</v>
      </c>
      <c r="C462">
        <v>4.16</v>
      </c>
      <c r="D462" t="s">
        <v>3893</v>
      </c>
      <c r="E462" t="s">
        <v>3894</v>
      </c>
      <c r="F462" s="18">
        <v>42005</v>
      </c>
      <c r="G462" s="18">
        <v>42014</v>
      </c>
      <c r="H462" s="18" t="str">
        <f>IFERROR(INDEX('Docs Signed Input'!B:B,MATCH('Nate''s Evolution'!$B462,'Docs Signed Input'!E:E,0)),"N")</f>
        <v>Y</v>
      </c>
      <c r="I462" s="18" t="str">
        <f>IFERROR(INDEX('Docs Signed Input'!C:C,MATCH('Nate''s Evolution'!B462,'Docs Signed Input'!E:E,0)),"N")</f>
        <v>N</v>
      </c>
      <c r="L462" t="s">
        <v>2252</v>
      </c>
      <c r="M462" t="s">
        <v>5909</v>
      </c>
      <c r="N462">
        <v>3.64</v>
      </c>
      <c r="O462">
        <v>4.16</v>
      </c>
      <c r="P462" s="6">
        <v>42035.818124999998</v>
      </c>
      <c r="Q462" t="s">
        <v>3896</v>
      </c>
      <c r="R462" t="s">
        <v>13281</v>
      </c>
      <c r="S462" t="s">
        <v>2251</v>
      </c>
      <c r="T462">
        <v>2</v>
      </c>
      <c r="X462" t="b">
        <v>1</v>
      </c>
      <c r="Y462" s="6">
        <v>42037.431944444441</v>
      </c>
    </row>
    <row r="463" spans="1:25" x14ac:dyDescent="0.25">
      <c r="A463" t="s">
        <v>12686</v>
      </c>
      <c r="B463" t="s">
        <v>12592</v>
      </c>
      <c r="C463">
        <v>7.14</v>
      </c>
      <c r="D463" t="s">
        <v>3893</v>
      </c>
      <c r="E463" t="s">
        <v>3989</v>
      </c>
      <c r="F463" s="18">
        <v>42005</v>
      </c>
      <c r="G463" s="18">
        <v>42014</v>
      </c>
      <c r="H463" s="18" t="str">
        <f>IFERROR(INDEX('Docs Signed Input'!B:B,MATCH('Nate''s Evolution'!$B463,'Docs Signed Input'!E:E,0)),"N")</f>
        <v>N</v>
      </c>
      <c r="I463" s="18" t="str">
        <f>IFERROR(INDEX('Docs Signed Input'!C:C,MATCH('Nate''s Evolution'!B463,'Docs Signed Input'!E:E,0)),"N")</f>
        <v>N</v>
      </c>
      <c r="L463" t="s">
        <v>2258</v>
      </c>
      <c r="M463" t="s">
        <v>4317</v>
      </c>
      <c r="N463">
        <v>7.14</v>
      </c>
      <c r="O463">
        <v>7.14</v>
      </c>
      <c r="P463" s="6">
        <v>42035.818124999998</v>
      </c>
      <c r="Q463" t="s">
        <v>3896</v>
      </c>
      <c r="R463" t="s">
        <v>11563</v>
      </c>
      <c r="S463" t="s">
        <v>3348</v>
      </c>
      <c r="T463">
        <v>2</v>
      </c>
      <c r="X463" t="b">
        <v>1</v>
      </c>
      <c r="Y463" s="6">
        <v>42037.431944444441</v>
      </c>
    </row>
    <row r="464" spans="1:25" x14ac:dyDescent="0.25">
      <c r="A464" t="s">
        <v>12687</v>
      </c>
      <c r="B464" t="s">
        <v>12593</v>
      </c>
      <c r="C464">
        <v>4</v>
      </c>
      <c r="D464" t="s">
        <v>3893</v>
      </c>
      <c r="E464" t="s">
        <v>4117</v>
      </c>
      <c r="F464" s="18">
        <v>42005</v>
      </c>
      <c r="G464" s="18">
        <v>42014</v>
      </c>
      <c r="H464" s="18" t="str">
        <f>IFERROR(INDEX('Docs Signed Input'!B:B,MATCH('Nate''s Evolution'!$B464,'Docs Signed Input'!E:E,0)),"N")</f>
        <v>N</v>
      </c>
      <c r="I464" s="18" t="str">
        <f>IFERROR(INDEX('Docs Signed Input'!C:C,MATCH('Nate''s Evolution'!B464,'Docs Signed Input'!E:E,0)),"N")</f>
        <v>N</v>
      </c>
      <c r="L464" t="s">
        <v>2258</v>
      </c>
      <c r="M464" t="s">
        <v>3895</v>
      </c>
      <c r="N464">
        <v>4</v>
      </c>
      <c r="O464">
        <v>4</v>
      </c>
      <c r="P464" s="6">
        <v>42035.818124999998</v>
      </c>
      <c r="Q464" t="s">
        <v>3896</v>
      </c>
      <c r="R464" t="s">
        <v>11563</v>
      </c>
      <c r="S464" t="s">
        <v>2587</v>
      </c>
      <c r="T464">
        <v>2</v>
      </c>
      <c r="X464" t="b">
        <v>1</v>
      </c>
      <c r="Y464" s="6">
        <v>42037.431944444441</v>
      </c>
    </row>
    <row r="465" spans="1:25" x14ac:dyDescent="0.25">
      <c r="A465" t="s">
        <v>11711</v>
      </c>
      <c r="B465" t="s">
        <v>12594</v>
      </c>
      <c r="C465">
        <v>4</v>
      </c>
      <c r="D465" t="s">
        <v>3893</v>
      </c>
      <c r="E465" t="s">
        <v>3894</v>
      </c>
      <c r="F465" s="18">
        <v>42005</v>
      </c>
      <c r="G465" s="18">
        <v>42014</v>
      </c>
      <c r="H465" s="18" t="str">
        <f>IFERROR(INDEX('Docs Signed Input'!B:B,MATCH('Nate''s Evolution'!$B465,'Docs Signed Input'!E:E,0)),"N")</f>
        <v>N</v>
      </c>
      <c r="I465" s="18" t="str">
        <f>IFERROR(INDEX('Docs Signed Input'!C:C,MATCH('Nate''s Evolution'!B465,'Docs Signed Input'!E:E,0)),"N")</f>
        <v>N</v>
      </c>
      <c r="L465" t="s">
        <v>2258</v>
      </c>
      <c r="M465" t="s">
        <v>4000</v>
      </c>
      <c r="N465">
        <v>4</v>
      </c>
      <c r="O465">
        <v>9.5</v>
      </c>
      <c r="P465" s="6">
        <v>42035.818124999998</v>
      </c>
      <c r="Q465" t="s">
        <v>3896</v>
      </c>
      <c r="R465" t="s">
        <v>11563</v>
      </c>
      <c r="S465" t="s">
        <v>3660</v>
      </c>
      <c r="T465">
        <v>2</v>
      </c>
      <c r="X465" t="b">
        <v>1</v>
      </c>
      <c r="Y465" s="6">
        <v>42037.431944444441</v>
      </c>
    </row>
    <row r="466" spans="1:25" x14ac:dyDescent="0.25">
      <c r="A466" t="s">
        <v>12688</v>
      </c>
      <c r="B466" t="s">
        <v>12595</v>
      </c>
      <c r="C466">
        <v>5.0999999999999996</v>
      </c>
      <c r="D466" t="s">
        <v>3893</v>
      </c>
      <c r="E466" t="s">
        <v>3925</v>
      </c>
      <c r="F466" s="18">
        <v>42005</v>
      </c>
      <c r="G466" s="18">
        <v>42014</v>
      </c>
      <c r="H466" s="18" t="str">
        <f>IFERROR(INDEX('Docs Signed Input'!B:B,MATCH('Nate''s Evolution'!$B466,'Docs Signed Input'!E:E,0)),"N")</f>
        <v>N</v>
      </c>
      <c r="I466" s="18" t="str">
        <f>IFERROR(INDEX('Docs Signed Input'!C:C,MATCH('Nate''s Evolution'!B466,'Docs Signed Input'!E:E,0)),"N")</f>
        <v>Y</v>
      </c>
      <c r="J466" s="18">
        <v>42017</v>
      </c>
      <c r="L466" t="s">
        <v>2258</v>
      </c>
      <c r="M466" t="s">
        <v>4140</v>
      </c>
      <c r="N466">
        <v>5.0999999999999996</v>
      </c>
      <c r="O466">
        <v>5.0999999999999996</v>
      </c>
      <c r="P466" s="6">
        <v>42035.818124999998</v>
      </c>
      <c r="Q466" t="s">
        <v>3896</v>
      </c>
      <c r="R466" t="s">
        <v>12689</v>
      </c>
      <c r="S466" t="s">
        <v>4723</v>
      </c>
      <c r="T466">
        <v>2</v>
      </c>
      <c r="X466" t="b">
        <v>1</v>
      </c>
      <c r="Y466" s="6">
        <v>42037.431944444441</v>
      </c>
    </row>
    <row r="467" spans="1:25" x14ac:dyDescent="0.25">
      <c r="A467" t="s">
        <v>12690</v>
      </c>
      <c r="B467" t="s">
        <v>12596</v>
      </c>
      <c r="C467">
        <v>7</v>
      </c>
      <c r="D467" t="s">
        <v>3950</v>
      </c>
      <c r="E467" t="s">
        <v>3951</v>
      </c>
      <c r="F467" s="18">
        <v>42005</v>
      </c>
      <c r="G467" s="18">
        <v>42014</v>
      </c>
      <c r="H467" s="18" t="str">
        <f>IFERROR(INDEX('Docs Signed Input'!B:B,MATCH('Nate''s Evolution'!$B467,'Docs Signed Input'!E:E,0)),"N")</f>
        <v>Y</v>
      </c>
      <c r="I467" s="18" t="str">
        <f>IFERROR(INDEX('Docs Signed Input'!C:C,MATCH('Nate''s Evolution'!B467,'Docs Signed Input'!E:E,0)),"N")</f>
        <v>Y</v>
      </c>
      <c r="J467" s="18">
        <v>42018</v>
      </c>
      <c r="K467" s="18">
        <v>42025</v>
      </c>
      <c r="L467" t="s">
        <v>2258</v>
      </c>
      <c r="M467" t="s">
        <v>3930</v>
      </c>
      <c r="N467">
        <v>7</v>
      </c>
      <c r="O467">
        <v>7</v>
      </c>
      <c r="P467" s="6">
        <v>42033.227893518517</v>
      </c>
      <c r="Q467" t="s">
        <v>3896</v>
      </c>
      <c r="S467" t="s">
        <v>3750</v>
      </c>
      <c r="T467">
        <v>4</v>
      </c>
      <c r="W467" t="b">
        <v>1</v>
      </c>
      <c r="Y467" s="6">
        <v>42037.431944444441</v>
      </c>
    </row>
    <row r="468" spans="1:25" x14ac:dyDescent="0.25">
      <c r="A468" t="s">
        <v>12691</v>
      </c>
      <c r="B468" t="s">
        <v>12597</v>
      </c>
      <c r="C468">
        <v>3.64</v>
      </c>
      <c r="D468" t="s">
        <v>3893</v>
      </c>
      <c r="E468" t="s">
        <v>3894</v>
      </c>
      <c r="F468" s="18">
        <v>42005</v>
      </c>
      <c r="G468" s="18">
        <v>42014</v>
      </c>
      <c r="H468" s="18" t="str">
        <f>IFERROR(INDEX('Docs Signed Input'!B:B,MATCH('Nate''s Evolution'!$B468,'Docs Signed Input'!E:E,0)),"N")</f>
        <v>N</v>
      </c>
      <c r="I468" s="18" t="str">
        <f>IFERROR(INDEX('Docs Signed Input'!C:C,MATCH('Nate''s Evolution'!B468,'Docs Signed Input'!E:E,0)),"N")</f>
        <v>N</v>
      </c>
      <c r="L468" t="s">
        <v>2258</v>
      </c>
      <c r="M468" t="s">
        <v>5095</v>
      </c>
      <c r="N468">
        <v>3.64</v>
      </c>
      <c r="O468">
        <v>3.64</v>
      </c>
      <c r="P468" s="6">
        <v>42035.818124999998</v>
      </c>
      <c r="Q468" t="s">
        <v>3896</v>
      </c>
      <c r="R468" t="s">
        <v>8024</v>
      </c>
      <c r="S468" t="s">
        <v>3634</v>
      </c>
      <c r="T468">
        <v>2</v>
      </c>
      <c r="X468" t="b">
        <v>1</v>
      </c>
      <c r="Y468" s="6">
        <v>42037.431944444441</v>
      </c>
    </row>
    <row r="469" spans="1:25" x14ac:dyDescent="0.25">
      <c r="A469" t="s">
        <v>12692</v>
      </c>
      <c r="B469" t="s">
        <v>12598</v>
      </c>
      <c r="C469">
        <v>6.8849999999999998</v>
      </c>
      <c r="D469" t="s">
        <v>3922</v>
      </c>
      <c r="E469" t="s">
        <v>3985</v>
      </c>
      <c r="F469" s="18">
        <v>42005</v>
      </c>
      <c r="G469" s="18">
        <v>42014</v>
      </c>
      <c r="H469" s="18" t="str">
        <f>IFERROR(INDEX('Docs Signed Input'!B:B,MATCH('Nate''s Evolution'!$B469,'Docs Signed Input'!E:E,0)),"N")</f>
        <v>Y</v>
      </c>
      <c r="I469" s="18" t="str">
        <f>IFERROR(INDEX('Docs Signed Input'!C:C,MATCH('Nate''s Evolution'!B469,'Docs Signed Input'!E:E,0)),"N")</f>
        <v>Y</v>
      </c>
      <c r="J469" s="18">
        <v>42018</v>
      </c>
      <c r="L469" t="s">
        <v>3460</v>
      </c>
      <c r="M469" t="s">
        <v>4317</v>
      </c>
      <c r="N469">
        <v>6.8849999999999998</v>
      </c>
      <c r="O469">
        <v>9.69</v>
      </c>
      <c r="P469" s="6">
        <v>42031.477581018517</v>
      </c>
      <c r="Q469" t="s">
        <v>3896</v>
      </c>
      <c r="R469" t="s">
        <v>4518</v>
      </c>
      <c r="S469" t="s">
        <v>3459</v>
      </c>
      <c r="T469">
        <v>6</v>
      </c>
      <c r="X469" t="b">
        <v>1</v>
      </c>
      <c r="Y469" s="6">
        <v>42037.431944444441</v>
      </c>
    </row>
    <row r="470" spans="1:25" x14ac:dyDescent="0.25">
      <c r="A470" t="s">
        <v>12693</v>
      </c>
      <c r="B470" t="s">
        <v>12599</v>
      </c>
      <c r="C470">
        <v>5.61</v>
      </c>
      <c r="D470" t="s">
        <v>3909</v>
      </c>
      <c r="E470" t="s">
        <v>3937</v>
      </c>
      <c r="F470" s="18">
        <v>42005</v>
      </c>
      <c r="G470" s="18">
        <v>42014</v>
      </c>
      <c r="H470" s="18" t="str">
        <f>IFERROR(INDEX('Docs Signed Input'!B:B,MATCH('Nate''s Evolution'!$B470,'Docs Signed Input'!E:E,0)),"N")</f>
        <v>N</v>
      </c>
      <c r="I470" s="18" t="str">
        <f>IFERROR(INDEX('Docs Signed Input'!C:C,MATCH('Nate''s Evolution'!B470,'Docs Signed Input'!E:E,0)),"N")</f>
        <v>N</v>
      </c>
      <c r="L470" t="s">
        <v>2258</v>
      </c>
      <c r="M470" t="s">
        <v>4140</v>
      </c>
      <c r="N470">
        <v>5.61</v>
      </c>
      <c r="O470">
        <v>5.61</v>
      </c>
      <c r="P470" s="6">
        <v>42025.928738425922</v>
      </c>
      <c r="Q470" t="s">
        <v>3896</v>
      </c>
      <c r="R470" t="s">
        <v>3918</v>
      </c>
      <c r="S470" t="s">
        <v>3650</v>
      </c>
      <c r="T470">
        <v>12</v>
      </c>
      <c r="V470" t="b">
        <v>1</v>
      </c>
      <c r="Y470" s="6">
        <v>42037.431944444441</v>
      </c>
    </row>
    <row r="471" spans="1:25" x14ac:dyDescent="0.25">
      <c r="A471" t="s">
        <v>12694</v>
      </c>
      <c r="B471" t="s">
        <v>12600</v>
      </c>
      <c r="C471">
        <v>8.06</v>
      </c>
      <c r="D471" t="s">
        <v>3893</v>
      </c>
      <c r="E471" t="s">
        <v>3925</v>
      </c>
      <c r="F471" s="18">
        <v>42005</v>
      </c>
      <c r="G471" s="18">
        <v>42014</v>
      </c>
      <c r="H471" s="18" t="str">
        <f>IFERROR(INDEX('Docs Signed Input'!B:B,MATCH('Nate''s Evolution'!$B471,'Docs Signed Input'!E:E,0)),"N")</f>
        <v>Y</v>
      </c>
      <c r="I471" s="18" t="str">
        <f>IFERROR(INDEX('Docs Signed Input'!C:C,MATCH('Nate''s Evolution'!B471,'Docs Signed Input'!E:E,0)),"N")</f>
        <v>Y</v>
      </c>
      <c r="J471" s="18">
        <v>42027</v>
      </c>
      <c r="L471" t="s">
        <v>2690</v>
      </c>
      <c r="M471" t="s">
        <v>5909</v>
      </c>
      <c r="N471">
        <v>8.06</v>
      </c>
      <c r="O471">
        <v>8.58</v>
      </c>
      <c r="P471" s="6">
        <v>42035.818124999998</v>
      </c>
      <c r="Q471" t="s">
        <v>3896</v>
      </c>
      <c r="R471" t="s">
        <v>13776</v>
      </c>
      <c r="S471" t="s">
        <v>2689</v>
      </c>
      <c r="T471">
        <v>2</v>
      </c>
      <c r="X471" t="b">
        <v>1</v>
      </c>
      <c r="Y471" s="6">
        <v>42037.431944444441</v>
      </c>
    </row>
    <row r="472" spans="1:25" x14ac:dyDescent="0.25">
      <c r="A472" t="s">
        <v>12694</v>
      </c>
      <c r="B472" t="s">
        <v>12601</v>
      </c>
      <c r="C472">
        <v>7.54</v>
      </c>
      <c r="D472" t="s">
        <v>3893</v>
      </c>
      <c r="E472" t="s">
        <v>3925</v>
      </c>
      <c r="F472" s="18">
        <v>42005</v>
      </c>
      <c r="G472" s="18">
        <v>42014</v>
      </c>
      <c r="H472" s="18" t="str">
        <f>IFERROR(INDEX('Docs Signed Input'!B:B,MATCH('Nate''s Evolution'!$B472,'Docs Signed Input'!E:E,0)),"N")</f>
        <v>Y</v>
      </c>
      <c r="I472" s="18" t="str">
        <f>IFERROR(INDEX('Docs Signed Input'!C:C,MATCH('Nate''s Evolution'!B472,'Docs Signed Input'!E:E,0)),"N")</f>
        <v>Y</v>
      </c>
      <c r="J472" s="18">
        <v>42027</v>
      </c>
      <c r="L472" t="s">
        <v>2258</v>
      </c>
      <c r="M472" t="s">
        <v>5909</v>
      </c>
      <c r="N472">
        <v>7.54</v>
      </c>
      <c r="O472">
        <v>8.06</v>
      </c>
      <c r="P472" s="6">
        <v>42035.818124999998</v>
      </c>
      <c r="Q472" t="s">
        <v>3896</v>
      </c>
      <c r="R472" t="s">
        <v>3897</v>
      </c>
      <c r="S472" t="s">
        <v>2689</v>
      </c>
      <c r="T472">
        <v>2</v>
      </c>
      <c r="X472" t="b">
        <v>1</v>
      </c>
      <c r="Y472" s="6">
        <v>42037.431944444441</v>
      </c>
    </row>
    <row r="473" spans="1:25" x14ac:dyDescent="0.25">
      <c r="A473" t="s">
        <v>12695</v>
      </c>
      <c r="B473" t="s">
        <v>12602</v>
      </c>
      <c r="C473">
        <v>7.28</v>
      </c>
      <c r="D473" t="s">
        <v>3922</v>
      </c>
      <c r="E473" t="s">
        <v>3951</v>
      </c>
      <c r="F473" s="18">
        <v>42005</v>
      </c>
      <c r="G473" s="18">
        <v>42014</v>
      </c>
      <c r="H473" s="18" t="str">
        <f>IFERROR(INDEX('Docs Signed Input'!B:B,MATCH('Nate''s Evolution'!$B473,'Docs Signed Input'!E:E,0)),"N")</f>
        <v>Y</v>
      </c>
      <c r="I473" s="18" t="str">
        <f>IFERROR(INDEX('Docs Signed Input'!C:C,MATCH('Nate''s Evolution'!B473,'Docs Signed Input'!E:E,0)),"N")</f>
        <v>Y</v>
      </c>
      <c r="J473" s="18">
        <v>42026</v>
      </c>
      <c r="K473" s="18">
        <v>42041</v>
      </c>
      <c r="L473" t="s">
        <v>2258</v>
      </c>
      <c r="M473" t="s">
        <v>5909</v>
      </c>
      <c r="N473">
        <v>7.28</v>
      </c>
      <c r="O473">
        <v>7.54</v>
      </c>
      <c r="P473" s="6">
        <v>42033.514537037037</v>
      </c>
      <c r="Q473" t="s">
        <v>3896</v>
      </c>
      <c r="S473" t="s">
        <v>2251</v>
      </c>
      <c r="T473">
        <v>4</v>
      </c>
      <c r="X473" t="b">
        <v>1</v>
      </c>
      <c r="Y473" s="6">
        <v>42037.431944444441</v>
      </c>
    </row>
    <row r="474" spans="1:25" x14ac:dyDescent="0.25">
      <c r="A474" t="s">
        <v>12696</v>
      </c>
      <c r="B474" t="s">
        <v>12603</v>
      </c>
      <c r="C474">
        <v>7.9050000000000002</v>
      </c>
      <c r="D474" t="s">
        <v>3893</v>
      </c>
      <c r="E474" t="s">
        <v>3989</v>
      </c>
      <c r="F474" s="18">
        <v>42005</v>
      </c>
      <c r="G474" s="18">
        <v>42014</v>
      </c>
      <c r="H474" s="18" t="str">
        <f>IFERROR(INDEX('Docs Signed Input'!B:B,MATCH('Nate''s Evolution'!$B474,'Docs Signed Input'!E:E,0)),"N")</f>
        <v>N</v>
      </c>
      <c r="I474" s="18" t="str">
        <f>IFERROR(INDEX('Docs Signed Input'!C:C,MATCH('Nate''s Evolution'!B474,'Docs Signed Input'!E:E,0)),"N")</f>
        <v>N</v>
      </c>
      <c r="L474" t="s">
        <v>3590</v>
      </c>
      <c r="M474" t="s">
        <v>3932</v>
      </c>
      <c r="N474">
        <v>7.9050000000000002</v>
      </c>
      <c r="O474">
        <v>7.9050000000000002</v>
      </c>
      <c r="P474" s="6">
        <v>42035.818124999998</v>
      </c>
      <c r="Q474" t="s">
        <v>3896</v>
      </c>
      <c r="R474" t="s">
        <v>13035</v>
      </c>
      <c r="S474" t="s">
        <v>3589</v>
      </c>
      <c r="T474">
        <v>2</v>
      </c>
      <c r="X474" t="b">
        <v>1</v>
      </c>
      <c r="Y474" s="6">
        <v>42037.431944444441</v>
      </c>
    </row>
    <row r="475" spans="1:25" x14ac:dyDescent="0.25">
      <c r="A475" t="s">
        <v>12697</v>
      </c>
      <c r="B475" t="s">
        <v>12604</v>
      </c>
      <c r="C475">
        <v>4.9400000000000004</v>
      </c>
      <c r="D475" t="s">
        <v>3893</v>
      </c>
      <c r="E475" t="s">
        <v>4117</v>
      </c>
      <c r="F475" s="18">
        <v>42005</v>
      </c>
      <c r="G475" s="18">
        <v>42014</v>
      </c>
      <c r="H475" s="18" t="str">
        <f>IFERROR(INDEX('Docs Signed Input'!B:B,MATCH('Nate''s Evolution'!$B475,'Docs Signed Input'!E:E,0)),"N")</f>
        <v>N</v>
      </c>
      <c r="I475" s="18" t="str">
        <f>IFERROR(INDEX('Docs Signed Input'!C:C,MATCH('Nate''s Evolution'!B475,'Docs Signed Input'!E:E,0)),"N")</f>
        <v>N</v>
      </c>
      <c r="L475" t="s">
        <v>2690</v>
      </c>
      <c r="M475" t="s">
        <v>5909</v>
      </c>
      <c r="N475">
        <v>4.9400000000000004</v>
      </c>
      <c r="O475">
        <v>4.9400000000000004</v>
      </c>
      <c r="P475" s="6">
        <v>42035.818124999998</v>
      </c>
      <c r="Q475" t="s">
        <v>3896</v>
      </c>
      <c r="R475" t="s">
        <v>11563</v>
      </c>
      <c r="S475" t="s">
        <v>2689</v>
      </c>
      <c r="T475">
        <v>2</v>
      </c>
      <c r="X475" t="b">
        <v>1</v>
      </c>
      <c r="Y475" s="6">
        <v>42037.431944444441</v>
      </c>
    </row>
    <row r="476" spans="1:25" x14ac:dyDescent="0.25">
      <c r="A476" t="s">
        <v>12698</v>
      </c>
      <c r="B476" t="s">
        <v>12605</v>
      </c>
      <c r="C476">
        <v>8.5</v>
      </c>
      <c r="D476" t="s">
        <v>3893</v>
      </c>
      <c r="E476" t="s">
        <v>3989</v>
      </c>
      <c r="F476" s="18">
        <v>42005</v>
      </c>
      <c r="G476" s="18">
        <v>42014</v>
      </c>
      <c r="H476" s="18" t="str">
        <f>IFERROR(INDEX('Docs Signed Input'!B:B,MATCH('Nate''s Evolution'!$B476,'Docs Signed Input'!E:E,0)),"N")</f>
        <v>N</v>
      </c>
      <c r="I476" s="18" t="str">
        <f>IFERROR(INDEX('Docs Signed Input'!C:C,MATCH('Nate''s Evolution'!B476,'Docs Signed Input'!E:E,0)),"N")</f>
        <v>N</v>
      </c>
      <c r="L476" t="s">
        <v>2944</v>
      </c>
      <c r="M476" t="s">
        <v>3926</v>
      </c>
      <c r="N476">
        <v>8.5</v>
      </c>
      <c r="O476">
        <v>8.5</v>
      </c>
      <c r="P476" s="6">
        <v>42035.818124999998</v>
      </c>
      <c r="Q476" t="s">
        <v>3896</v>
      </c>
      <c r="R476" t="s">
        <v>11563</v>
      </c>
      <c r="S476" t="s">
        <v>2943</v>
      </c>
      <c r="T476">
        <v>2</v>
      </c>
      <c r="X476" t="b">
        <v>1</v>
      </c>
      <c r="Y476" s="6">
        <v>42037.431944444441</v>
      </c>
    </row>
    <row r="477" spans="1:25" x14ac:dyDescent="0.25">
      <c r="A477" t="s">
        <v>12699</v>
      </c>
      <c r="B477" t="s">
        <v>12606</v>
      </c>
      <c r="C477">
        <v>4.42</v>
      </c>
      <c r="D477" t="s">
        <v>3893</v>
      </c>
      <c r="E477" t="s">
        <v>3894</v>
      </c>
      <c r="F477" s="18">
        <v>42005</v>
      </c>
      <c r="G477" s="18">
        <v>42014</v>
      </c>
      <c r="H477" s="18" t="str">
        <f>IFERROR(INDEX('Docs Signed Input'!B:B,MATCH('Nate''s Evolution'!$B477,'Docs Signed Input'!E:E,0)),"N")</f>
        <v>Y</v>
      </c>
      <c r="I477" s="18" t="str">
        <f>IFERROR(INDEX('Docs Signed Input'!C:C,MATCH('Nate''s Evolution'!B477,'Docs Signed Input'!E:E,0)),"N")</f>
        <v>N</v>
      </c>
      <c r="L477" t="s">
        <v>3582</v>
      </c>
      <c r="M477" t="s">
        <v>4048</v>
      </c>
      <c r="N477">
        <v>4.42</v>
      </c>
      <c r="O477">
        <v>8.58</v>
      </c>
      <c r="P477" s="6">
        <v>42035.818124999998</v>
      </c>
      <c r="Q477" t="s">
        <v>3896</v>
      </c>
      <c r="S477" t="s">
        <v>3581</v>
      </c>
      <c r="T477">
        <v>2</v>
      </c>
      <c r="X477" t="b">
        <v>1</v>
      </c>
      <c r="Y477" s="6">
        <v>42037.431944444441</v>
      </c>
    </row>
    <row r="478" spans="1:25" x14ac:dyDescent="0.25">
      <c r="A478" t="s">
        <v>12700</v>
      </c>
      <c r="B478" t="s">
        <v>12607</v>
      </c>
      <c r="C478">
        <v>8.58</v>
      </c>
      <c r="D478" t="s">
        <v>3893</v>
      </c>
      <c r="E478" t="s">
        <v>4117</v>
      </c>
      <c r="F478" s="18">
        <v>42005</v>
      </c>
      <c r="G478" s="18">
        <v>42014</v>
      </c>
      <c r="H478" s="18" t="str">
        <f>IFERROR(INDEX('Docs Signed Input'!B:B,MATCH('Nate''s Evolution'!$B478,'Docs Signed Input'!E:E,0)),"N")</f>
        <v>N</v>
      </c>
      <c r="I478" s="18" t="str">
        <f>IFERROR(INDEX('Docs Signed Input'!C:C,MATCH('Nate''s Evolution'!B478,'Docs Signed Input'!E:E,0)),"N")</f>
        <v>N</v>
      </c>
      <c r="L478" t="s">
        <v>2258</v>
      </c>
      <c r="M478" t="s">
        <v>5909</v>
      </c>
      <c r="N478">
        <v>8.58</v>
      </c>
      <c r="O478">
        <v>8.58</v>
      </c>
      <c r="P478" s="6">
        <v>42035.818124999998</v>
      </c>
      <c r="Q478" t="s">
        <v>3896</v>
      </c>
      <c r="R478" t="s">
        <v>8024</v>
      </c>
      <c r="S478" t="s">
        <v>2689</v>
      </c>
      <c r="T478">
        <v>2</v>
      </c>
      <c r="X478" t="b">
        <v>1</v>
      </c>
      <c r="Y478" s="6">
        <v>42037.431944444441</v>
      </c>
    </row>
    <row r="479" spans="1:25" x14ac:dyDescent="0.25">
      <c r="A479" t="s">
        <v>12701</v>
      </c>
      <c r="B479" t="s">
        <v>12608</v>
      </c>
      <c r="C479">
        <v>10.4</v>
      </c>
      <c r="D479" t="s">
        <v>3893</v>
      </c>
      <c r="E479" t="s">
        <v>3941</v>
      </c>
      <c r="F479" s="18">
        <v>42005</v>
      </c>
      <c r="G479" s="18">
        <v>42014</v>
      </c>
      <c r="H479" s="18" t="str">
        <f>IFERROR(INDEX('Docs Signed Input'!B:B,MATCH('Nate''s Evolution'!$B479,'Docs Signed Input'!E:E,0)),"N")</f>
        <v>Y</v>
      </c>
      <c r="I479" s="18" t="str">
        <f>IFERROR(INDEX('Docs Signed Input'!C:C,MATCH('Nate''s Evolution'!B479,'Docs Signed Input'!E:E,0)),"N")</f>
        <v>N</v>
      </c>
      <c r="L479" t="s">
        <v>2258</v>
      </c>
      <c r="M479" t="s">
        <v>5095</v>
      </c>
      <c r="N479">
        <v>10.4</v>
      </c>
      <c r="O479">
        <v>10.4</v>
      </c>
      <c r="P479" s="6">
        <v>42035.818124999998</v>
      </c>
      <c r="Q479" t="s">
        <v>3896</v>
      </c>
      <c r="R479" t="s">
        <v>13281</v>
      </c>
      <c r="S479" t="s">
        <v>3634</v>
      </c>
      <c r="T479">
        <v>2</v>
      </c>
      <c r="X479" t="b">
        <v>1</v>
      </c>
      <c r="Y479" s="6">
        <v>42037.431944444441</v>
      </c>
    </row>
    <row r="480" spans="1:25" x14ac:dyDescent="0.25">
      <c r="A480" t="s">
        <v>12702</v>
      </c>
      <c r="B480" t="s">
        <v>12609</v>
      </c>
      <c r="C480">
        <v>4.08</v>
      </c>
      <c r="D480" t="s">
        <v>3893</v>
      </c>
      <c r="E480" t="s">
        <v>4117</v>
      </c>
      <c r="F480" s="18">
        <v>42005</v>
      </c>
      <c r="G480" s="18">
        <v>42014</v>
      </c>
      <c r="H480" s="18" t="str">
        <f>IFERROR(INDEX('Docs Signed Input'!B:B,MATCH('Nate''s Evolution'!$B480,'Docs Signed Input'!E:E,0)),"N")</f>
        <v>N</v>
      </c>
      <c r="I480" s="18" t="str">
        <f>IFERROR(INDEX('Docs Signed Input'!C:C,MATCH('Nate''s Evolution'!B480,'Docs Signed Input'!E:E,0)),"N")</f>
        <v>N</v>
      </c>
      <c r="L480" t="s">
        <v>11502</v>
      </c>
      <c r="M480" t="s">
        <v>3933</v>
      </c>
      <c r="N480">
        <v>4.08</v>
      </c>
      <c r="O480">
        <v>4.08</v>
      </c>
      <c r="P480" s="6">
        <v>42035.818124999998</v>
      </c>
      <c r="Q480" t="s">
        <v>3896</v>
      </c>
      <c r="R480" t="s">
        <v>13035</v>
      </c>
      <c r="S480" t="s">
        <v>11503</v>
      </c>
      <c r="T480">
        <v>2</v>
      </c>
      <c r="X480" t="b">
        <v>1</v>
      </c>
      <c r="Y480" s="6">
        <v>42037.431944444441</v>
      </c>
    </row>
    <row r="481" spans="1:25" x14ac:dyDescent="0.25">
      <c r="A481" t="s">
        <v>12670</v>
      </c>
      <c r="B481" t="s">
        <v>12576</v>
      </c>
      <c r="C481">
        <v>14</v>
      </c>
      <c r="D481" t="s">
        <v>3893</v>
      </c>
      <c r="E481" t="s">
        <v>3989</v>
      </c>
      <c r="F481" s="18">
        <v>42005</v>
      </c>
      <c r="G481" s="18">
        <v>42015</v>
      </c>
      <c r="H481" s="18" t="str">
        <f>IFERROR(INDEX('Docs Signed Input'!B:B,MATCH('Nate''s Evolution'!$B481,'Docs Signed Input'!E:E,0)),"N")</f>
        <v>N</v>
      </c>
      <c r="I481" s="18" t="str">
        <f>IFERROR(INDEX('Docs Signed Input'!C:C,MATCH('Nate''s Evolution'!B481,'Docs Signed Input'!E:E,0)),"N")</f>
        <v>N</v>
      </c>
      <c r="L481" t="s">
        <v>2258</v>
      </c>
      <c r="M481" t="s">
        <v>12976</v>
      </c>
      <c r="N481">
        <v>14</v>
      </c>
      <c r="O481">
        <v>14</v>
      </c>
      <c r="P481" s="6">
        <v>42035.818124999998</v>
      </c>
      <c r="Q481" t="s">
        <v>3896</v>
      </c>
      <c r="R481" t="s">
        <v>11563</v>
      </c>
      <c r="S481" t="s">
        <v>12283</v>
      </c>
      <c r="T481">
        <v>2</v>
      </c>
      <c r="X481" t="b">
        <v>1</v>
      </c>
      <c r="Y481" s="6">
        <v>42037.431944444441</v>
      </c>
    </row>
    <row r="482" spans="1:25" x14ac:dyDescent="0.25">
      <c r="A482" t="s">
        <v>13023</v>
      </c>
      <c r="B482" t="s">
        <v>12963</v>
      </c>
      <c r="C482">
        <v>9.18</v>
      </c>
      <c r="D482" t="s">
        <v>3893</v>
      </c>
      <c r="E482" t="s">
        <v>3894</v>
      </c>
      <c r="F482" s="18">
        <v>42005</v>
      </c>
      <c r="G482" s="18">
        <v>42016</v>
      </c>
      <c r="H482" s="18" t="str">
        <f>IFERROR(INDEX('Docs Signed Input'!B:B,MATCH('Nate''s Evolution'!$B482,'Docs Signed Input'!E:E,0)),"N")</f>
        <v>Y</v>
      </c>
      <c r="I482" s="18" t="str">
        <f>IFERROR(INDEX('Docs Signed Input'!C:C,MATCH('Nate''s Evolution'!B482,'Docs Signed Input'!E:E,0)),"N")</f>
        <v>N</v>
      </c>
      <c r="L482" t="s">
        <v>2704</v>
      </c>
      <c r="M482" t="s">
        <v>3948</v>
      </c>
      <c r="N482">
        <v>9.18</v>
      </c>
      <c r="O482">
        <v>10.199999999999999</v>
      </c>
      <c r="P482" s="6">
        <v>42035.818124999998</v>
      </c>
      <c r="Q482" t="s">
        <v>3896</v>
      </c>
      <c r="R482" t="s">
        <v>3921</v>
      </c>
      <c r="S482" t="s">
        <v>2703</v>
      </c>
      <c r="T482">
        <v>2</v>
      </c>
      <c r="X482" t="b">
        <v>1</v>
      </c>
      <c r="Y482" s="6">
        <v>42037.431944444441</v>
      </c>
    </row>
    <row r="483" spans="1:25" x14ac:dyDescent="0.25">
      <c r="A483" t="s">
        <v>13024</v>
      </c>
      <c r="B483" t="s">
        <v>12964</v>
      </c>
      <c r="C483">
        <v>4.335</v>
      </c>
      <c r="D483" t="s">
        <v>3950</v>
      </c>
      <c r="E483" t="s">
        <v>3963</v>
      </c>
      <c r="F483" s="18">
        <v>42005</v>
      </c>
      <c r="G483" s="18">
        <v>42016</v>
      </c>
      <c r="H483" s="18" t="str">
        <f>IFERROR(INDEX('Docs Signed Input'!B:B,MATCH('Nate''s Evolution'!$B483,'Docs Signed Input'!E:E,0)),"N")</f>
        <v>N</v>
      </c>
      <c r="I483" s="18" t="str">
        <f>IFERROR(INDEX('Docs Signed Input'!C:C,MATCH('Nate''s Evolution'!B483,'Docs Signed Input'!E:E,0)),"N")</f>
        <v>N</v>
      </c>
      <c r="J483" s="18">
        <v>42024</v>
      </c>
      <c r="K483" s="18">
        <v>42033</v>
      </c>
      <c r="L483" t="s">
        <v>2258</v>
      </c>
      <c r="M483" t="s">
        <v>4317</v>
      </c>
      <c r="N483">
        <v>4.335</v>
      </c>
      <c r="O483">
        <v>7.65</v>
      </c>
      <c r="P483" s="6">
        <v>42033.826574074075</v>
      </c>
      <c r="Q483" t="s">
        <v>3896</v>
      </c>
      <c r="S483" t="s">
        <v>12500</v>
      </c>
      <c r="T483">
        <v>4</v>
      </c>
      <c r="W483" t="b">
        <v>1</v>
      </c>
      <c r="Y483" s="6">
        <v>42037.431944444441</v>
      </c>
    </row>
    <row r="484" spans="1:25" x14ac:dyDescent="0.25">
      <c r="A484" t="s">
        <v>13025</v>
      </c>
      <c r="B484" t="s">
        <v>12965</v>
      </c>
      <c r="C484">
        <v>8.16</v>
      </c>
      <c r="D484" t="s">
        <v>2230</v>
      </c>
      <c r="E484" t="s">
        <v>3984</v>
      </c>
      <c r="F484" s="18">
        <v>42005</v>
      </c>
      <c r="G484" s="18">
        <v>42016</v>
      </c>
      <c r="H484" s="18" t="str">
        <f>IFERROR(INDEX('Docs Signed Input'!B:B,MATCH('Nate''s Evolution'!$B484,'Docs Signed Input'!E:E,0)),"N")</f>
        <v>N</v>
      </c>
      <c r="I484" s="18" t="str">
        <f>IFERROR(INDEX('Docs Signed Input'!C:C,MATCH('Nate''s Evolution'!B484,'Docs Signed Input'!E:E,0)),"N")</f>
        <v>N</v>
      </c>
      <c r="L484" t="s">
        <v>2258</v>
      </c>
      <c r="M484" t="s">
        <v>3948</v>
      </c>
      <c r="N484">
        <v>8.16</v>
      </c>
      <c r="O484">
        <v>8.16</v>
      </c>
      <c r="P484" s="6">
        <v>42033.818680555552</v>
      </c>
      <c r="Q484" t="s">
        <v>3896</v>
      </c>
      <c r="R484" t="s">
        <v>5107</v>
      </c>
      <c r="S484" t="s">
        <v>3485</v>
      </c>
      <c r="T484">
        <v>4</v>
      </c>
      <c r="U484" t="b">
        <v>1</v>
      </c>
      <c r="Y484" s="6">
        <v>42037.431944444441</v>
      </c>
    </row>
    <row r="485" spans="1:25" x14ac:dyDescent="0.25">
      <c r="A485" t="s">
        <v>13026</v>
      </c>
      <c r="B485" t="s">
        <v>12966</v>
      </c>
      <c r="C485">
        <v>5.8650000000000002</v>
      </c>
      <c r="D485" t="s">
        <v>3893</v>
      </c>
      <c r="E485" t="s">
        <v>3989</v>
      </c>
      <c r="F485" s="18">
        <v>42005</v>
      </c>
      <c r="G485" s="18">
        <v>42016</v>
      </c>
      <c r="H485" s="18" t="str">
        <f>IFERROR(INDEX('Docs Signed Input'!B:B,MATCH('Nate''s Evolution'!$B485,'Docs Signed Input'!E:E,0)),"N")</f>
        <v>N</v>
      </c>
      <c r="I485" s="18" t="str">
        <f>IFERROR(INDEX('Docs Signed Input'!C:C,MATCH('Nate''s Evolution'!B485,'Docs Signed Input'!E:E,0)),"N")</f>
        <v>N</v>
      </c>
      <c r="L485" t="s">
        <v>2258</v>
      </c>
      <c r="M485" t="s">
        <v>4140</v>
      </c>
      <c r="N485">
        <v>5.8650000000000002</v>
      </c>
      <c r="O485">
        <v>5.8650000000000002</v>
      </c>
      <c r="P485" s="6">
        <v>42035.818124999998</v>
      </c>
      <c r="Q485" t="s">
        <v>3896</v>
      </c>
      <c r="R485" t="s">
        <v>11563</v>
      </c>
      <c r="S485" t="s">
        <v>3650</v>
      </c>
      <c r="T485">
        <v>2</v>
      </c>
      <c r="X485" t="b">
        <v>1</v>
      </c>
      <c r="Y485" s="6">
        <v>42037.431944444441</v>
      </c>
    </row>
    <row r="486" spans="1:25" x14ac:dyDescent="0.25">
      <c r="A486" t="s">
        <v>13027</v>
      </c>
      <c r="B486" t="s">
        <v>12967</v>
      </c>
      <c r="C486">
        <v>7.28</v>
      </c>
      <c r="D486" t="s">
        <v>3893</v>
      </c>
      <c r="E486" t="s">
        <v>3894</v>
      </c>
      <c r="F486" s="18">
        <v>42005</v>
      </c>
      <c r="G486" s="18">
        <v>42016</v>
      </c>
      <c r="H486" s="18" t="str">
        <f>IFERROR(INDEX('Docs Signed Input'!B:B,MATCH('Nate''s Evolution'!$B486,'Docs Signed Input'!E:E,0)),"N")</f>
        <v>Y</v>
      </c>
      <c r="I486" s="18" t="str">
        <f>IFERROR(INDEX('Docs Signed Input'!C:C,MATCH('Nate''s Evolution'!B486,'Docs Signed Input'!E:E,0)),"N")</f>
        <v>Y</v>
      </c>
      <c r="J486" s="18">
        <v>42018</v>
      </c>
      <c r="L486" t="s">
        <v>2258</v>
      </c>
      <c r="M486" t="s">
        <v>4048</v>
      </c>
      <c r="N486">
        <v>7.28</v>
      </c>
      <c r="O486">
        <v>7.28</v>
      </c>
      <c r="P486" s="6">
        <v>42035.818124999998</v>
      </c>
      <c r="Q486" t="s">
        <v>3896</v>
      </c>
      <c r="R486" t="s">
        <v>3897</v>
      </c>
      <c r="S486" t="s">
        <v>2889</v>
      </c>
      <c r="T486">
        <v>2</v>
      </c>
      <c r="X486" t="b">
        <v>1</v>
      </c>
      <c r="Y486" s="6">
        <v>42037.431944444441</v>
      </c>
    </row>
    <row r="487" spans="1:25" x14ac:dyDescent="0.25">
      <c r="A487" t="s">
        <v>13028</v>
      </c>
      <c r="B487" t="s">
        <v>12968</v>
      </c>
      <c r="C487">
        <v>5.8650000000000002</v>
      </c>
      <c r="D487" t="s">
        <v>3893</v>
      </c>
      <c r="E487" t="s">
        <v>3894</v>
      </c>
      <c r="F487" s="18">
        <v>42005</v>
      </c>
      <c r="G487" s="18">
        <v>42016</v>
      </c>
      <c r="H487" s="18" t="str">
        <f>IFERROR(INDEX('Docs Signed Input'!B:B,MATCH('Nate''s Evolution'!$B487,'Docs Signed Input'!E:E,0)),"N")</f>
        <v>N</v>
      </c>
      <c r="I487" s="18" t="str">
        <f>IFERROR(INDEX('Docs Signed Input'!C:C,MATCH('Nate''s Evolution'!B487,'Docs Signed Input'!E:E,0)),"N")</f>
        <v>Y</v>
      </c>
      <c r="J487" s="18">
        <v>42036</v>
      </c>
      <c r="L487" t="s">
        <v>2258</v>
      </c>
      <c r="M487" t="s">
        <v>3933</v>
      </c>
      <c r="N487">
        <v>5.8650000000000002</v>
      </c>
      <c r="O487">
        <v>6</v>
      </c>
      <c r="P487" s="6">
        <v>42035.818124999998</v>
      </c>
      <c r="Q487" t="s">
        <v>3896</v>
      </c>
      <c r="R487" t="s">
        <v>11563</v>
      </c>
      <c r="S487" t="s">
        <v>11503</v>
      </c>
      <c r="T487">
        <v>1</v>
      </c>
      <c r="X487" t="b">
        <v>1</v>
      </c>
      <c r="Y487" s="6">
        <v>42037.431944444441</v>
      </c>
    </row>
    <row r="488" spans="1:25" x14ac:dyDescent="0.25">
      <c r="A488" t="s">
        <v>13029</v>
      </c>
      <c r="B488" t="s">
        <v>12969</v>
      </c>
      <c r="C488">
        <v>8.16</v>
      </c>
      <c r="D488" t="s">
        <v>3893</v>
      </c>
      <c r="E488" t="s">
        <v>3925</v>
      </c>
      <c r="F488" s="18">
        <v>42005</v>
      </c>
      <c r="G488" s="18">
        <v>42016</v>
      </c>
      <c r="H488" s="18" t="str">
        <f>IFERROR(INDEX('Docs Signed Input'!B:B,MATCH('Nate''s Evolution'!$B488,'Docs Signed Input'!E:E,0)),"N")</f>
        <v>N</v>
      </c>
      <c r="I488" s="18" t="str">
        <f>IFERROR(INDEX('Docs Signed Input'!C:C,MATCH('Nate''s Evolution'!B488,'Docs Signed Input'!E:E,0)),"N")</f>
        <v>N</v>
      </c>
      <c r="J488" s="18">
        <v>42032</v>
      </c>
      <c r="L488" t="s">
        <v>2258</v>
      </c>
      <c r="M488" t="s">
        <v>4140</v>
      </c>
      <c r="N488">
        <v>8.16</v>
      </c>
      <c r="O488">
        <v>8.16</v>
      </c>
      <c r="P488" s="6">
        <v>42035.818124999998</v>
      </c>
      <c r="Q488" t="s">
        <v>3896</v>
      </c>
      <c r="R488" t="s">
        <v>11563</v>
      </c>
      <c r="S488" t="s">
        <v>3650</v>
      </c>
      <c r="T488">
        <v>2</v>
      </c>
      <c r="X488" t="b">
        <v>1</v>
      </c>
      <c r="Y488" s="6">
        <v>42037.431944444441</v>
      </c>
    </row>
    <row r="489" spans="1:25" x14ac:dyDescent="0.25">
      <c r="A489" t="s">
        <v>13030</v>
      </c>
      <c r="B489" t="s">
        <v>12970</v>
      </c>
      <c r="C489">
        <v>6.12</v>
      </c>
      <c r="D489" t="s">
        <v>3893</v>
      </c>
      <c r="E489" t="s">
        <v>4117</v>
      </c>
      <c r="F489" s="18">
        <v>42005</v>
      </c>
      <c r="G489" s="18">
        <v>42016</v>
      </c>
      <c r="H489" s="18" t="str">
        <f>IFERROR(INDEX('Docs Signed Input'!B:B,MATCH('Nate''s Evolution'!$B489,'Docs Signed Input'!E:E,0)),"N")</f>
        <v>N</v>
      </c>
      <c r="I489" s="18" t="str">
        <f>IFERROR(INDEX('Docs Signed Input'!C:C,MATCH('Nate''s Evolution'!B489,'Docs Signed Input'!E:E,0)),"N")</f>
        <v>N</v>
      </c>
      <c r="L489" t="s">
        <v>3590</v>
      </c>
      <c r="M489" t="s">
        <v>3932</v>
      </c>
      <c r="N489">
        <v>6.12</v>
      </c>
      <c r="O489">
        <v>6.12</v>
      </c>
      <c r="P489" s="6">
        <v>42035.818124999998</v>
      </c>
      <c r="Q489" t="s">
        <v>3896</v>
      </c>
      <c r="R489" t="s">
        <v>11563</v>
      </c>
      <c r="S489" t="s">
        <v>3589</v>
      </c>
      <c r="T489">
        <v>2</v>
      </c>
      <c r="X489" t="b">
        <v>1</v>
      </c>
      <c r="Y489" s="6">
        <v>42037.431944444441</v>
      </c>
    </row>
    <row r="490" spans="1:25" x14ac:dyDescent="0.25">
      <c r="A490" t="s">
        <v>13031</v>
      </c>
      <c r="B490" t="s">
        <v>12971</v>
      </c>
      <c r="C490">
        <v>5.3550000000000004</v>
      </c>
      <c r="D490" t="s">
        <v>3893</v>
      </c>
      <c r="E490" t="s">
        <v>3894</v>
      </c>
      <c r="F490" s="18">
        <v>42005</v>
      </c>
      <c r="G490" s="18">
        <v>42016</v>
      </c>
      <c r="H490" s="18" t="str">
        <f>IFERROR(INDEX('Docs Signed Input'!B:B,MATCH('Nate''s Evolution'!$B490,'Docs Signed Input'!E:E,0)),"N")</f>
        <v>Y</v>
      </c>
      <c r="I490" s="18" t="str">
        <f>IFERROR(INDEX('Docs Signed Input'!C:C,MATCH('Nate''s Evolution'!B490,'Docs Signed Input'!E:E,0)),"N")</f>
        <v>N</v>
      </c>
      <c r="L490" t="s">
        <v>2258</v>
      </c>
      <c r="M490" t="s">
        <v>12976</v>
      </c>
      <c r="N490">
        <v>5.3550000000000004</v>
      </c>
      <c r="O490">
        <v>11</v>
      </c>
      <c r="P490" s="6">
        <v>42035.818124999998</v>
      </c>
      <c r="Q490" t="s">
        <v>3896</v>
      </c>
      <c r="R490" t="s">
        <v>3921</v>
      </c>
      <c r="S490" t="s">
        <v>12242</v>
      </c>
      <c r="T490">
        <v>2</v>
      </c>
      <c r="X490" t="b">
        <v>1</v>
      </c>
      <c r="Y490" s="6">
        <v>42037.431944444441</v>
      </c>
    </row>
    <row r="491" spans="1:25" x14ac:dyDescent="0.25">
      <c r="A491" t="s">
        <v>13032</v>
      </c>
      <c r="B491" t="s">
        <v>12972</v>
      </c>
      <c r="C491">
        <v>6.12</v>
      </c>
      <c r="D491" t="s">
        <v>3893</v>
      </c>
      <c r="E491" t="s">
        <v>3894</v>
      </c>
      <c r="F491" s="18">
        <v>42005</v>
      </c>
      <c r="G491" s="18">
        <v>42016</v>
      </c>
      <c r="H491" s="18" t="str">
        <f>IFERROR(INDEX('Docs Signed Input'!B:B,MATCH('Nate''s Evolution'!$B491,'Docs Signed Input'!E:E,0)),"N")</f>
        <v>N</v>
      </c>
      <c r="I491" s="18" t="str">
        <f>IFERROR(INDEX('Docs Signed Input'!C:C,MATCH('Nate''s Evolution'!B491,'Docs Signed Input'!E:E,0)),"N")</f>
        <v>N</v>
      </c>
      <c r="L491" t="s">
        <v>2258</v>
      </c>
      <c r="M491" t="s">
        <v>12976</v>
      </c>
      <c r="N491">
        <v>5.75</v>
      </c>
      <c r="O491">
        <v>6.12</v>
      </c>
      <c r="P491" s="6">
        <v>42035.818124999998</v>
      </c>
      <c r="Q491" t="s">
        <v>3896</v>
      </c>
      <c r="R491" t="s">
        <v>11563</v>
      </c>
      <c r="S491" t="s">
        <v>12242</v>
      </c>
      <c r="T491">
        <v>2</v>
      </c>
      <c r="X491" t="b">
        <v>1</v>
      </c>
      <c r="Y491" s="6">
        <v>42037.431944444441</v>
      </c>
    </row>
    <row r="492" spans="1:25" x14ac:dyDescent="0.25">
      <c r="A492" t="s">
        <v>13033</v>
      </c>
      <c r="B492" t="s">
        <v>12973</v>
      </c>
      <c r="C492">
        <v>8.16</v>
      </c>
      <c r="D492" t="s">
        <v>3893</v>
      </c>
      <c r="E492" t="s">
        <v>4117</v>
      </c>
      <c r="F492" s="18">
        <v>42005</v>
      </c>
      <c r="G492" s="18">
        <v>42016</v>
      </c>
      <c r="H492" s="18" t="str">
        <f>IFERROR(INDEX('Docs Signed Input'!B:B,MATCH('Nate''s Evolution'!$B492,'Docs Signed Input'!E:E,0)),"N")</f>
        <v>N</v>
      </c>
      <c r="I492" s="18" t="str">
        <f>IFERROR(INDEX('Docs Signed Input'!C:C,MATCH('Nate''s Evolution'!B492,'Docs Signed Input'!E:E,0)),"N")</f>
        <v>N</v>
      </c>
      <c r="L492" t="s">
        <v>2258</v>
      </c>
      <c r="M492" t="s">
        <v>4140</v>
      </c>
      <c r="N492">
        <v>8.16</v>
      </c>
      <c r="O492">
        <v>8.16</v>
      </c>
      <c r="P492" s="6">
        <v>42035.818124999998</v>
      </c>
      <c r="Q492" t="s">
        <v>3896</v>
      </c>
      <c r="R492" t="s">
        <v>11563</v>
      </c>
      <c r="S492" t="s">
        <v>2591</v>
      </c>
      <c r="T492">
        <v>2</v>
      </c>
      <c r="X492" t="b">
        <v>1</v>
      </c>
      <c r="Y492" s="6">
        <v>42037.431944444441</v>
      </c>
    </row>
    <row r="493" spans="1:25" x14ac:dyDescent="0.25">
      <c r="A493" t="s">
        <v>13034</v>
      </c>
      <c r="B493" t="s">
        <v>12974</v>
      </c>
      <c r="C493">
        <v>2.5499999999999998</v>
      </c>
      <c r="D493" t="s">
        <v>3893</v>
      </c>
      <c r="E493" t="s">
        <v>3894</v>
      </c>
      <c r="F493" s="18">
        <v>42005</v>
      </c>
      <c r="G493" s="18">
        <v>42016</v>
      </c>
      <c r="H493" s="18" t="str">
        <f>IFERROR(INDEX('Docs Signed Input'!B:B,MATCH('Nate''s Evolution'!$B493,'Docs Signed Input'!E:E,0)),"N")</f>
        <v>N</v>
      </c>
      <c r="I493" s="18" t="str">
        <f>IFERROR(INDEX('Docs Signed Input'!C:C,MATCH('Nate''s Evolution'!B493,'Docs Signed Input'!E:E,0)),"N")</f>
        <v>Y</v>
      </c>
      <c r="J493" s="18">
        <v>42024</v>
      </c>
      <c r="L493" t="s">
        <v>2258</v>
      </c>
      <c r="M493" t="s">
        <v>3948</v>
      </c>
      <c r="N493">
        <v>2.5499999999999998</v>
      </c>
      <c r="O493">
        <v>2.5499999999999998</v>
      </c>
      <c r="P493" s="6">
        <v>42035.818124999998</v>
      </c>
      <c r="Q493" t="s">
        <v>3896</v>
      </c>
      <c r="R493" t="s">
        <v>11563</v>
      </c>
      <c r="S493" t="s">
        <v>3485</v>
      </c>
      <c r="T493">
        <v>2</v>
      </c>
      <c r="X493" t="b">
        <v>1</v>
      </c>
      <c r="Y493" s="6">
        <v>42037.431944444441</v>
      </c>
    </row>
    <row r="494" spans="1:25" x14ac:dyDescent="0.25">
      <c r="A494" t="s">
        <v>13010</v>
      </c>
      <c r="B494" t="s">
        <v>12951</v>
      </c>
      <c r="C494">
        <v>5.61</v>
      </c>
      <c r="D494" t="s">
        <v>3893</v>
      </c>
      <c r="E494" t="s">
        <v>3894</v>
      </c>
      <c r="F494" s="18">
        <v>42005</v>
      </c>
      <c r="G494" s="18">
        <v>42017</v>
      </c>
      <c r="H494" s="18" t="str">
        <f>IFERROR(INDEX('Docs Signed Input'!B:B,MATCH('Nate''s Evolution'!$B494,'Docs Signed Input'!E:E,0)),"N")</f>
        <v>Y</v>
      </c>
      <c r="I494" s="18" t="str">
        <f>IFERROR(INDEX('Docs Signed Input'!C:C,MATCH('Nate''s Evolution'!B494,'Docs Signed Input'!E:E,0)),"N")</f>
        <v>N</v>
      </c>
      <c r="L494" t="s">
        <v>2258</v>
      </c>
      <c r="M494" t="s">
        <v>4317</v>
      </c>
      <c r="N494">
        <v>5.61</v>
      </c>
      <c r="O494">
        <v>7.3949999999999996</v>
      </c>
      <c r="P494" s="6">
        <v>42035.818124999998</v>
      </c>
      <c r="Q494" t="s">
        <v>3896</v>
      </c>
      <c r="R494" t="s">
        <v>4728</v>
      </c>
      <c r="S494" t="s">
        <v>12496</v>
      </c>
      <c r="T494">
        <v>2</v>
      </c>
      <c r="X494" t="b">
        <v>1</v>
      </c>
      <c r="Y494" s="6">
        <v>42037.431944444441</v>
      </c>
    </row>
    <row r="495" spans="1:25" x14ac:dyDescent="0.25">
      <c r="A495" t="s">
        <v>13011</v>
      </c>
      <c r="B495" t="s">
        <v>12952</v>
      </c>
      <c r="C495">
        <v>6.375</v>
      </c>
      <c r="D495" t="s">
        <v>3893</v>
      </c>
      <c r="E495" t="s">
        <v>3894</v>
      </c>
      <c r="F495" s="18">
        <v>42005</v>
      </c>
      <c r="G495" s="18">
        <v>42017</v>
      </c>
      <c r="H495" s="18" t="str">
        <f>IFERROR(INDEX('Docs Signed Input'!B:B,MATCH('Nate''s Evolution'!$B495,'Docs Signed Input'!E:E,0)),"N")</f>
        <v>N</v>
      </c>
      <c r="I495" s="18" t="str">
        <f>IFERROR(INDEX('Docs Signed Input'!C:C,MATCH('Nate''s Evolution'!B495,'Docs Signed Input'!E:E,0)),"N")</f>
        <v>N</v>
      </c>
      <c r="L495" t="s">
        <v>2258</v>
      </c>
      <c r="M495" t="s">
        <v>3933</v>
      </c>
      <c r="N495">
        <v>6.375</v>
      </c>
      <c r="O495">
        <v>6.8849999999999998</v>
      </c>
      <c r="P495" s="6">
        <v>42035.818124999998</v>
      </c>
      <c r="Q495" t="s">
        <v>3896</v>
      </c>
      <c r="R495" t="s">
        <v>3918</v>
      </c>
      <c r="S495" t="s">
        <v>12566</v>
      </c>
      <c r="T495">
        <v>2</v>
      </c>
      <c r="X495" t="b">
        <v>1</v>
      </c>
      <c r="Y495" s="6">
        <v>42037.431944444441</v>
      </c>
    </row>
    <row r="496" spans="1:25" x14ac:dyDescent="0.25">
      <c r="A496" t="s">
        <v>13012</v>
      </c>
      <c r="B496" t="s">
        <v>12953</v>
      </c>
      <c r="C496">
        <v>7.65</v>
      </c>
      <c r="D496" t="s">
        <v>3893</v>
      </c>
      <c r="E496" t="s">
        <v>3916</v>
      </c>
      <c r="F496" s="18">
        <v>42005</v>
      </c>
      <c r="G496" s="18">
        <v>42017</v>
      </c>
      <c r="H496" s="18" t="str">
        <f>IFERROR(INDEX('Docs Signed Input'!B:B,MATCH('Nate''s Evolution'!$B496,'Docs Signed Input'!E:E,0)),"N")</f>
        <v>N</v>
      </c>
      <c r="I496" s="18" t="str">
        <f>IFERROR(INDEX('Docs Signed Input'!C:C,MATCH('Nate''s Evolution'!B496,'Docs Signed Input'!E:E,0)),"N")</f>
        <v>N</v>
      </c>
      <c r="L496" t="s">
        <v>2258</v>
      </c>
      <c r="M496" t="s">
        <v>12976</v>
      </c>
      <c r="N496">
        <v>7.65</v>
      </c>
      <c r="O496">
        <v>7.65</v>
      </c>
      <c r="P496" s="6">
        <v>42035.818124999998</v>
      </c>
      <c r="Q496" t="s">
        <v>3896</v>
      </c>
      <c r="R496" t="s">
        <v>11563</v>
      </c>
      <c r="S496" t="s">
        <v>3406</v>
      </c>
      <c r="T496">
        <v>2</v>
      </c>
      <c r="X496" t="b">
        <v>1</v>
      </c>
      <c r="Y496" s="6">
        <v>42037.431944444441</v>
      </c>
    </row>
    <row r="497" spans="1:25" x14ac:dyDescent="0.25">
      <c r="A497" t="s">
        <v>13013</v>
      </c>
      <c r="B497" t="s">
        <v>12954</v>
      </c>
      <c r="C497">
        <v>7.75</v>
      </c>
      <c r="D497" t="s">
        <v>3893</v>
      </c>
      <c r="E497" t="s">
        <v>3894</v>
      </c>
      <c r="F497" s="18">
        <v>42005</v>
      </c>
      <c r="G497" s="18">
        <v>42017</v>
      </c>
      <c r="H497" s="18" t="str">
        <f>IFERROR(INDEX('Docs Signed Input'!B:B,MATCH('Nate''s Evolution'!$B497,'Docs Signed Input'!E:E,0)),"N")</f>
        <v>N</v>
      </c>
      <c r="I497" s="18" t="str">
        <f>IFERROR(INDEX('Docs Signed Input'!C:C,MATCH('Nate''s Evolution'!B497,'Docs Signed Input'!E:E,0)),"N")</f>
        <v>N</v>
      </c>
      <c r="L497" t="s">
        <v>2870</v>
      </c>
      <c r="M497" t="s">
        <v>6235</v>
      </c>
      <c r="N497">
        <v>7.75</v>
      </c>
      <c r="O497">
        <v>7.75</v>
      </c>
      <c r="P497" s="6">
        <v>42035.818124999998</v>
      </c>
      <c r="Q497" t="s">
        <v>3896</v>
      </c>
      <c r="R497" t="s">
        <v>3918</v>
      </c>
      <c r="S497" t="s">
        <v>2869</v>
      </c>
      <c r="T497">
        <v>2</v>
      </c>
      <c r="X497" t="b">
        <v>1</v>
      </c>
      <c r="Y497" s="6">
        <v>42037.431944444441</v>
      </c>
    </row>
    <row r="498" spans="1:25" x14ac:dyDescent="0.25">
      <c r="A498" t="s">
        <v>13014</v>
      </c>
      <c r="B498" t="s">
        <v>12955</v>
      </c>
      <c r="C498">
        <v>5.0999999999999996</v>
      </c>
      <c r="D498" t="s">
        <v>3893</v>
      </c>
      <c r="E498" t="s">
        <v>3989</v>
      </c>
      <c r="F498" s="18">
        <v>42005</v>
      </c>
      <c r="G498" s="18">
        <v>42017</v>
      </c>
      <c r="H498" s="18" t="str">
        <f>IFERROR(INDEX('Docs Signed Input'!B:B,MATCH('Nate''s Evolution'!$B498,'Docs Signed Input'!E:E,0)),"N")</f>
        <v>N</v>
      </c>
      <c r="I498" s="18" t="str">
        <f>IFERROR(INDEX('Docs Signed Input'!C:C,MATCH('Nate''s Evolution'!B498,'Docs Signed Input'!E:E,0)),"N")</f>
        <v>N</v>
      </c>
      <c r="L498" t="s">
        <v>2258</v>
      </c>
      <c r="M498" t="s">
        <v>4317</v>
      </c>
      <c r="N498">
        <v>5.0999999999999996</v>
      </c>
      <c r="O498">
        <v>5.0999999999999996</v>
      </c>
      <c r="P498" s="6">
        <v>42035.818124999998</v>
      </c>
      <c r="Q498" t="s">
        <v>3896</v>
      </c>
      <c r="R498" t="s">
        <v>11563</v>
      </c>
      <c r="S498" t="s">
        <v>3459</v>
      </c>
      <c r="T498">
        <v>2</v>
      </c>
      <c r="X498" t="b">
        <v>1</v>
      </c>
      <c r="Y498" s="6">
        <v>42037.431944444441</v>
      </c>
    </row>
    <row r="499" spans="1:25" x14ac:dyDescent="0.25">
      <c r="A499" t="s">
        <v>13015</v>
      </c>
      <c r="B499" t="s">
        <v>12956</v>
      </c>
      <c r="C499">
        <v>7.8</v>
      </c>
      <c r="D499" t="s">
        <v>3893</v>
      </c>
      <c r="E499" t="s">
        <v>3989</v>
      </c>
      <c r="F499" s="18">
        <v>42005</v>
      </c>
      <c r="G499" s="18">
        <v>42017</v>
      </c>
      <c r="H499" s="18" t="str">
        <f>IFERROR(INDEX('Docs Signed Input'!B:B,MATCH('Nate''s Evolution'!$B499,'Docs Signed Input'!E:E,0)),"N")</f>
        <v>N</v>
      </c>
      <c r="I499" s="18" t="str">
        <f>IFERROR(INDEX('Docs Signed Input'!C:C,MATCH('Nate''s Evolution'!B499,'Docs Signed Input'!E:E,0)),"N")</f>
        <v>N</v>
      </c>
      <c r="L499" t="s">
        <v>2258</v>
      </c>
      <c r="M499" t="s">
        <v>10253</v>
      </c>
      <c r="N499">
        <v>7.8</v>
      </c>
      <c r="O499">
        <v>7.8</v>
      </c>
      <c r="P499" s="6">
        <v>42035.818124999998</v>
      </c>
      <c r="Q499" t="s">
        <v>3896</v>
      </c>
      <c r="R499" t="s">
        <v>3911</v>
      </c>
      <c r="S499" t="s">
        <v>12265</v>
      </c>
      <c r="T499">
        <v>2</v>
      </c>
      <c r="X499" t="b">
        <v>1</v>
      </c>
      <c r="Y499" s="6">
        <v>42037.431944444441</v>
      </c>
    </row>
    <row r="500" spans="1:25" x14ac:dyDescent="0.25">
      <c r="A500" t="s">
        <v>13016</v>
      </c>
      <c r="B500" t="s">
        <v>12957</v>
      </c>
      <c r="C500">
        <v>11.475</v>
      </c>
      <c r="D500" t="s">
        <v>3893</v>
      </c>
      <c r="E500" t="s">
        <v>3941</v>
      </c>
      <c r="F500" s="18">
        <v>42005</v>
      </c>
      <c r="G500" s="18">
        <v>42017</v>
      </c>
      <c r="H500" s="18" t="str">
        <f>IFERROR(INDEX('Docs Signed Input'!B:B,MATCH('Nate''s Evolution'!$B500,'Docs Signed Input'!E:E,0)),"N")</f>
        <v>N</v>
      </c>
      <c r="I500" s="18" t="str">
        <f>IFERROR(INDEX('Docs Signed Input'!C:C,MATCH('Nate''s Evolution'!B500,'Docs Signed Input'!E:E,0)),"N")</f>
        <v>N</v>
      </c>
      <c r="L500" t="s">
        <v>2258</v>
      </c>
      <c r="M500" t="s">
        <v>4317</v>
      </c>
      <c r="N500">
        <v>11.475</v>
      </c>
      <c r="O500">
        <v>11.475</v>
      </c>
      <c r="P500" s="6">
        <v>42035.818124999998</v>
      </c>
      <c r="Q500" t="s">
        <v>3896</v>
      </c>
      <c r="R500" t="s">
        <v>11563</v>
      </c>
      <c r="S500" t="s">
        <v>12500</v>
      </c>
      <c r="T500">
        <v>2</v>
      </c>
      <c r="X500" t="b">
        <v>1</v>
      </c>
      <c r="Y500" s="6">
        <v>42037.431944444441</v>
      </c>
    </row>
    <row r="501" spans="1:25" x14ac:dyDescent="0.25">
      <c r="A501" t="s">
        <v>13017</v>
      </c>
      <c r="B501" t="s">
        <v>12958</v>
      </c>
      <c r="C501">
        <v>4.8449999999999998</v>
      </c>
      <c r="D501" t="s">
        <v>3893</v>
      </c>
      <c r="E501" t="s">
        <v>3925</v>
      </c>
      <c r="F501" s="18">
        <v>42005</v>
      </c>
      <c r="G501" s="18">
        <v>42017</v>
      </c>
      <c r="H501" s="18" t="str">
        <f>IFERROR(INDEX('Docs Signed Input'!B:B,MATCH('Nate''s Evolution'!$B501,'Docs Signed Input'!E:E,0)),"N")</f>
        <v>N</v>
      </c>
      <c r="I501" s="18" t="str">
        <f>IFERROR(INDEX('Docs Signed Input'!C:C,MATCH('Nate''s Evolution'!B501,'Docs Signed Input'!E:E,0)),"N")</f>
        <v>N</v>
      </c>
      <c r="J501" s="18">
        <v>42028</v>
      </c>
      <c r="L501" t="s">
        <v>2258</v>
      </c>
      <c r="M501" t="s">
        <v>4140</v>
      </c>
      <c r="N501">
        <v>4.8449999999999998</v>
      </c>
      <c r="O501">
        <v>5.72</v>
      </c>
      <c r="P501" s="6">
        <v>42035.818124999998</v>
      </c>
      <c r="Q501" t="s">
        <v>3896</v>
      </c>
      <c r="R501" t="s">
        <v>11563</v>
      </c>
      <c r="S501" t="s">
        <v>2591</v>
      </c>
      <c r="T501">
        <v>2</v>
      </c>
      <c r="X501" t="b">
        <v>1</v>
      </c>
      <c r="Y501" s="6">
        <v>42037.431944444441</v>
      </c>
    </row>
    <row r="502" spans="1:25" x14ac:dyDescent="0.25">
      <c r="A502" t="s">
        <v>13018</v>
      </c>
      <c r="B502" t="s">
        <v>12959</v>
      </c>
      <c r="C502">
        <v>5.3550000000000004</v>
      </c>
      <c r="D502" t="s">
        <v>3893</v>
      </c>
      <c r="E502" t="s">
        <v>3989</v>
      </c>
      <c r="F502" s="18">
        <v>42005</v>
      </c>
      <c r="G502" s="18">
        <v>42017</v>
      </c>
      <c r="H502" s="18" t="str">
        <f>IFERROR(INDEX('Docs Signed Input'!B:B,MATCH('Nate''s Evolution'!$B502,'Docs Signed Input'!E:E,0)),"N")</f>
        <v>N</v>
      </c>
      <c r="I502" s="18" t="str">
        <f>IFERROR(INDEX('Docs Signed Input'!C:C,MATCH('Nate''s Evolution'!B502,'Docs Signed Input'!E:E,0)),"N")</f>
        <v>N</v>
      </c>
      <c r="L502" t="s">
        <v>2258</v>
      </c>
      <c r="M502" t="s">
        <v>3933</v>
      </c>
      <c r="N502">
        <v>5.3550000000000004</v>
      </c>
      <c r="O502">
        <v>5.3550000000000004</v>
      </c>
      <c r="P502" s="6">
        <v>42035.818124999998</v>
      </c>
      <c r="Q502" t="s">
        <v>3896</v>
      </c>
      <c r="R502" t="s">
        <v>11563</v>
      </c>
      <c r="S502" t="s">
        <v>3370</v>
      </c>
      <c r="T502">
        <v>2</v>
      </c>
      <c r="X502" t="b">
        <v>1</v>
      </c>
      <c r="Y502" s="6">
        <v>42037.431944444441</v>
      </c>
    </row>
    <row r="503" spans="1:25" x14ac:dyDescent="0.25">
      <c r="A503" t="s">
        <v>13019</v>
      </c>
      <c r="B503" t="s">
        <v>12960</v>
      </c>
      <c r="C503">
        <v>5.98</v>
      </c>
      <c r="D503" t="s">
        <v>3893</v>
      </c>
      <c r="E503" t="s">
        <v>3916</v>
      </c>
      <c r="F503" s="18">
        <v>42005</v>
      </c>
      <c r="G503" s="18">
        <v>42017</v>
      </c>
      <c r="H503" s="18" t="str">
        <f>IFERROR(INDEX('Docs Signed Input'!B:B,MATCH('Nate''s Evolution'!$B503,'Docs Signed Input'!E:E,0)),"N")</f>
        <v>Y</v>
      </c>
      <c r="I503" s="18" t="str">
        <f>IFERROR(INDEX('Docs Signed Input'!C:C,MATCH('Nate''s Evolution'!B503,'Docs Signed Input'!E:E,0)),"N")</f>
        <v>N</v>
      </c>
      <c r="L503" t="s">
        <v>2258</v>
      </c>
      <c r="M503" t="s">
        <v>5081</v>
      </c>
      <c r="N503">
        <v>5.98</v>
      </c>
      <c r="O503">
        <v>7.8</v>
      </c>
      <c r="P503" s="6">
        <v>42035.818124999998</v>
      </c>
      <c r="Q503" t="s">
        <v>3896</v>
      </c>
      <c r="R503" t="s">
        <v>11563</v>
      </c>
      <c r="S503" t="s">
        <v>3312</v>
      </c>
      <c r="T503">
        <v>2</v>
      </c>
      <c r="X503" t="b">
        <v>1</v>
      </c>
      <c r="Y503" s="6">
        <v>42037.431944444441</v>
      </c>
    </row>
    <row r="504" spans="1:25" x14ac:dyDescent="0.25">
      <c r="A504" t="s">
        <v>13020</v>
      </c>
      <c r="B504" t="s">
        <v>12961</v>
      </c>
      <c r="C504">
        <v>4.42</v>
      </c>
      <c r="D504" t="s">
        <v>3900</v>
      </c>
      <c r="E504" t="s">
        <v>3960</v>
      </c>
      <c r="F504" s="18">
        <v>42005</v>
      </c>
      <c r="G504" s="18">
        <v>42017</v>
      </c>
      <c r="H504" s="18" t="str">
        <f>IFERROR(INDEX('Docs Signed Input'!B:B,MATCH('Nate''s Evolution'!$B504,'Docs Signed Input'!E:E,0)),"N")</f>
        <v>N</v>
      </c>
      <c r="I504" s="18" t="str">
        <f>IFERROR(INDEX('Docs Signed Input'!C:C,MATCH('Nate''s Evolution'!B504,'Docs Signed Input'!E:E,0)),"N")</f>
        <v>Y</v>
      </c>
      <c r="J504" s="18">
        <v>42026</v>
      </c>
      <c r="K504" s="18">
        <v>42033</v>
      </c>
      <c r="L504" t="s">
        <v>12264</v>
      </c>
      <c r="M504" t="s">
        <v>10253</v>
      </c>
      <c r="N504">
        <v>4.42</v>
      </c>
      <c r="O504">
        <v>4.42</v>
      </c>
      <c r="P504" s="6">
        <v>42034.584097222221</v>
      </c>
      <c r="Q504" t="s">
        <v>3896</v>
      </c>
      <c r="R504" t="s">
        <v>13021</v>
      </c>
      <c r="S504" t="s">
        <v>12265</v>
      </c>
      <c r="T504">
        <v>3</v>
      </c>
      <c r="W504" t="b">
        <v>1</v>
      </c>
      <c r="Y504" s="6">
        <v>42037.431944444441</v>
      </c>
    </row>
    <row r="505" spans="1:25" x14ac:dyDescent="0.25">
      <c r="A505" t="s">
        <v>13022</v>
      </c>
      <c r="B505" t="s">
        <v>12962</v>
      </c>
      <c r="C505">
        <v>3.8250000000000002</v>
      </c>
      <c r="D505" t="s">
        <v>2230</v>
      </c>
      <c r="E505" t="s">
        <v>3984</v>
      </c>
      <c r="F505" s="18">
        <v>42005</v>
      </c>
      <c r="G505" s="18">
        <v>42017</v>
      </c>
      <c r="H505" s="18" t="str">
        <f>IFERROR(INDEX('Docs Signed Input'!B:B,MATCH('Nate''s Evolution'!$B505,'Docs Signed Input'!E:E,0)),"N")</f>
        <v>N</v>
      </c>
      <c r="I505" s="18" t="str">
        <f>IFERROR(INDEX('Docs Signed Input'!C:C,MATCH('Nate''s Evolution'!B505,'Docs Signed Input'!E:E,0)),"N")</f>
        <v>N</v>
      </c>
      <c r="L505" t="s">
        <v>2258</v>
      </c>
      <c r="M505" t="s">
        <v>5674</v>
      </c>
      <c r="N505">
        <v>3.8250000000000002</v>
      </c>
      <c r="O505">
        <v>3.8250000000000002</v>
      </c>
      <c r="P505" s="6">
        <v>42022.817546296297</v>
      </c>
      <c r="Q505" t="s">
        <v>3896</v>
      </c>
      <c r="R505" t="s">
        <v>11563</v>
      </c>
      <c r="S505" t="s">
        <v>12506</v>
      </c>
      <c r="T505">
        <v>15</v>
      </c>
      <c r="U505" t="b">
        <v>1</v>
      </c>
      <c r="Y505" s="6">
        <v>42037.431944444441</v>
      </c>
    </row>
    <row r="506" spans="1:25" x14ac:dyDescent="0.25">
      <c r="A506" t="s">
        <v>13002</v>
      </c>
      <c r="B506" t="s">
        <v>12941</v>
      </c>
      <c r="C506">
        <v>7.14</v>
      </c>
      <c r="D506" t="s">
        <v>3893</v>
      </c>
      <c r="E506" t="s">
        <v>3925</v>
      </c>
      <c r="F506" s="18">
        <v>42005</v>
      </c>
      <c r="G506" s="18">
        <v>42018</v>
      </c>
      <c r="H506" s="18" t="str">
        <f>IFERROR(INDEX('Docs Signed Input'!B:B,MATCH('Nate''s Evolution'!$B506,'Docs Signed Input'!E:E,0)),"N")</f>
        <v>Y</v>
      </c>
      <c r="I506" s="18" t="str">
        <f>IFERROR(INDEX('Docs Signed Input'!C:C,MATCH('Nate''s Evolution'!B506,'Docs Signed Input'!E:E,0)),"N")</f>
        <v>N</v>
      </c>
      <c r="J506" s="18">
        <v>42030</v>
      </c>
      <c r="L506" t="s">
        <v>2258</v>
      </c>
      <c r="M506" t="s">
        <v>4020</v>
      </c>
      <c r="N506">
        <v>6.63</v>
      </c>
      <c r="O506">
        <v>7.14</v>
      </c>
      <c r="P506" s="6">
        <v>42035.818124999998</v>
      </c>
      <c r="Q506" t="s">
        <v>3896</v>
      </c>
      <c r="S506" t="s">
        <v>3531</v>
      </c>
      <c r="T506">
        <v>2</v>
      </c>
      <c r="X506" t="b">
        <v>1</v>
      </c>
      <c r="Y506" s="6">
        <v>42037.431944444441</v>
      </c>
    </row>
    <row r="507" spans="1:25" x14ac:dyDescent="0.25">
      <c r="A507" t="s">
        <v>13003</v>
      </c>
      <c r="B507" t="s">
        <v>12942</v>
      </c>
      <c r="C507">
        <v>4.16</v>
      </c>
      <c r="D507" t="s">
        <v>3893</v>
      </c>
      <c r="E507" t="s">
        <v>3916</v>
      </c>
      <c r="F507" s="18">
        <v>42005</v>
      </c>
      <c r="G507" s="18">
        <v>42018</v>
      </c>
      <c r="H507" s="18" t="str">
        <f>IFERROR(INDEX('Docs Signed Input'!B:B,MATCH('Nate''s Evolution'!$B507,'Docs Signed Input'!E:E,0)),"N")</f>
        <v>Y</v>
      </c>
      <c r="I507" s="18" t="str">
        <f>IFERROR(INDEX('Docs Signed Input'!C:C,MATCH('Nate''s Evolution'!B507,'Docs Signed Input'!E:E,0)),"N")</f>
        <v>N</v>
      </c>
      <c r="L507" t="s">
        <v>2258</v>
      </c>
      <c r="M507" t="s">
        <v>4048</v>
      </c>
      <c r="N507">
        <v>4.16</v>
      </c>
      <c r="O507">
        <v>4.16</v>
      </c>
      <c r="P507" s="6">
        <v>42035.818124999998</v>
      </c>
      <c r="Q507" t="s">
        <v>3896</v>
      </c>
      <c r="R507" t="s">
        <v>11563</v>
      </c>
      <c r="S507" t="s">
        <v>2889</v>
      </c>
      <c r="T507">
        <v>2</v>
      </c>
      <c r="X507" t="b">
        <v>1</v>
      </c>
      <c r="Y507" s="6">
        <v>42037.431944444441</v>
      </c>
    </row>
    <row r="508" spans="1:25" x14ac:dyDescent="0.25">
      <c r="A508" t="s">
        <v>13004</v>
      </c>
      <c r="B508" t="s">
        <v>12943</v>
      </c>
      <c r="C508">
        <v>8.16</v>
      </c>
      <c r="D508" t="s">
        <v>3909</v>
      </c>
      <c r="E508" t="s">
        <v>3929</v>
      </c>
      <c r="F508" s="18">
        <v>42005</v>
      </c>
      <c r="G508" s="18">
        <v>42018</v>
      </c>
      <c r="H508" s="18" t="str">
        <f>IFERROR(INDEX('Docs Signed Input'!B:B,MATCH('Nate''s Evolution'!$B508,'Docs Signed Input'!E:E,0)),"N")</f>
        <v>N</v>
      </c>
      <c r="I508" s="18" t="str">
        <f>IFERROR(INDEX('Docs Signed Input'!C:C,MATCH('Nate''s Evolution'!B508,'Docs Signed Input'!E:E,0)),"N")</f>
        <v>N</v>
      </c>
      <c r="L508" t="s">
        <v>2258</v>
      </c>
      <c r="M508" t="s">
        <v>4317</v>
      </c>
      <c r="N508">
        <v>8.16</v>
      </c>
      <c r="O508">
        <v>8.16</v>
      </c>
      <c r="P508" s="6">
        <v>42031.81827546296</v>
      </c>
      <c r="Q508" t="s">
        <v>3896</v>
      </c>
      <c r="R508" t="s">
        <v>11563</v>
      </c>
      <c r="S508" t="s">
        <v>12500</v>
      </c>
      <c r="T508">
        <v>6</v>
      </c>
      <c r="V508" t="b">
        <v>1</v>
      </c>
      <c r="Y508" s="6">
        <v>42037.431944444441</v>
      </c>
    </row>
    <row r="509" spans="1:25" x14ac:dyDescent="0.25">
      <c r="A509" t="s">
        <v>13005</v>
      </c>
      <c r="B509" t="s">
        <v>12944</v>
      </c>
      <c r="C509">
        <v>6</v>
      </c>
      <c r="D509" t="s">
        <v>3893</v>
      </c>
      <c r="E509" t="s">
        <v>3941</v>
      </c>
      <c r="F509" s="18">
        <v>42005</v>
      </c>
      <c r="G509" s="18">
        <v>42018</v>
      </c>
      <c r="H509" s="18" t="str">
        <f>IFERROR(INDEX('Docs Signed Input'!B:B,MATCH('Nate''s Evolution'!$B509,'Docs Signed Input'!E:E,0)),"N")</f>
        <v>N</v>
      </c>
      <c r="I509" s="18" t="str">
        <f>IFERROR(INDEX('Docs Signed Input'!C:C,MATCH('Nate''s Evolution'!B509,'Docs Signed Input'!E:E,0)),"N")</f>
        <v>N</v>
      </c>
      <c r="L509" t="s">
        <v>2258</v>
      </c>
      <c r="M509" t="s">
        <v>3926</v>
      </c>
      <c r="N509">
        <v>6</v>
      </c>
      <c r="O509">
        <v>6</v>
      </c>
      <c r="P509" s="6">
        <v>42035.818124999998</v>
      </c>
      <c r="Q509" t="s">
        <v>3896</v>
      </c>
      <c r="R509" t="s">
        <v>11563</v>
      </c>
      <c r="S509" t="s">
        <v>2943</v>
      </c>
      <c r="T509">
        <v>2</v>
      </c>
      <c r="X509" t="b">
        <v>1</v>
      </c>
      <c r="Y509" s="6">
        <v>42037.431944444441</v>
      </c>
    </row>
    <row r="510" spans="1:25" x14ac:dyDescent="0.25">
      <c r="A510" t="s">
        <v>13006</v>
      </c>
      <c r="B510" t="s">
        <v>12945</v>
      </c>
      <c r="C510">
        <v>4.59</v>
      </c>
      <c r="D510" t="s">
        <v>3893</v>
      </c>
      <c r="E510" t="s">
        <v>3989</v>
      </c>
      <c r="F510" s="18">
        <v>42005</v>
      </c>
      <c r="G510" s="18">
        <v>42018</v>
      </c>
      <c r="H510" s="18" t="str">
        <f>IFERROR(INDEX('Docs Signed Input'!B:B,MATCH('Nate''s Evolution'!$B510,'Docs Signed Input'!E:E,0)),"N")</f>
        <v>N</v>
      </c>
      <c r="I510" s="18" t="str">
        <f>IFERROR(INDEX('Docs Signed Input'!C:C,MATCH('Nate''s Evolution'!B510,'Docs Signed Input'!E:E,0)),"N")</f>
        <v>N</v>
      </c>
      <c r="L510" t="s">
        <v>2258</v>
      </c>
      <c r="M510" t="s">
        <v>3933</v>
      </c>
      <c r="N510">
        <v>4.59</v>
      </c>
      <c r="O510">
        <v>4.59</v>
      </c>
      <c r="P510" s="6">
        <v>42035.818124999998</v>
      </c>
      <c r="Q510" t="s">
        <v>3896</v>
      </c>
      <c r="R510" t="s">
        <v>3911</v>
      </c>
      <c r="S510" t="s">
        <v>12205</v>
      </c>
      <c r="T510">
        <v>2</v>
      </c>
      <c r="X510" t="b">
        <v>1</v>
      </c>
      <c r="Y510" s="6">
        <v>42037.431944444441</v>
      </c>
    </row>
    <row r="511" spans="1:25" x14ac:dyDescent="0.25">
      <c r="A511" t="s">
        <v>13760</v>
      </c>
      <c r="B511" t="s">
        <v>12946</v>
      </c>
      <c r="C511">
        <v>5.0999999999999996</v>
      </c>
      <c r="D511" t="s">
        <v>3893</v>
      </c>
      <c r="E511" t="s">
        <v>3989</v>
      </c>
      <c r="F511" s="18">
        <v>42005</v>
      </c>
      <c r="G511" s="18">
        <v>42018</v>
      </c>
      <c r="H511" s="18" t="str">
        <f>IFERROR(INDEX('Docs Signed Input'!B:B,MATCH('Nate''s Evolution'!$B511,'Docs Signed Input'!E:E,0)),"N")</f>
        <v>Y</v>
      </c>
      <c r="I511" s="18" t="str">
        <f>IFERROR(INDEX('Docs Signed Input'!C:C,MATCH('Nate''s Evolution'!B511,'Docs Signed Input'!E:E,0)),"N")</f>
        <v>N</v>
      </c>
      <c r="L511" t="s">
        <v>2258</v>
      </c>
      <c r="M511" t="s">
        <v>4032</v>
      </c>
      <c r="N511">
        <v>5.0999999999999996</v>
      </c>
      <c r="O511">
        <v>5.0999999999999996</v>
      </c>
      <c r="P511" s="6">
        <v>42035.818124999998</v>
      </c>
      <c r="Q511" t="s">
        <v>3896</v>
      </c>
      <c r="R511" t="s">
        <v>4728</v>
      </c>
      <c r="S511" t="s">
        <v>12207</v>
      </c>
      <c r="T511">
        <v>2</v>
      </c>
      <c r="X511" t="b">
        <v>1</v>
      </c>
      <c r="Y511" s="6">
        <v>42037.431944444441</v>
      </c>
    </row>
    <row r="512" spans="1:25" x14ac:dyDescent="0.25">
      <c r="A512" t="s">
        <v>13326</v>
      </c>
      <c r="B512" t="s">
        <v>12949</v>
      </c>
      <c r="C512">
        <v>5.3550000000000004</v>
      </c>
      <c r="D512" t="s">
        <v>3922</v>
      </c>
      <c r="E512" t="s">
        <v>3923</v>
      </c>
      <c r="F512" s="18">
        <v>42005</v>
      </c>
      <c r="G512" s="18">
        <v>42018</v>
      </c>
      <c r="H512" s="18" t="str">
        <f>IFERROR(INDEX('Docs Signed Input'!B:B,MATCH('Nate''s Evolution'!$B512,'Docs Signed Input'!E:E,0)),"N")</f>
        <v>N</v>
      </c>
      <c r="I512" s="18" t="str">
        <f>IFERROR(INDEX('Docs Signed Input'!C:C,MATCH('Nate''s Evolution'!B512,'Docs Signed Input'!E:E,0)),"N")</f>
        <v>Y</v>
      </c>
      <c r="J512" s="18">
        <v>42025</v>
      </c>
      <c r="L512" t="s">
        <v>2258</v>
      </c>
      <c r="M512" t="s">
        <v>3932</v>
      </c>
      <c r="N512">
        <v>5.3550000000000004</v>
      </c>
      <c r="O512">
        <v>6.12</v>
      </c>
      <c r="P512" s="6">
        <v>42035.818124999998</v>
      </c>
      <c r="Q512" t="s">
        <v>3896</v>
      </c>
      <c r="R512" t="s">
        <v>11563</v>
      </c>
      <c r="S512" t="s">
        <v>3589</v>
      </c>
      <c r="T512">
        <v>2</v>
      </c>
      <c r="X512" t="b">
        <v>1</v>
      </c>
      <c r="Y512" s="6">
        <v>42037.431944444441</v>
      </c>
    </row>
    <row r="513" spans="1:25" x14ac:dyDescent="0.25">
      <c r="A513" t="s">
        <v>13007</v>
      </c>
      <c r="B513" t="s">
        <v>12947</v>
      </c>
      <c r="C513">
        <v>3.3149999999999999</v>
      </c>
      <c r="D513" t="s">
        <v>3893</v>
      </c>
      <c r="E513" t="s">
        <v>4117</v>
      </c>
      <c r="F513" s="18">
        <v>42005</v>
      </c>
      <c r="G513" s="18">
        <v>42018</v>
      </c>
      <c r="H513" s="18" t="str">
        <f>IFERROR(INDEX('Docs Signed Input'!B:B,MATCH('Nate''s Evolution'!$B513,'Docs Signed Input'!E:E,0)),"N")</f>
        <v>N</v>
      </c>
      <c r="I513" s="18" t="str">
        <f>IFERROR(INDEX('Docs Signed Input'!C:C,MATCH('Nate''s Evolution'!B513,'Docs Signed Input'!E:E,0)),"N")</f>
        <v>N</v>
      </c>
      <c r="L513" t="s">
        <v>2258</v>
      </c>
      <c r="M513" t="s">
        <v>3933</v>
      </c>
      <c r="N513">
        <v>3.3149999999999999</v>
      </c>
      <c r="O513">
        <v>3.3149999999999999</v>
      </c>
      <c r="P513" s="6">
        <v>42035.818124999998</v>
      </c>
      <c r="Q513" t="s">
        <v>3896</v>
      </c>
      <c r="R513" t="s">
        <v>11563</v>
      </c>
      <c r="S513" t="s">
        <v>11497</v>
      </c>
      <c r="T513">
        <v>2</v>
      </c>
      <c r="X513" t="b">
        <v>1</v>
      </c>
      <c r="Y513" s="6">
        <v>42037.431944444441</v>
      </c>
    </row>
    <row r="514" spans="1:25" x14ac:dyDescent="0.25">
      <c r="A514" t="s">
        <v>13008</v>
      </c>
      <c r="B514" t="s">
        <v>12948</v>
      </c>
      <c r="C514">
        <v>7.14</v>
      </c>
      <c r="D514" t="s">
        <v>3893</v>
      </c>
      <c r="E514" t="s">
        <v>3894</v>
      </c>
      <c r="F514" s="18">
        <v>42005</v>
      </c>
      <c r="G514" s="18">
        <v>42018</v>
      </c>
      <c r="H514" s="18" t="str">
        <f>IFERROR(INDEX('Docs Signed Input'!B:B,MATCH('Nate''s Evolution'!$B514,'Docs Signed Input'!E:E,0)),"N")</f>
        <v>N</v>
      </c>
      <c r="I514" s="18" t="str">
        <f>IFERROR(INDEX('Docs Signed Input'!C:C,MATCH('Nate''s Evolution'!B514,'Docs Signed Input'!E:E,0)),"N")</f>
        <v>N</v>
      </c>
      <c r="L514" t="s">
        <v>2258</v>
      </c>
      <c r="M514" t="s">
        <v>3933</v>
      </c>
      <c r="N514">
        <v>7.14</v>
      </c>
      <c r="O514">
        <v>10.71</v>
      </c>
      <c r="P514" s="6">
        <v>42035.818124999998</v>
      </c>
      <c r="Q514" t="s">
        <v>3896</v>
      </c>
      <c r="R514" t="s">
        <v>3897</v>
      </c>
      <c r="S514" t="s">
        <v>12205</v>
      </c>
      <c r="T514">
        <v>2</v>
      </c>
      <c r="X514" t="b">
        <v>1</v>
      </c>
      <c r="Y514" s="6">
        <v>42037.431944444441</v>
      </c>
    </row>
    <row r="515" spans="1:25" x14ac:dyDescent="0.25">
      <c r="A515" t="s">
        <v>13009</v>
      </c>
      <c r="B515" t="s">
        <v>12950</v>
      </c>
      <c r="C515">
        <v>5.0999999999999996</v>
      </c>
      <c r="D515" t="s">
        <v>3893</v>
      </c>
      <c r="E515" t="s">
        <v>3894</v>
      </c>
      <c r="F515" s="18">
        <v>42005</v>
      </c>
      <c r="G515" s="18">
        <v>42018</v>
      </c>
      <c r="H515" s="18" t="str">
        <f>IFERROR(INDEX('Docs Signed Input'!B:B,MATCH('Nate''s Evolution'!$B515,'Docs Signed Input'!E:E,0)),"N")</f>
        <v>Y</v>
      </c>
      <c r="I515" s="18" t="str">
        <f>IFERROR(INDEX('Docs Signed Input'!C:C,MATCH('Nate''s Evolution'!B515,'Docs Signed Input'!E:E,0)),"N")</f>
        <v>Y</v>
      </c>
      <c r="J515" s="18">
        <v>42031</v>
      </c>
      <c r="L515" t="s">
        <v>2258</v>
      </c>
      <c r="M515" t="s">
        <v>3933</v>
      </c>
      <c r="N515">
        <v>5.0999999999999996</v>
      </c>
      <c r="O515">
        <v>6.12</v>
      </c>
      <c r="P515" s="6">
        <v>42035.818124999998</v>
      </c>
      <c r="Q515" t="s">
        <v>3896</v>
      </c>
      <c r="R515" t="s">
        <v>3921</v>
      </c>
      <c r="S515" t="s">
        <v>11497</v>
      </c>
      <c r="T515">
        <v>2</v>
      </c>
      <c r="X515" t="b">
        <v>1</v>
      </c>
      <c r="Y515" s="6">
        <v>42037.431944444441</v>
      </c>
    </row>
    <row r="516" spans="1:25" x14ac:dyDescent="0.25">
      <c r="A516" t="s">
        <v>12980</v>
      </c>
      <c r="B516" t="s">
        <v>12919</v>
      </c>
      <c r="C516">
        <v>4.5</v>
      </c>
      <c r="D516" t="s">
        <v>3893</v>
      </c>
      <c r="E516" t="s">
        <v>3894</v>
      </c>
      <c r="F516" s="18">
        <v>42005</v>
      </c>
      <c r="G516" s="18">
        <v>42019</v>
      </c>
      <c r="H516" s="18" t="str">
        <f>IFERROR(INDEX('Docs Signed Input'!B:B,MATCH('Nate''s Evolution'!$B516,'Docs Signed Input'!E:E,0)),"N")</f>
        <v>N</v>
      </c>
      <c r="I516" s="18" t="str">
        <f>IFERROR(INDEX('Docs Signed Input'!C:C,MATCH('Nate''s Evolution'!B516,'Docs Signed Input'!E:E,0)),"N")</f>
        <v>N</v>
      </c>
      <c r="L516" t="s">
        <v>2258</v>
      </c>
      <c r="M516" t="s">
        <v>12976</v>
      </c>
      <c r="N516">
        <v>4.08</v>
      </c>
      <c r="O516">
        <v>4.5</v>
      </c>
      <c r="P516" s="6">
        <v>42035.818124999998</v>
      </c>
      <c r="Q516" t="s">
        <v>3896</v>
      </c>
      <c r="R516" t="s">
        <v>11563</v>
      </c>
      <c r="S516" t="s">
        <v>3943</v>
      </c>
      <c r="T516">
        <v>2</v>
      </c>
      <c r="X516" t="b">
        <v>1</v>
      </c>
      <c r="Y516" s="6">
        <v>42037.431944444441</v>
      </c>
    </row>
    <row r="517" spans="1:25" x14ac:dyDescent="0.25">
      <c r="A517" t="s">
        <v>12981</v>
      </c>
      <c r="B517" t="s">
        <v>12920</v>
      </c>
      <c r="C517">
        <v>4.59</v>
      </c>
      <c r="D517" t="s">
        <v>3893</v>
      </c>
      <c r="E517" t="s">
        <v>3989</v>
      </c>
      <c r="F517" s="18">
        <v>42005</v>
      </c>
      <c r="G517" s="18">
        <v>42019</v>
      </c>
      <c r="H517" s="18" t="str">
        <f>IFERROR(INDEX('Docs Signed Input'!B:B,MATCH('Nate''s Evolution'!$B517,'Docs Signed Input'!E:E,0)),"N")</f>
        <v>N</v>
      </c>
      <c r="I517" s="18" t="str">
        <f>IFERROR(INDEX('Docs Signed Input'!C:C,MATCH('Nate''s Evolution'!B517,'Docs Signed Input'!E:E,0)),"N")</f>
        <v>N</v>
      </c>
      <c r="L517" t="s">
        <v>2258</v>
      </c>
      <c r="M517" t="s">
        <v>4317</v>
      </c>
      <c r="N517">
        <v>4.59</v>
      </c>
      <c r="O517">
        <v>4.59</v>
      </c>
      <c r="P517" s="6">
        <v>42035.818124999998</v>
      </c>
      <c r="Q517" t="s">
        <v>3896</v>
      </c>
      <c r="R517" t="s">
        <v>11563</v>
      </c>
      <c r="S517" t="s">
        <v>12122</v>
      </c>
      <c r="T517">
        <v>2</v>
      </c>
      <c r="X517" t="b">
        <v>1</v>
      </c>
      <c r="Y517" s="6">
        <v>42037.431944444441</v>
      </c>
    </row>
    <row r="518" spans="1:25" x14ac:dyDescent="0.25">
      <c r="A518" t="s">
        <v>12982</v>
      </c>
      <c r="B518" t="s">
        <v>12921</v>
      </c>
      <c r="C518">
        <v>9.36</v>
      </c>
      <c r="D518" t="s">
        <v>3893</v>
      </c>
      <c r="E518" t="s">
        <v>4117</v>
      </c>
      <c r="F518" s="18">
        <v>42005</v>
      </c>
      <c r="G518" s="18">
        <v>42019</v>
      </c>
      <c r="H518" s="18" t="str">
        <f>IFERROR(INDEX('Docs Signed Input'!B:B,MATCH('Nate''s Evolution'!$B518,'Docs Signed Input'!E:E,0)),"N")</f>
        <v>N</v>
      </c>
      <c r="I518" s="18" t="str">
        <f>IFERROR(INDEX('Docs Signed Input'!C:C,MATCH('Nate''s Evolution'!B518,'Docs Signed Input'!E:E,0)),"N")</f>
        <v>N</v>
      </c>
      <c r="L518" t="s">
        <v>2258</v>
      </c>
      <c r="M518" t="s">
        <v>10253</v>
      </c>
      <c r="N518">
        <v>9.36</v>
      </c>
      <c r="O518">
        <v>9.36</v>
      </c>
      <c r="P518" s="6">
        <v>42035.818124999998</v>
      </c>
      <c r="Q518" t="s">
        <v>3896</v>
      </c>
      <c r="R518" t="s">
        <v>11563</v>
      </c>
      <c r="S518" t="s">
        <v>3453</v>
      </c>
      <c r="T518">
        <v>2</v>
      </c>
      <c r="X518" t="b">
        <v>1</v>
      </c>
      <c r="Y518" s="6">
        <v>42037.431944444441</v>
      </c>
    </row>
    <row r="519" spans="1:25" x14ac:dyDescent="0.25">
      <c r="A519" t="s">
        <v>12983</v>
      </c>
      <c r="B519" t="s">
        <v>12922</v>
      </c>
      <c r="C519">
        <v>7.65</v>
      </c>
      <c r="D519" t="s">
        <v>3893</v>
      </c>
      <c r="E519" t="s">
        <v>4117</v>
      </c>
      <c r="F519" s="18">
        <v>42005</v>
      </c>
      <c r="G519" s="18">
        <v>42019</v>
      </c>
      <c r="H519" s="18" t="str">
        <f>IFERROR(INDEX('Docs Signed Input'!B:B,MATCH('Nate''s Evolution'!$B519,'Docs Signed Input'!E:E,0)),"N")</f>
        <v>N</v>
      </c>
      <c r="I519" s="18" t="str">
        <f>IFERROR(INDEX('Docs Signed Input'!C:C,MATCH('Nate''s Evolution'!B519,'Docs Signed Input'!E:E,0)),"N")</f>
        <v>N</v>
      </c>
      <c r="L519" t="s">
        <v>2258</v>
      </c>
      <c r="M519" t="s">
        <v>3933</v>
      </c>
      <c r="N519">
        <v>7.65</v>
      </c>
      <c r="O519">
        <v>7.65</v>
      </c>
      <c r="P519" s="6">
        <v>42035.818124999998</v>
      </c>
      <c r="Q519" t="s">
        <v>3896</v>
      </c>
      <c r="R519" t="s">
        <v>11563</v>
      </c>
      <c r="S519" t="s">
        <v>11503</v>
      </c>
      <c r="T519">
        <v>2</v>
      </c>
      <c r="X519" t="b">
        <v>1</v>
      </c>
      <c r="Y519" s="6">
        <v>42037.431944444441</v>
      </c>
    </row>
    <row r="520" spans="1:25" x14ac:dyDescent="0.25">
      <c r="A520" t="s">
        <v>12984</v>
      </c>
      <c r="B520" t="s">
        <v>12923</v>
      </c>
      <c r="C520">
        <v>4.16</v>
      </c>
      <c r="D520" t="s">
        <v>3893</v>
      </c>
      <c r="E520" t="s">
        <v>3941</v>
      </c>
      <c r="F520" s="18">
        <v>42005</v>
      </c>
      <c r="G520" s="18">
        <v>42019</v>
      </c>
      <c r="H520" s="18" t="str">
        <f>IFERROR(INDEX('Docs Signed Input'!B:B,MATCH('Nate''s Evolution'!$B520,'Docs Signed Input'!E:E,0)),"N")</f>
        <v>N</v>
      </c>
      <c r="I520" s="18" t="str">
        <f>IFERROR(INDEX('Docs Signed Input'!C:C,MATCH('Nate''s Evolution'!B520,'Docs Signed Input'!E:E,0)),"N")</f>
        <v>N</v>
      </c>
      <c r="L520" t="s">
        <v>2258</v>
      </c>
      <c r="M520" t="s">
        <v>4317</v>
      </c>
      <c r="N520">
        <v>4.08</v>
      </c>
      <c r="O520">
        <v>4.16</v>
      </c>
      <c r="P520" s="6">
        <v>42035.818124999998</v>
      </c>
      <c r="Q520" t="s">
        <v>3896</v>
      </c>
      <c r="R520" t="s">
        <v>11563</v>
      </c>
      <c r="S520" t="s">
        <v>3566</v>
      </c>
      <c r="T520">
        <v>2</v>
      </c>
      <c r="X520" t="b">
        <v>1</v>
      </c>
      <c r="Y520" s="6">
        <v>42037.431944444441</v>
      </c>
    </row>
    <row r="521" spans="1:25" x14ac:dyDescent="0.25">
      <c r="A521" t="s">
        <v>12985</v>
      </c>
      <c r="B521" t="s">
        <v>12924</v>
      </c>
      <c r="C521">
        <v>12.75</v>
      </c>
      <c r="D521" t="s">
        <v>3909</v>
      </c>
      <c r="E521" t="s">
        <v>3937</v>
      </c>
      <c r="F521" s="18">
        <v>42005</v>
      </c>
      <c r="G521" s="18">
        <v>42019</v>
      </c>
      <c r="H521" s="18" t="str">
        <f>IFERROR(INDEX('Docs Signed Input'!B:B,MATCH('Nate''s Evolution'!$B521,'Docs Signed Input'!E:E,0)),"N")</f>
        <v>N</v>
      </c>
      <c r="I521" s="18" t="str">
        <f>IFERROR(INDEX('Docs Signed Input'!C:C,MATCH('Nate''s Evolution'!B521,'Docs Signed Input'!E:E,0)),"N")</f>
        <v>N</v>
      </c>
      <c r="L521" t="s">
        <v>2258</v>
      </c>
      <c r="M521" t="s">
        <v>3933</v>
      </c>
      <c r="N521">
        <v>12.75</v>
      </c>
      <c r="O521">
        <v>12.75</v>
      </c>
      <c r="P521" s="6">
        <v>42020.764062499999</v>
      </c>
      <c r="Q521" t="s">
        <v>3896</v>
      </c>
      <c r="R521" t="s">
        <v>11563</v>
      </c>
      <c r="S521" t="s">
        <v>12566</v>
      </c>
      <c r="T521">
        <v>17</v>
      </c>
      <c r="V521" t="b">
        <v>1</v>
      </c>
      <c r="Y521" s="6">
        <v>42037.431944444441</v>
      </c>
    </row>
    <row r="522" spans="1:25" x14ac:dyDescent="0.25">
      <c r="A522" t="s">
        <v>12986</v>
      </c>
      <c r="B522" t="s">
        <v>12925</v>
      </c>
      <c r="C522">
        <v>7.3949999999999996</v>
      </c>
      <c r="D522" t="s">
        <v>3909</v>
      </c>
      <c r="E522" t="s">
        <v>3929</v>
      </c>
      <c r="F522" s="18">
        <v>42005</v>
      </c>
      <c r="G522" s="18">
        <v>42019</v>
      </c>
      <c r="H522" s="18" t="str">
        <f>IFERROR(INDEX('Docs Signed Input'!B:B,MATCH('Nate''s Evolution'!$B522,'Docs Signed Input'!E:E,0)),"N")</f>
        <v>N</v>
      </c>
      <c r="I522" s="18" t="str">
        <f>IFERROR(INDEX('Docs Signed Input'!C:C,MATCH('Nate''s Evolution'!B522,'Docs Signed Input'!E:E,0)),"N")</f>
        <v>N</v>
      </c>
      <c r="L522" t="s">
        <v>2258</v>
      </c>
      <c r="M522" t="s">
        <v>3933</v>
      </c>
      <c r="N522">
        <v>7.3949999999999996</v>
      </c>
      <c r="O522">
        <v>7.3949999999999996</v>
      </c>
      <c r="P522" s="6">
        <v>42027.81827546296</v>
      </c>
      <c r="Q522" t="s">
        <v>3896</v>
      </c>
      <c r="R522" t="s">
        <v>11563</v>
      </c>
      <c r="S522" t="s">
        <v>11497</v>
      </c>
      <c r="T522">
        <v>10</v>
      </c>
      <c r="V522" t="b">
        <v>1</v>
      </c>
      <c r="Y522" s="6">
        <v>42037.431944444441</v>
      </c>
    </row>
    <row r="523" spans="1:25" x14ac:dyDescent="0.25">
      <c r="A523" t="s">
        <v>12987</v>
      </c>
      <c r="B523" t="s">
        <v>12926</v>
      </c>
      <c r="C523">
        <v>5.61</v>
      </c>
      <c r="D523" t="s">
        <v>3893</v>
      </c>
      <c r="E523" t="s">
        <v>3894</v>
      </c>
      <c r="F523" s="18">
        <v>42005</v>
      </c>
      <c r="G523" s="18">
        <v>42019</v>
      </c>
      <c r="H523" s="18" t="str">
        <f>IFERROR(INDEX('Docs Signed Input'!B:B,MATCH('Nate''s Evolution'!$B523,'Docs Signed Input'!E:E,0)),"N")</f>
        <v>N</v>
      </c>
      <c r="I523" s="18" t="str">
        <f>IFERROR(INDEX('Docs Signed Input'!C:C,MATCH('Nate''s Evolution'!B523,'Docs Signed Input'!E:E,0)),"N")</f>
        <v>N</v>
      </c>
      <c r="J523" s="18">
        <v>42034</v>
      </c>
      <c r="L523" t="s">
        <v>2258</v>
      </c>
      <c r="M523" t="s">
        <v>3932</v>
      </c>
      <c r="N523">
        <v>5.61</v>
      </c>
      <c r="O523">
        <v>5.8650000000000002</v>
      </c>
      <c r="P523" s="6">
        <v>42035.818124999998</v>
      </c>
      <c r="Q523" t="s">
        <v>3896</v>
      </c>
      <c r="R523" t="s">
        <v>11563</v>
      </c>
      <c r="S523" t="s">
        <v>3589</v>
      </c>
      <c r="T523">
        <v>2</v>
      </c>
      <c r="X523" t="b">
        <v>1</v>
      </c>
      <c r="Y523" s="6">
        <v>42037.431944444441</v>
      </c>
    </row>
    <row r="524" spans="1:25" x14ac:dyDescent="0.25">
      <c r="A524" t="s">
        <v>12988</v>
      </c>
      <c r="B524" t="s">
        <v>12927</v>
      </c>
      <c r="C524">
        <v>3.12</v>
      </c>
      <c r="D524" t="s">
        <v>3893</v>
      </c>
      <c r="E524" t="s">
        <v>3941</v>
      </c>
      <c r="F524" s="18">
        <v>42005</v>
      </c>
      <c r="G524" s="18">
        <v>42019</v>
      </c>
      <c r="H524" s="18" t="str">
        <f>IFERROR(INDEX('Docs Signed Input'!B:B,MATCH('Nate''s Evolution'!$B524,'Docs Signed Input'!E:E,0)),"N")</f>
        <v>N</v>
      </c>
      <c r="I524" s="18" t="str">
        <f>IFERROR(INDEX('Docs Signed Input'!C:C,MATCH('Nate''s Evolution'!B524,'Docs Signed Input'!E:E,0)),"N")</f>
        <v>N</v>
      </c>
      <c r="L524" t="s">
        <v>2258</v>
      </c>
      <c r="M524" t="s">
        <v>4317</v>
      </c>
      <c r="N524">
        <v>3.12</v>
      </c>
      <c r="O524">
        <v>4.335</v>
      </c>
      <c r="P524" s="6">
        <v>42035.818124999998</v>
      </c>
      <c r="Q524" t="s">
        <v>3896</v>
      </c>
      <c r="R524" t="s">
        <v>11563</v>
      </c>
      <c r="S524" t="s">
        <v>3566</v>
      </c>
      <c r="T524">
        <v>2</v>
      </c>
      <c r="X524" t="b">
        <v>1</v>
      </c>
      <c r="Y524" s="6">
        <v>42037.431944444441</v>
      </c>
    </row>
    <row r="525" spans="1:25" x14ac:dyDescent="0.25">
      <c r="A525" t="s">
        <v>12989</v>
      </c>
      <c r="B525" t="s">
        <v>12928</v>
      </c>
      <c r="C525">
        <v>5.0999999999999996</v>
      </c>
      <c r="D525" t="s">
        <v>3893</v>
      </c>
      <c r="E525" t="s">
        <v>3989</v>
      </c>
      <c r="F525" s="18">
        <v>42005</v>
      </c>
      <c r="G525" s="18">
        <v>42019</v>
      </c>
      <c r="H525" s="18" t="str">
        <f>IFERROR(INDEX('Docs Signed Input'!B:B,MATCH('Nate''s Evolution'!$B525,'Docs Signed Input'!E:E,0)),"N")</f>
        <v>N</v>
      </c>
      <c r="I525" s="18" t="str">
        <f>IFERROR(INDEX('Docs Signed Input'!C:C,MATCH('Nate''s Evolution'!B525,'Docs Signed Input'!E:E,0)),"N")</f>
        <v>N</v>
      </c>
      <c r="L525" t="s">
        <v>2258</v>
      </c>
      <c r="M525" t="s">
        <v>3932</v>
      </c>
      <c r="N525">
        <v>5.0999999999999996</v>
      </c>
      <c r="O525">
        <v>5.0999999999999996</v>
      </c>
      <c r="P525" s="6">
        <v>42035.818124999998</v>
      </c>
      <c r="Q525" t="s">
        <v>3896</v>
      </c>
      <c r="R525" t="s">
        <v>11563</v>
      </c>
      <c r="S525" t="s">
        <v>3589</v>
      </c>
      <c r="T525">
        <v>2</v>
      </c>
      <c r="X525" t="b">
        <v>1</v>
      </c>
      <c r="Y525" s="6">
        <v>42037.431944444441</v>
      </c>
    </row>
    <row r="526" spans="1:25" x14ac:dyDescent="0.25">
      <c r="A526" t="s">
        <v>12990</v>
      </c>
      <c r="B526" t="s">
        <v>12929</v>
      </c>
      <c r="C526">
        <v>6.8849999999999998</v>
      </c>
      <c r="D526" t="s">
        <v>3893</v>
      </c>
      <c r="E526" t="s">
        <v>3941</v>
      </c>
      <c r="F526" s="18">
        <v>42005</v>
      </c>
      <c r="G526" s="18">
        <v>42019</v>
      </c>
      <c r="H526" s="18" t="str">
        <f>IFERROR(INDEX('Docs Signed Input'!B:B,MATCH('Nate''s Evolution'!$B526,'Docs Signed Input'!E:E,0)),"N")</f>
        <v>N</v>
      </c>
      <c r="I526" s="18" t="str">
        <f>IFERROR(INDEX('Docs Signed Input'!C:C,MATCH('Nate''s Evolution'!B526,'Docs Signed Input'!E:E,0)),"N")</f>
        <v>N</v>
      </c>
      <c r="L526" t="s">
        <v>2258</v>
      </c>
      <c r="M526" t="s">
        <v>3933</v>
      </c>
      <c r="N526">
        <v>6.8849999999999998</v>
      </c>
      <c r="O526">
        <v>6.8849999999999998</v>
      </c>
      <c r="P526" s="6">
        <v>42035.818124999998</v>
      </c>
      <c r="Q526" t="s">
        <v>3896</v>
      </c>
      <c r="R526" t="s">
        <v>11563</v>
      </c>
      <c r="S526" t="s">
        <v>2263</v>
      </c>
      <c r="T526">
        <v>2</v>
      </c>
      <c r="X526" t="b">
        <v>1</v>
      </c>
      <c r="Y526" s="6">
        <v>42037.431944444441</v>
      </c>
    </row>
    <row r="527" spans="1:25" x14ac:dyDescent="0.25">
      <c r="A527" t="s">
        <v>12991</v>
      </c>
      <c r="B527" t="s">
        <v>12930</v>
      </c>
      <c r="C527">
        <v>2.5499999999999998</v>
      </c>
      <c r="D527" t="s">
        <v>2230</v>
      </c>
      <c r="E527" t="s">
        <v>3984</v>
      </c>
      <c r="F527" s="18">
        <v>42005</v>
      </c>
      <c r="G527" s="18">
        <v>42019</v>
      </c>
      <c r="H527" s="18" t="str">
        <f>IFERROR(INDEX('Docs Signed Input'!B:B,MATCH('Nate''s Evolution'!$B527,'Docs Signed Input'!E:E,0)),"N")</f>
        <v>N</v>
      </c>
      <c r="I527" s="18" t="str">
        <f>IFERROR(INDEX('Docs Signed Input'!C:C,MATCH('Nate''s Evolution'!B527,'Docs Signed Input'!E:E,0)),"N")</f>
        <v>N</v>
      </c>
      <c r="L527" t="s">
        <v>2258</v>
      </c>
      <c r="M527" t="s">
        <v>3933</v>
      </c>
      <c r="N527">
        <v>2.5499999999999998</v>
      </c>
      <c r="O527">
        <v>2.5499999999999998</v>
      </c>
      <c r="P527" s="6">
        <v>42020.073576388888</v>
      </c>
      <c r="Q527" t="s">
        <v>3896</v>
      </c>
      <c r="R527" t="s">
        <v>4010</v>
      </c>
      <c r="S527" t="s">
        <v>12482</v>
      </c>
      <c r="T527">
        <v>17</v>
      </c>
      <c r="U527" t="b">
        <v>1</v>
      </c>
      <c r="Y527" s="6">
        <v>42037.431944444441</v>
      </c>
    </row>
    <row r="528" spans="1:25" x14ac:dyDescent="0.25">
      <c r="A528" t="s">
        <v>12992</v>
      </c>
      <c r="B528" t="s">
        <v>12931</v>
      </c>
      <c r="C528">
        <v>8.75</v>
      </c>
      <c r="D528" t="s">
        <v>3893</v>
      </c>
      <c r="E528" t="s">
        <v>4888</v>
      </c>
      <c r="F528" s="18">
        <v>42005</v>
      </c>
      <c r="G528" s="18">
        <v>42019</v>
      </c>
      <c r="H528" s="18" t="str">
        <f>IFERROR(INDEX('Docs Signed Input'!B:B,MATCH('Nate''s Evolution'!$B528,'Docs Signed Input'!E:E,0)),"N")</f>
        <v>N</v>
      </c>
      <c r="I528" s="18" t="str">
        <f>IFERROR(INDEX('Docs Signed Input'!C:C,MATCH('Nate''s Evolution'!B528,'Docs Signed Input'!E:E,0)),"N")</f>
        <v>N</v>
      </c>
      <c r="J528" s="18">
        <v>42020</v>
      </c>
      <c r="L528" t="s">
        <v>2258</v>
      </c>
      <c r="M528" t="s">
        <v>3902</v>
      </c>
      <c r="N528">
        <v>8.75</v>
      </c>
      <c r="O528">
        <v>8.75</v>
      </c>
      <c r="P528" s="6">
        <v>42035.818124999998</v>
      </c>
      <c r="Q528" t="s">
        <v>3896</v>
      </c>
      <c r="R528" t="s">
        <v>11563</v>
      </c>
      <c r="S528" t="s">
        <v>2341</v>
      </c>
      <c r="T528">
        <v>2</v>
      </c>
      <c r="X528" t="b">
        <v>1</v>
      </c>
      <c r="Y528" s="6">
        <v>42037.431944444441</v>
      </c>
    </row>
    <row r="529" spans="1:25" x14ac:dyDescent="0.25">
      <c r="A529" t="s">
        <v>12993</v>
      </c>
      <c r="B529" t="s">
        <v>12932</v>
      </c>
      <c r="C529">
        <v>2.8050000000000002</v>
      </c>
      <c r="D529" t="s">
        <v>3893</v>
      </c>
      <c r="E529" t="s">
        <v>3925</v>
      </c>
      <c r="F529" s="18">
        <v>42005</v>
      </c>
      <c r="G529" s="18">
        <v>42019</v>
      </c>
      <c r="H529" s="18" t="str">
        <f>IFERROR(INDEX('Docs Signed Input'!B:B,MATCH('Nate''s Evolution'!$B529,'Docs Signed Input'!E:E,0)),"N")</f>
        <v>Y</v>
      </c>
      <c r="I529" s="18" t="str">
        <f>IFERROR(INDEX('Docs Signed Input'!C:C,MATCH('Nate''s Evolution'!B529,'Docs Signed Input'!E:E,0)),"N")</f>
        <v>Y</v>
      </c>
      <c r="J529" s="18">
        <v>42024</v>
      </c>
      <c r="L529" t="s">
        <v>2258</v>
      </c>
      <c r="M529" t="s">
        <v>4027</v>
      </c>
      <c r="N529">
        <v>2.8050000000000002</v>
      </c>
      <c r="O529">
        <v>3.06</v>
      </c>
      <c r="P529" s="6">
        <v>42035.818124999998</v>
      </c>
      <c r="Q529" t="s">
        <v>3896</v>
      </c>
      <c r="S529" t="s">
        <v>3766</v>
      </c>
      <c r="T529">
        <v>2</v>
      </c>
      <c r="X529" t="b">
        <v>1</v>
      </c>
      <c r="Y529" s="6">
        <v>42037.431944444441</v>
      </c>
    </row>
    <row r="530" spans="1:25" x14ac:dyDescent="0.25">
      <c r="A530" t="s">
        <v>12994</v>
      </c>
      <c r="B530" t="s">
        <v>12933</v>
      </c>
      <c r="C530">
        <v>4.59</v>
      </c>
      <c r="D530" t="s">
        <v>3893</v>
      </c>
      <c r="E530" t="s">
        <v>3941</v>
      </c>
      <c r="F530" s="18">
        <v>42005</v>
      </c>
      <c r="G530" s="18">
        <v>42019</v>
      </c>
      <c r="H530" s="18" t="str">
        <f>IFERROR(INDEX('Docs Signed Input'!B:B,MATCH('Nate''s Evolution'!$B530,'Docs Signed Input'!E:E,0)),"N")</f>
        <v>N</v>
      </c>
      <c r="I530" s="18" t="str">
        <f>IFERROR(INDEX('Docs Signed Input'!C:C,MATCH('Nate''s Evolution'!B530,'Docs Signed Input'!E:E,0)),"N")</f>
        <v>N</v>
      </c>
      <c r="L530" t="s">
        <v>2258</v>
      </c>
      <c r="M530" t="s">
        <v>4317</v>
      </c>
      <c r="N530">
        <v>4.59</v>
      </c>
      <c r="O530">
        <v>4.59</v>
      </c>
      <c r="P530" s="6">
        <v>42035.818124999998</v>
      </c>
      <c r="Q530" t="s">
        <v>3896</v>
      </c>
      <c r="R530" t="s">
        <v>11563</v>
      </c>
      <c r="S530" t="s">
        <v>12496</v>
      </c>
      <c r="T530">
        <v>2</v>
      </c>
      <c r="X530" t="b">
        <v>1</v>
      </c>
      <c r="Y530" s="6">
        <v>42037.431944444441</v>
      </c>
    </row>
    <row r="531" spans="1:25" x14ac:dyDescent="0.25">
      <c r="A531" t="s">
        <v>12995</v>
      </c>
      <c r="B531" t="s">
        <v>12934</v>
      </c>
      <c r="C531">
        <v>4.8449999999999998</v>
      </c>
      <c r="D531" t="s">
        <v>3893</v>
      </c>
      <c r="E531" t="s">
        <v>3925</v>
      </c>
      <c r="F531" s="18">
        <v>42005</v>
      </c>
      <c r="G531" s="18">
        <v>42019</v>
      </c>
      <c r="H531" s="18" t="str">
        <f>IFERROR(INDEX('Docs Signed Input'!B:B,MATCH('Nate''s Evolution'!$B531,'Docs Signed Input'!E:E,0)),"N")</f>
        <v>N</v>
      </c>
      <c r="I531" s="18" t="str">
        <f>IFERROR(INDEX('Docs Signed Input'!C:C,MATCH('Nate''s Evolution'!B531,'Docs Signed Input'!E:E,0)),"N")</f>
        <v>N</v>
      </c>
      <c r="J531" s="18">
        <v>42025</v>
      </c>
      <c r="L531" t="s">
        <v>2258</v>
      </c>
      <c r="M531" t="s">
        <v>4179</v>
      </c>
      <c r="N531">
        <v>4.8449999999999998</v>
      </c>
      <c r="O531">
        <v>4.8449999999999998</v>
      </c>
      <c r="P531" s="6">
        <v>42035.818124999998</v>
      </c>
      <c r="Q531" t="s">
        <v>3896</v>
      </c>
      <c r="R531" t="s">
        <v>11563</v>
      </c>
      <c r="S531" t="s">
        <v>12821</v>
      </c>
      <c r="T531">
        <v>2</v>
      </c>
      <c r="X531" t="b">
        <v>1</v>
      </c>
      <c r="Y531" s="6">
        <v>42037.431944444441</v>
      </c>
    </row>
    <row r="532" spans="1:25" x14ac:dyDescent="0.25">
      <c r="A532" t="s">
        <v>12996</v>
      </c>
      <c r="B532" t="s">
        <v>12935</v>
      </c>
      <c r="C532">
        <v>5.3550000000000004</v>
      </c>
      <c r="D532" t="s">
        <v>3893</v>
      </c>
      <c r="E532" t="s">
        <v>3989</v>
      </c>
      <c r="F532" s="18">
        <v>42005</v>
      </c>
      <c r="G532" s="18">
        <v>42019</v>
      </c>
      <c r="H532" s="18" t="str">
        <f>IFERROR(INDEX('Docs Signed Input'!B:B,MATCH('Nate''s Evolution'!$B532,'Docs Signed Input'!E:E,0)),"N")</f>
        <v>N</v>
      </c>
      <c r="I532" s="18" t="str">
        <f>IFERROR(INDEX('Docs Signed Input'!C:C,MATCH('Nate''s Evolution'!B532,'Docs Signed Input'!E:E,0)),"N")</f>
        <v>N</v>
      </c>
      <c r="L532" t="s">
        <v>2258</v>
      </c>
      <c r="M532" t="s">
        <v>4423</v>
      </c>
      <c r="N532">
        <v>5.3550000000000004</v>
      </c>
      <c r="O532">
        <v>5.3550000000000004</v>
      </c>
      <c r="P532" s="6">
        <v>42035.818124999998</v>
      </c>
      <c r="Q532" t="s">
        <v>3896</v>
      </c>
      <c r="R532" t="s">
        <v>11563</v>
      </c>
      <c r="S532" t="s">
        <v>2992</v>
      </c>
      <c r="T532">
        <v>2</v>
      </c>
      <c r="X532" t="b">
        <v>1</v>
      </c>
      <c r="Y532" s="6">
        <v>42037.431944444441</v>
      </c>
    </row>
    <row r="533" spans="1:25" x14ac:dyDescent="0.25">
      <c r="A533" t="s">
        <v>12997</v>
      </c>
      <c r="B533" t="s">
        <v>12936</v>
      </c>
      <c r="C533">
        <v>9.75</v>
      </c>
      <c r="D533" t="s">
        <v>3893</v>
      </c>
      <c r="E533" t="s">
        <v>3989</v>
      </c>
      <c r="F533" s="18">
        <v>42005</v>
      </c>
      <c r="G533" s="18">
        <v>42019</v>
      </c>
      <c r="H533" s="18" t="str">
        <f>IFERROR(INDEX('Docs Signed Input'!B:B,MATCH('Nate''s Evolution'!$B533,'Docs Signed Input'!E:E,0)),"N")</f>
        <v>N</v>
      </c>
      <c r="I533" s="18" t="str">
        <f>IFERROR(INDEX('Docs Signed Input'!C:C,MATCH('Nate''s Evolution'!B533,'Docs Signed Input'!E:E,0)),"N")</f>
        <v>N</v>
      </c>
      <c r="L533" t="s">
        <v>2258</v>
      </c>
      <c r="M533" t="s">
        <v>3917</v>
      </c>
      <c r="N533">
        <v>9.75</v>
      </c>
      <c r="O533">
        <v>9.75</v>
      </c>
      <c r="P533" s="6">
        <v>42035.818124999998</v>
      </c>
      <c r="Q533" t="s">
        <v>3896</v>
      </c>
      <c r="R533" t="s">
        <v>11563</v>
      </c>
      <c r="S533" t="s">
        <v>2824</v>
      </c>
      <c r="T533">
        <v>2</v>
      </c>
      <c r="X533" t="b">
        <v>1</v>
      </c>
      <c r="Y533" s="6">
        <v>42037.431944444441</v>
      </c>
    </row>
    <row r="534" spans="1:25" x14ac:dyDescent="0.25">
      <c r="A534" t="s">
        <v>12998</v>
      </c>
      <c r="B534" t="s">
        <v>12937</v>
      </c>
      <c r="C534">
        <v>6.24</v>
      </c>
      <c r="D534" t="s">
        <v>3893</v>
      </c>
      <c r="E534" t="s">
        <v>3989</v>
      </c>
      <c r="F534" s="18">
        <v>42005</v>
      </c>
      <c r="G534" s="18">
        <v>42019</v>
      </c>
      <c r="H534" s="18" t="str">
        <f>IFERROR(INDEX('Docs Signed Input'!B:B,MATCH('Nate''s Evolution'!$B534,'Docs Signed Input'!E:E,0)),"N")</f>
        <v>N</v>
      </c>
      <c r="I534" s="18" t="str">
        <f>IFERROR(INDEX('Docs Signed Input'!C:C,MATCH('Nate''s Evolution'!B534,'Docs Signed Input'!E:E,0)),"N")</f>
        <v>N</v>
      </c>
      <c r="L534" t="s">
        <v>2258</v>
      </c>
      <c r="M534" t="s">
        <v>5909</v>
      </c>
      <c r="N534">
        <v>6.24</v>
      </c>
      <c r="O534">
        <v>6.24</v>
      </c>
      <c r="P534" s="6">
        <v>42035.818124999998</v>
      </c>
      <c r="Q534" t="s">
        <v>3896</v>
      </c>
      <c r="R534" t="s">
        <v>5806</v>
      </c>
      <c r="S534" t="s">
        <v>2689</v>
      </c>
      <c r="T534">
        <v>2</v>
      </c>
      <c r="X534" t="b">
        <v>1</v>
      </c>
      <c r="Y534" s="6">
        <v>42037.431944444441</v>
      </c>
    </row>
    <row r="535" spans="1:25" x14ac:dyDescent="0.25">
      <c r="A535" t="s">
        <v>12999</v>
      </c>
      <c r="B535" t="s">
        <v>12938</v>
      </c>
      <c r="C535">
        <v>8</v>
      </c>
      <c r="D535" t="s">
        <v>3893</v>
      </c>
      <c r="E535" t="s">
        <v>3894</v>
      </c>
      <c r="F535" s="18">
        <v>42005</v>
      </c>
      <c r="G535" s="18">
        <v>42019</v>
      </c>
      <c r="H535" s="18" t="str">
        <f>IFERROR(INDEX('Docs Signed Input'!B:B,MATCH('Nate''s Evolution'!$B535,'Docs Signed Input'!E:E,0)),"N")</f>
        <v>N</v>
      </c>
      <c r="I535" s="18" t="str">
        <f>IFERROR(INDEX('Docs Signed Input'!C:C,MATCH('Nate''s Evolution'!B535,'Docs Signed Input'!E:E,0)),"N")</f>
        <v>N</v>
      </c>
      <c r="L535" t="s">
        <v>2258</v>
      </c>
      <c r="M535" t="s">
        <v>3902</v>
      </c>
      <c r="N535">
        <v>8</v>
      </c>
      <c r="O535">
        <v>8.25</v>
      </c>
      <c r="P535" s="6">
        <v>42035.818124999998</v>
      </c>
      <c r="Q535" t="s">
        <v>3896</v>
      </c>
      <c r="R535" t="s">
        <v>11563</v>
      </c>
      <c r="S535" t="s">
        <v>3521</v>
      </c>
      <c r="T535">
        <v>2</v>
      </c>
      <c r="X535" t="b">
        <v>1</v>
      </c>
      <c r="Y535" s="6">
        <v>42037.431944444441</v>
      </c>
    </row>
    <row r="536" spans="1:25" x14ac:dyDescent="0.25">
      <c r="A536" t="s">
        <v>13000</v>
      </c>
      <c r="B536" t="s">
        <v>12939</v>
      </c>
      <c r="C536">
        <v>7</v>
      </c>
      <c r="D536" t="s">
        <v>3893</v>
      </c>
      <c r="E536" t="s">
        <v>3925</v>
      </c>
      <c r="F536" s="18">
        <v>42005</v>
      </c>
      <c r="G536" s="18">
        <v>42019</v>
      </c>
      <c r="H536" s="18" t="str">
        <f>IFERROR(INDEX('Docs Signed Input'!B:B,MATCH('Nate''s Evolution'!$B536,'Docs Signed Input'!E:E,0)),"N")</f>
        <v>N</v>
      </c>
      <c r="I536" s="18" t="str">
        <f>IFERROR(INDEX('Docs Signed Input'!C:C,MATCH('Nate''s Evolution'!B536,'Docs Signed Input'!E:E,0)),"N")</f>
        <v>Y</v>
      </c>
      <c r="J536" s="18">
        <v>42021</v>
      </c>
      <c r="L536" t="s">
        <v>2258</v>
      </c>
      <c r="M536" t="s">
        <v>3902</v>
      </c>
      <c r="N536">
        <v>7</v>
      </c>
      <c r="O536">
        <v>7</v>
      </c>
      <c r="P536" s="6">
        <v>42035.818124999998</v>
      </c>
      <c r="Q536" t="s">
        <v>3896</v>
      </c>
      <c r="R536" t="s">
        <v>3971</v>
      </c>
      <c r="S536" t="s">
        <v>2400</v>
      </c>
      <c r="T536">
        <v>2</v>
      </c>
      <c r="X536" t="b">
        <v>1</v>
      </c>
      <c r="Y536" s="6">
        <v>42037.431944444441</v>
      </c>
    </row>
    <row r="537" spans="1:25" x14ac:dyDescent="0.25">
      <c r="A537" t="s">
        <v>13001</v>
      </c>
      <c r="B537" t="s">
        <v>12940</v>
      </c>
      <c r="C537">
        <v>2.8050000000000002</v>
      </c>
      <c r="D537" t="s">
        <v>3893</v>
      </c>
      <c r="E537" t="s">
        <v>3894</v>
      </c>
      <c r="F537" s="18">
        <v>42005</v>
      </c>
      <c r="G537" s="18">
        <v>42019</v>
      </c>
      <c r="H537" s="18" t="str">
        <f>IFERROR(INDEX('Docs Signed Input'!B:B,MATCH('Nate''s Evolution'!$B537,'Docs Signed Input'!E:E,0)),"N")</f>
        <v>Y</v>
      </c>
      <c r="I537" s="18" t="str">
        <f>IFERROR(INDEX('Docs Signed Input'!C:C,MATCH('Nate''s Evolution'!B537,'Docs Signed Input'!E:E,0)),"N")</f>
        <v>N</v>
      </c>
      <c r="L537" t="s">
        <v>2258</v>
      </c>
      <c r="M537" t="s">
        <v>4032</v>
      </c>
      <c r="N537">
        <v>2.8050000000000002</v>
      </c>
      <c r="O537">
        <v>7.65</v>
      </c>
      <c r="P537" s="6">
        <v>42035.818124999998</v>
      </c>
      <c r="Q537" t="s">
        <v>3896</v>
      </c>
      <c r="R537" t="s">
        <v>3921</v>
      </c>
      <c r="S537" t="s">
        <v>12506</v>
      </c>
      <c r="T537">
        <v>2</v>
      </c>
      <c r="X537" t="b">
        <v>1</v>
      </c>
      <c r="Y537" s="6">
        <v>42037.431944444441</v>
      </c>
    </row>
    <row r="538" spans="1:25" x14ac:dyDescent="0.25">
      <c r="A538" t="s">
        <v>12978</v>
      </c>
      <c r="B538" t="s">
        <v>12917</v>
      </c>
      <c r="C538">
        <v>2.2949999999999999</v>
      </c>
      <c r="D538" t="s">
        <v>3893</v>
      </c>
      <c r="E538" t="s">
        <v>3894</v>
      </c>
      <c r="F538" s="18">
        <v>42005</v>
      </c>
      <c r="G538" s="18">
        <v>42020</v>
      </c>
      <c r="H538" s="18" t="str">
        <f>IFERROR(INDEX('Docs Signed Input'!B:B,MATCH('Nate''s Evolution'!$B538,'Docs Signed Input'!E:E,0)),"N")</f>
        <v>N</v>
      </c>
      <c r="I538" s="18" t="str">
        <f>IFERROR(INDEX('Docs Signed Input'!C:C,MATCH('Nate''s Evolution'!B538,'Docs Signed Input'!E:E,0)),"N")</f>
        <v>N</v>
      </c>
      <c r="L538" t="s">
        <v>2258</v>
      </c>
      <c r="M538" t="s">
        <v>4032</v>
      </c>
      <c r="N538">
        <v>2.2949999999999999</v>
      </c>
      <c r="O538">
        <v>9.4350000000000005</v>
      </c>
      <c r="P538" s="6">
        <v>42035.818124999998</v>
      </c>
      <c r="Q538" t="s">
        <v>3896</v>
      </c>
      <c r="R538" t="s">
        <v>3918</v>
      </c>
      <c r="S538" t="s">
        <v>12502</v>
      </c>
      <c r="T538">
        <v>2</v>
      </c>
      <c r="X538" t="b">
        <v>1</v>
      </c>
      <c r="Y538" s="6">
        <v>42037.431944444441</v>
      </c>
    </row>
    <row r="539" spans="1:25" x14ac:dyDescent="0.25">
      <c r="A539" t="s">
        <v>13136</v>
      </c>
      <c r="B539" t="s">
        <v>13137</v>
      </c>
      <c r="C539">
        <v>5.8650000000000002</v>
      </c>
      <c r="D539" t="s">
        <v>3893</v>
      </c>
      <c r="E539" t="s">
        <v>3989</v>
      </c>
      <c r="F539" s="18">
        <v>42005</v>
      </c>
      <c r="G539" s="18">
        <v>42020</v>
      </c>
      <c r="H539" s="18" t="str">
        <f>IFERROR(INDEX('Docs Signed Input'!B:B,MATCH('Nate''s Evolution'!$B539,'Docs Signed Input'!E:E,0)),"N")</f>
        <v>N</v>
      </c>
      <c r="I539" s="18" t="str">
        <f>IFERROR(INDEX('Docs Signed Input'!C:C,MATCH('Nate''s Evolution'!B539,'Docs Signed Input'!E:E,0)),"N")</f>
        <v>N</v>
      </c>
      <c r="L539" t="s">
        <v>2258</v>
      </c>
      <c r="M539" t="s">
        <v>3933</v>
      </c>
      <c r="N539">
        <v>5.8650000000000002</v>
      </c>
      <c r="O539">
        <v>5.8650000000000002</v>
      </c>
      <c r="P539" s="6">
        <v>42035.818124999998</v>
      </c>
      <c r="Q539" t="s">
        <v>3896</v>
      </c>
      <c r="R539" t="s">
        <v>11563</v>
      </c>
      <c r="S539" t="s">
        <v>3525</v>
      </c>
      <c r="T539">
        <v>2</v>
      </c>
      <c r="X539" t="b">
        <v>1</v>
      </c>
      <c r="Y539" s="6">
        <v>42037.431944444441</v>
      </c>
    </row>
    <row r="540" spans="1:25" x14ac:dyDescent="0.25">
      <c r="A540" t="s">
        <v>13162</v>
      </c>
      <c r="B540" t="s">
        <v>13061</v>
      </c>
      <c r="C540">
        <v>7.25</v>
      </c>
      <c r="D540" t="s">
        <v>3893</v>
      </c>
      <c r="E540" t="s">
        <v>3894</v>
      </c>
      <c r="F540" s="18">
        <v>42005</v>
      </c>
      <c r="G540" s="18">
        <v>42020</v>
      </c>
      <c r="H540" s="18" t="str">
        <f>IFERROR(INDEX('Docs Signed Input'!B:B,MATCH('Nate''s Evolution'!$B540,'Docs Signed Input'!E:E,0)),"N")</f>
        <v>N</v>
      </c>
      <c r="I540" s="18" t="str">
        <f>IFERROR(INDEX('Docs Signed Input'!C:C,MATCH('Nate''s Evolution'!B540,'Docs Signed Input'!E:E,0)),"N")</f>
        <v>N</v>
      </c>
      <c r="L540" t="s">
        <v>2258</v>
      </c>
      <c r="M540" t="s">
        <v>3902</v>
      </c>
      <c r="N540">
        <v>7</v>
      </c>
      <c r="O540">
        <v>7.5</v>
      </c>
      <c r="P540" s="6">
        <v>42036.743819444448</v>
      </c>
      <c r="Q540" t="s">
        <v>3896</v>
      </c>
      <c r="R540" t="s">
        <v>3911</v>
      </c>
      <c r="S540" t="s">
        <v>4991</v>
      </c>
      <c r="T540">
        <v>1</v>
      </c>
      <c r="X540" t="b">
        <v>1</v>
      </c>
      <c r="Y540" s="6">
        <v>42037.431944444441</v>
      </c>
    </row>
    <row r="541" spans="1:25" x14ac:dyDescent="0.25">
      <c r="A541" t="s">
        <v>13179</v>
      </c>
      <c r="B541" t="s">
        <v>13180</v>
      </c>
      <c r="C541">
        <v>4.59</v>
      </c>
      <c r="D541" t="s">
        <v>3893</v>
      </c>
      <c r="E541" t="s">
        <v>3894</v>
      </c>
      <c r="F541" s="18">
        <v>42005</v>
      </c>
      <c r="G541" s="18">
        <v>42020</v>
      </c>
      <c r="H541" s="18" t="str">
        <f>IFERROR(INDEX('Docs Signed Input'!B:B,MATCH('Nate''s Evolution'!$B541,'Docs Signed Input'!E:E,0)),"N")</f>
        <v>N</v>
      </c>
      <c r="I541" s="18" t="str">
        <f>IFERROR(INDEX('Docs Signed Input'!C:C,MATCH('Nate''s Evolution'!B541,'Docs Signed Input'!E:E,0)),"N")</f>
        <v>N</v>
      </c>
      <c r="J541" s="18">
        <v>42030</v>
      </c>
      <c r="L541" t="s">
        <v>2258</v>
      </c>
      <c r="M541" t="s">
        <v>3933</v>
      </c>
      <c r="N541">
        <v>3.8250000000000002</v>
      </c>
      <c r="O541">
        <v>4.59</v>
      </c>
      <c r="P541" s="6">
        <v>42035.818124999998</v>
      </c>
      <c r="Q541" t="s">
        <v>3896</v>
      </c>
      <c r="R541" t="s">
        <v>3918</v>
      </c>
      <c r="S541" t="s">
        <v>11503</v>
      </c>
      <c r="T541">
        <v>2</v>
      </c>
      <c r="X541" t="b">
        <v>1</v>
      </c>
      <c r="Y541" s="6">
        <v>42037.431944444441</v>
      </c>
    </row>
    <row r="542" spans="1:25" x14ac:dyDescent="0.25">
      <c r="A542" t="s">
        <v>13237</v>
      </c>
      <c r="B542" t="s">
        <v>13238</v>
      </c>
      <c r="C542">
        <v>4.335</v>
      </c>
      <c r="D542" t="s">
        <v>3893</v>
      </c>
      <c r="E542" t="s">
        <v>4117</v>
      </c>
      <c r="F542" s="18">
        <v>42005</v>
      </c>
      <c r="G542" s="18">
        <v>42020</v>
      </c>
      <c r="H542" s="18" t="str">
        <f>IFERROR(INDEX('Docs Signed Input'!B:B,MATCH('Nate''s Evolution'!$B542,'Docs Signed Input'!E:E,0)),"N")</f>
        <v>N</v>
      </c>
      <c r="I542" s="18" t="str">
        <f>IFERROR(INDEX('Docs Signed Input'!C:C,MATCH('Nate''s Evolution'!B542,'Docs Signed Input'!E:E,0)),"N")</f>
        <v>N</v>
      </c>
      <c r="L542" t="s">
        <v>2258</v>
      </c>
      <c r="M542" t="s">
        <v>4179</v>
      </c>
      <c r="N542">
        <v>4.335</v>
      </c>
      <c r="O542">
        <v>4.335</v>
      </c>
      <c r="P542" s="6">
        <v>42035.818124999998</v>
      </c>
      <c r="Q542" t="s">
        <v>3896</v>
      </c>
      <c r="R542" t="s">
        <v>11563</v>
      </c>
      <c r="S542" t="s">
        <v>12821</v>
      </c>
      <c r="T542">
        <v>2</v>
      </c>
      <c r="X542" t="b">
        <v>1</v>
      </c>
      <c r="Y542" s="6">
        <v>42037.431944444441</v>
      </c>
    </row>
    <row r="543" spans="1:25" x14ac:dyDescent="0.25">
      <c r="A543" t="s">
        <v>12979</v>
      </c>
      <c r="B543" t="s">
        <v>12918</v>
      </c>
      <c r="C543">
        <v>5.0999999999999996</v>
      </c>
      <c r="D543" t="s">
        <v>3893</v>
      </c>
      <c r="E543" t="s">
        <v>3894</v>
      </c>
      <c r="F543" s="18">
        <v>42005</v>
      </c>
      <c r="G543" s="18">
        <v>42020</v>
      </c>
      <c r="H543" s="18" t="str">
        <f>IFERROR(INDEX('Docs Signed Input'!B:B,MATCH('Nate''s Evolution'!$B543,'Docs Signed Input'!E:E,0)),"N")</f>
        <v>N</v>
      </c>
      <c r="I543" s="18" t="str">
        <f>IFERROR(INDEX('Docs Signed Input'!C:C,MATCH('Nate''s Evolution'!B543,'Docs Signed Input'!E:E,0)),"N")</f>
        <v>N</v>
      </c>
      <c r="L543" t="s">
        <v>2258</v>
      </c>
      <c r="M543" t="s">
        <v>3933</v>
      </c>
      <c r="N543">
        <v>5.0999999999999996</v>
      </c>
      <c r="O543">
        <v>11</v>
      </c>
      <c r="P543" s="6">
        <v>42035.818124999998</v>
      </c>
      <c r="Q543" t="s">
        <v>3896</v>
      </c>
      <c r="R543" t="s">
        <v>11563</v>
      </c>
      <c r="S543" t="s">
        <v>3154</v>
      </c>
      <c r="T543">
        <v>2</v>
      </c>
      <c r="X543" t="b">
        <v>1</v>
      </c>
      <c r="Y543" s="6">
        <v>42037.431944444441</v>
      </c>
    </row>
    <row r="544" spans="1:25" x14ac:dyDescent="0.25">
      <c r="A544" t="s">
        <v>13264</v>
      </c>
      <c r="B544" t="s">
        <v>13265</v>
      </c>
      <c r="C544">
        <v>3.38</v>
      </c>
      <c r="D544" t="s">
        <v>3893</v>
      </c>
      <c r="E544" t="s">
        <v>3989</v>
      </c>
      <c r="F544" s="18">
        <v>42005</v>
      </c>
      <c r="G544" s="18">
        <v>42020</v>
      </c>
      <c r="H544" s="18" t="str">
        <f>IFERROR(INDEX('Docs Signed Input'!B:B,MATCH('Nate''s Evolution'!$B544,'Docs Signed Input'!E:E,0)),"N")</f>
        <v>N</v>
      </c>
      <c r="I544" s="18" t="str">
        <f>IFERROR(INDEX('Docs Signed Input'!C:C,MATCH('Nate''s Evolution'!B544,'Docs Signed Input'!E:E,0)),"N")</f>
        <v>N</v>
      </c>
      <c r="L544" t="s">
        <v>2258</v>
      </c>
      <c r="M544" t="s">
        <v>4677</v>
      </c>
      <c r="N544">
        <v>3.38</v>
      </c>
      <c r="O544">
        <v>3.38</v>
      </c>
      <c r="P544" s="6">
        <v>42035.818124999998</v>
      </c>
      <c r="Q544" t="s">
        <v>3896</v>
      </c>
      <c r="R544" t="s">
        <v>8024</v>
      </c>
      <c r="S544" t="s">
        <v>3634</v>
      </c>
      <c r="T544">
        <v>2</v>
      </c>
      <c r="X544" t="b">
        <v>1</v>
      </c>
      <c r="Y544" s="6">
        <v>42037.431944444441</v>
      </c>
    </row>
    <row r="545" spans="1:25" x14ac:dyDescent="0.25">
      <c r="A545" t="s">
        <v>13284</v>
      </c>
      <c r="B545" t="s">
        <v>13285</v>
      </c>
      <c r="C545">
        <v>3.38</v>
      </c>
      <c r="D545" t="s">
        <v>3893</v>
      </c>
      <c r="E545" t="s">
        <v>3941</v>
      </c>
      <c r="F545" s="18">
        <v>42005</v>
      </c>
      <c r="G545" s="18">
        <v>42020</v>
      </c>
      <c r="H545" s="18" t="str">
        <f>IFERROR(INDEX('Docs Signed Input'!B:B,MATCH('Nate''s Evolution'!$B545,'Docs Signed Input'!E:E,0)),"N")</f>
        <v>N</v>
      </c>
      <c r="I545" s="18" t="str">
        <f>IFERROR(INDEX('Docs Signed Input'!C:C,MATCH('Nate''s Evolution'!B545,'Docs Signed Input'!E:E,0)),"N")</f>
        <v>N</v>
      </c>
      <c r="L545" t="s">
        <v>2258</v>
      </c>
      <c r="M545" t="s">
        <v>4317</v>
      </c>
      <c r="N545">
        <v>2.8050000000000002</v>
      </c>
      <c r="O545">
        <v>3.38</v>
      </c>
      <c r="P545" s="6">
        <v>42035.818124999998</v>
      </c>
      <c r="Q545" t="s">
        <v>3896</v>
      </c>
      <c r="R545" t="s">
        <v>13286</v>
      </c>
      <c r="S545" t="s">
        <v>3566</v>
      </c>
      <c r="T545">
        <v>2</v>
      </c>
      <c r="X545" t="b">
        <v>1</v>
      </c>
      <c r="Y545" s="6">
        <v>42037.431944444441</v>
      </c>
    </row>
    <row r="546" spans="1:25" x14ac:dyDescent="0.25">
      <c r="A546" t="s">
        <v>13306</v>
      </c>
      <c r="B546" t="s">
        <v>13307</v>
      </c>
      <c r="C546">
        <v>2.6</v>
      </c>
      <c r="D546" t="s">
        <v>3893</v>
      </c>
      <c r="E546" t="s">
        <v>3925</v>
      </c>
      <c r="F546" s="18">
        <v>42005</v>
      </c>
      <c r="G546" s="18">
        <v>42020</v>
      </c>
      <c r="H546" s="18" t="str">
        <f>IFERROR(INDEX('Docs Signed Input'!B:B,MATCH('Nate''s Evolution'!$B546,'Docs Signed Input'!E:E,0)),"N")</f>
        <v>N</v>
      </c>
      <c r="I546" s="18" t="str">
        <f>IFERROR(INDEX('Docs Signed Input'!C:C,MATCH('Nate''s Evolution'!B546,'Docs Signed Input'!E:E,0)),"N")</f>
        <v>Y</v>
      </c>
      <c r="J546" s="18">
        <v>42026</v>
      </c>
      <c r="L546" t="s">
        <v>2258</v>
      </c>
      <c r="M546" t="s">
        <v>4048</v>
      </c>
      <c r="N546">
        <v>2.6</v>
      </c>
      <c r="O546">
        <v>2.86</v>
      </c>
      <c r="P546" s="6">
        <v>42035.818124999998</v>
      </c>
      <c r="Q546" t="s">
        <v>3896</v>
      </c>
      <c r="R546" t="s">
        <v>11563</v>
      </c>
      <c r="S546" t="s">
        <v>3485</v>
      </c>
      <c r="T546">
        <v>2</v>
      </c>
      <c r="X546" t="b">
        <v>1</v>
      </c>
      <c r="Y546" s="6">
        <v>42037.431944444441</v>
      </c>
    </row>
    <row r="547" spans="1:25" x14ac:dyDescent="0.25">
      <c r="A547" t="s">
        <v>13317</v>
      </c>
      <c r="B547" t="s">
        <v>13318</v>
      </c>
      <c r="C547">
        <v>9.1</v>
      </c>
      <c r="D547" t="s">
        <v>3893</v>
      </c>
      <c r="E547" t="s">
        <v>3916</v>
      </c>
      <c r="F547" s="18">
        <v>42005</v>
      </c>
      <c r="G547" s="18">
        <v>42020</v>
      </c>
      <c r="H547" s="18" t="str">
        <f>IFERROR(INDEX('Docs Signed Input'!B:B,MATCH('Nate''s Evolution'!$B547,'Docs Signed Input'!E:E,0)),"N")</f>
        <v>N</v>
      </c>
      <c r="I547" s="18" t="str">
        <f>IFERROR(INDEX('Docs Signed Input'!C:C,MATCH('Nate''s Evolution'!B547,'Docs Signed Input'!E:E,0)),"N")</f>
        <v>N</v>
      </c>
      <c r="L547" t="s">
        <v>2258</v>
      </c>
      <c r="M547" t="s">
        <v>4048</v>
      </c>
      <c r="N547">
        <v>8.06</v>
      </c>
      <c r="O547">
        <v>9.1</v>
      </c>
      <c r="P547" s="6">
        <v>42035.818124999998</v>
      </c>
      <c r="Q547" t="s">
        <v>3896</v>
      </c>
      <c r="R547" t="s">
        <v>11563</v>
      </c>
      <c r="S547" t="s">
        <v>3485</v>
      </c>
      <c r="T547">
        <v>2</v>
      </c>
      <c r="X547" t="b">
        <v>1</v>
      </c>
      <c r="Y547" s="6">
        <v>42037.431944444441</v>
      </c>
    </row>
    <row r="548" spans="1:25" x14ac:dyDescent="0.25">
      <c r="A548" t="s">
        <v>13327</v>
      </c>
      <c r="B548" t="s">
        <v>13328</v>
      </c>
      <c r="C548">
        <v>7.14</v>
      </c>
      <c r="D548" t="s">
        <v>3893</v>
      </c>
      <c r="E548" t="s">
        <v>4117</v>
      </c>
      <c r="F548" s="18">
        <v>42005</v>
      </c>
      <c r="G548" s="18">
        <v>42020</v>
      </c>
      <c r="H548" s="18" t="str">
        <f>IFERROR(INDEX('Docs Signed Input'!B:B,MATCH('Nate''s Evolution'!$B548,'Docs Signed Input'!E:E,0)),"N")</f>
        <v>N</v>
      </c>
      <c r="I548" s="18" t="str">
        <f>IFERROR(INDEX('Docs Signed Input'!C:C,MATCH('Nate''s Evolution'!B548,'Docs Signed Input'!E:E,0)),"N")</f>
        <v>N</v>
      </c>
      <c r="L548" t="s">
        <v>2258</v>
      </c>
      <c r="M548" t="s">
        <v>4317</v>
      </c>
      <c r="N548">
        <v>7.14</v>
      </c>
      <c r="O548">
        <v>7.14</v>
      </c>
      <c r="P548" s="6">
        <v>42035.818124999998</v>
      </c>
      <c r="Q548" t="s">
        <v>3896</v>
      </c>
      <c r="R548" t="s">
        <v>11563</v>
      </c>
      <c r="S548" t="s">
        <v>13329</v>
      </c>
      <c r="T548">
        <v>2</v>
      </c>
      <c r="X548" t="b">
        <v>1</v>
      </c>
      <c r="Y548" s="6">
        <v>42037.431944444441</v>
      </c>
    </row>
    <row r="549" spans="1:25" x14ac:dyDescent="0.25">
      <c r="A549" t="s">
        <v>13366</v>
      </c>
      <c r="B549" t="s">
        <v>13367</v>
      </c>
      <c r="C549">
        <v>14.28</v>
      </c>
      <c r="D549" t="s">
        <v>3893</v>
      </c>
      <c r="E549" t="s">
        <v>4117</v>
      </c>
      <c r="F549" s="18">
        <v>42005</v>
      </c>
      <c r="G549" s="18">
        <v>42020</v>
      </c>
      <c r="H549" s="18" t="str">
        <f>IFERROR(INDEX('Docs Signed Input'!B:B,MATCH('Nate''s Evolution'!$B549,'Docs Signed Input'!E:E,0)),"N")</f>
        <v>N</v>
      </c>
      <c r="I549" s="18" t="str">
        <f>IFERROR(INDEX('Docs Signed Input'!C:C,MATCH('Nate''s Evolution'!B549,'Docs Signed Input'!E:E,0)),"N")</f>
        <v>N</v>
      </c>
      <c r="L549" t="s">
        <v>2258</v>
      </c>
      <c r="M549" t="s">
        <v>12976</v>
      </c>
      <c r="N549">
        <v>14.28</v>
      </c>
      <c r="O549">
        <v>14.28</v>
      </c>
      <c r="P549" s="6">
        <v>42035.818124999998</v>
      </c>
      <c r="Q549" t="s">
        <v>3896</v>
      </c>
      <c r="R549" t="s">
        <v>5107</v>
      </c>
      <c r="S549" t="s">
        <v>3943</v>
      </c>
      <c r="T549">
        <v>2</v>
      </c>
      <c r="X549" t="b">
        <v>1</v>
      </c>
      <c r="Y549" s="6">
        <v>42037.431944444441</v>
      </c>
    </row>
    <row r="550" spans="1:25" x14ac:dyDescent="0.25">
      <c r="A550" t="s">
        <v>13370</v>
      </c>
      <c r="B550" t="s">
        <v>13371</v>
      </c>
      <c r="C550">
        <v>5.8650000000000002</v>
      </c>
      <c r="D550" t="s">
        <v>3893</v>
      </c>
      <c r="E550" t="s">
        <v>3989</v>
      </c>
      <c r="F550" s="18">
        <v>42005</v>
      </c>
      <c r="G550" s="18">
        <v>42020</v>
      </c>
      <c r="H550" s="18" t="str">
        <f>IFERROR(INDEX('Docs Signed Input'!B:B,MATCH('Nate''s Evolution'!$B550,'Docs Signed Input'!E:E,0)),"N")</f>
        <v>N</v>
      </c>
      <c r="I550" s="18" t="str">
        <f>IFERROR(INDEX('Docs Signed Input'!C:C,MATCH('Nate''s Evolution'!B550,'Docs Signed Input'!E:E,0)),"N")</f>
        <v>N</v>
      </c>
      <c r="L550" t="s">
        <v>2258</v>
      </c>
      <c r="M550" t="s">
        <v>3933</v>
      </c>
      <c r="N550">
        <v>5.8650000000000002</v>
      </c>
      <c r="O550">
        <v>5.8650000000000002</v>
      </c>
      <c r="P550" s="6">
        <v>42035.818124999998</v>
      </c>
      <c r="Q550" t="s">
        <v>3896</v>
      </c>
      <c r="R550" t="s">
        <v>11563</v>
      </c>
      <c r="S550" t="s">
        <v>11503</v>
      </c>
      <c r="T550">
        <v>2</v>
      </c>
      <c r="X550" t="b">
        <v>1</v>
      </c>
      <c r="Y550" s="6">
        <v>42037.431944444441</v>
      </c>
    </row>
    <row r="551" spans="1:25" x14ac:dyDescent="0.25">
      <c r="A551" t="s">
        <v>13132</v>
      </c>
      <c r="B551" t="s">
        <v>13068</v>
      </c>
      <c r="C551">
        <v>6.25</v>
      </c>
      <c r="D551" t="s">
        <v>3893</v>
      </c>
      <c r="E551" t="s">
        <v>3894</v>
      </c>
      <c r="F551" s="18">
        <v>42005</v>
      </c>
      <c r="G551" s="18">
        <v>42021</v>
      </c>
      <c r="H551" s="18" t="str">
        <f>IFERROR(INDEX('Docs Signed Input'!B:B,MATCH('Nate''s Evolution'!$B551,'Docs Signed Input'!E:E,0)),"N")</f>
        <v>N</v>
      </c>
      <c r="I551" s="18" t="str">
        <f>IFERROR(INDEX('Docs Signed Input'!C:C,MATCH('Nate''s Evolution'!B551,'Docs Signed Input'!E:E,0)),"N")</f>
        <v>N</v>
      </c>
      <c r="L551" t="s">
        <v>2258</v>
      </c>
      <c r="M551" t="s">
        <v>12976</v>
      </c>
      <c r="N551">
        <v>6.25</v>
      </c>
      <c r="O551">
        <v>6.375</v>
      </c>
      <c r="P551" s="6">
        <v>42035.818124999998</v>
      </c>
      <c r="Q551" t="s">
        <v>3896</v>
      </c>
      <c r="R551" t="s">
        <v>11563</v>
      </c>
      <c r="S551" t="s">
        <v>3406</v>
      </c>
      <c r="T551">
        <v>2</v>
      </c>
      <c r="X551" t="b">
        <v>1</v>
      </c>
      <c r="Y551" s="6">
        <v>42037.431944444441</v>
      </c>
    </row>
    <row r="552" spans="1:25" x14ac:dyDescent="0.25">
      <c r="A552" t="s">
        <v>13135</v>
      </c>
      <c r="B552" t="s">
        <v>13063</v>
      </c>
      <c r="C552">
        <v>5.5</v>
      </c>
      <c r="D552" t="s">
        <v>3893</v>
      </c>
      <c r="E552" t="s">
        <v>3925</v>
      </c>
      <c r="F552" s="18">
        <v>42005</v>
      </c>
      <c r="G552" s="18">
        <v>42021</v>
      </c>
      <c r="H552" s="18" t="str">
        <f>IFERROR(INDEX('Docs Signed Input'!B:B,MATCH('Nate''s Evolution'!$B552,'Docs Signed Input'!E:E,0)),"N")</f>
        <v>N</v>
      </c>
      <c r="I552" s="18" t="str">
        <f>IFERROR(INDEX('Docs Signed Input'!C:C,MATCH('Nate''s Evolution'!B552,'Docs Signed Input'!E:E,0)),"N")</f>
        <v>Y</v>
      </c>
      <c r="J552" s="18">
        <v>42027</v>
      </c>
      <c r="L552" t="s">
        <v>2258</v>
      </c>
      <c r="M552" t="s">
        <v>4000</v>
      </c>
      <c r="N552">
        <v>5.5</v>
      </c>
      <c r="O552">
        <v>5.5</v>
      </c>
      <c r="P552" s="6">
        <v>42035.818124999998</v>
      </c>
      <c r="Q552" t="s">
        <v>3896</v>
      </c>
      <c r="R552" t="s">
        <v>11563</v>
      </c>
      <c r="S552" t="s">
        <v>2587</v>
      </c>
      <c r="T552">
        <v>2</v>
      </c>
      <c r="X552" t="b">
        <v>1</v>
      </c>
      <c r="Y552" s="6">
        <v>42037.431944444441</v>
      </c>
    </row>
    <row r="553" spans="1:25" x14ac:dyDescent="0.25">
      <c r="A553" t="s">
        <v>13142</v>
      </c>
      <c r="B553" t="s">
        <v>13143</v>
      </c>
      <c r="C553">
        <v>8.16</v>
      </c>
      <c r="D553" t="s">
        <v>2230</v>
      </c>
      <c r="E553" t="s">
        <v>3984</v>
      </c>
      <c r="F553" s="18">
        <v>42005</v>
      </c>
      <c r="G553" s="18">
        <v>42021</v>
      </c>
      <c r="H553" s="18" t="str">
        <f>IFERROR(INDEX('Docs Signed Input'!B:B,MATCH('Nate''s Evolution'!$B553,'Docs Signed Input'!E:E,0)),"N")</f>
        <v>N</v>
      </c>
      <c r="I553" s="18" t="str">
        <f>IFERROR(INDEX('Docs Signed Input'!C:C,MATCH('Nate''s Evolution'!B553,'Docs Signed Input'!E:E,0)),"N")</f>
        <v>N</v>
      </c>
      <c r="L553" t="s">
        <v>2258</v>
      </c>
      <c r="M553" t="s">
        <v>3948</v>
      </c>
      <c r="N553">
        <v>8.16</v>
      </c>
      <c r="O553">
        <v>8.16</v>
      </c>
      <c r="P553" s="6">
        <v>42032.356053240743</v>
      </c>
      <c r="Q553" t="s">
        <v>3896</v>
      </c>
      <c r="R553" t="s">
        <v>11563</v>
      </c>
      <c r="S553" t="s">
        <v>3766</v>
      </c>
      <c r="T553">
        <v>5</v>
      </c>
      <c r="U553" t="b">
        <v>1</v>
      </c>
      <c r="Y553" s="6">
        <v>42037.431944444441</v>
      </c>
    </row>
    <row r="554" spans="1:25" x14ac:dyDescent="0.25">
      <c r="A554" t="s">
        <v>13173</v>
      </c>
      <c r="B554" t="s">
        <v>13174</v>
      </c>
      <c r="C554">
        <v>11.73</v>
      </c>
      <c r="D554" t="s">
        <v>3893</v>
      </c>
      <c r="E554" t="s">
        <v>3989</v>
      </c>
      <c r="F554" s="18">
        <v>42005</v>
      </c>
      <c r="G554" s="18">
        <v>42021</v>
      </c>
      <c r="H554" s="18" t="str">
        <f>IFERROR(INDEX('Docs Signed Input'!B:B,MATCH('Nate''s Evolution'!$B554,'Docs Signed Input'!E:E,0)),"N")</f>
        <v>N</v>
      </c>
      <c r="I554" s="18" t="str">
        <f>IFERROR(INDEX('Docs Signed Input'!C:C,MATCH('Nate''s Evolution'!B554,'Docs Signed Input'!E:E,0)),"N")</f>
        <v>N</v>
      </c>
      <c r="L554" t="s">
        <v>2258</v>
      </c>
      <c r="M554" t="s">
        <v>4317</v>
      </c>
      <c r="N554">
        <v>11.73</v>
      </c>
      <c r="O554">
        <v>11.73</v>
      </c>
      <c r="P554" s="6">
        <v>42035.818124999998</v>
      </c>
      <c r="Q554" t="s">
        <v>3896</v>
      </c>
      <c r="R554" t="s">
        <v>11563</v>
      </c>
      <c r="S554" t="s">
        <v>3501</v>
      </c>
      <c r="T554">
        <v>2</v>
      </c>
      <c r="X554" t="b">
        <v>1</v>
      </c>
      <c r="Y554" s="6">
        <v>42037.431944444441</v>
      </c>
    </row>
    <row r="555" spans="1:25" x14ac:dyDescent="0.25">
      <c r="A555" t="s">
        <v>13190</v>
      </c>
      <c r="B555" t="s">
        <v>13191</v>
      </c>
      <c r="C555">
        <v>6.12</v>
      </c>
      <c r="D555" t="s">
        <v>3893</v>
      </c>
      <c r="E555" t="s">
        <v>3894</v>
      </c>
      <c r="F555" s="18">
        <v>42005</v>
      </c>
      <c r="G555" s="18">
        <v>42021</v>
      </c>
      <c r="H555" s="18" t="str">
        <f>IFERROR(INDEX('Docs Signed Input'!B:B,MATCH('Nate''s Evolution'!$B555,'Docs Signed Input'!E:E,0)),"N")</f>
        <v>N</v>
      </c>
      <c r="I555" s="18" t="str">
        <f>IFERROR(INDEX('Docs Signed Input'!C:C,MATCH('Nate''s Evolution'!B555,'Docs Signed Input'!E:E,0)),"N")</f>
        <v>Y</v>
      </c>
      <c r="J555" s="18">
        <v>42027</v>
      </c>
      <c r="L555" t="s">
        <v>2258</v>
      </c>
      <c r="M555" t="s">
        <v>3933</v>
      </c>
      <c r="N555">
        <v>6.12</v>
      </c>
      <c r="O555">
        <v>6.12</v>
      </c>
      <c r="P555" s="6">
        <v>42035.818124999998</v>
      </c>
      <c r="Q555" t="s">
        <v>3896</v>
      </c>
      <c r="R555" t="s">
        <v>3918</v>
      </c>
      <c r="S555" t="s">
        <v>12565</v>
      </c>
      <c r="T555">
        <v>2</v>
      </c>
      <c r="X555" t="b">
        <v>1</v>
      </c>
      <c r="Y555" s="6">
        <v>42037.431944444441</v>
      </c>
    </row>
    <row r="556" spans="1:25" x14ac:dyDescent="0.25">
      <c r="A556" t="s">
        <v>13204</v>
      </c>
      <c r="B556" t="s">
        <v>13205</v>
      </c>
      <c r="C556">
        <v>2.2949999999999999</v>
      </c>
      <c r="D556" t="s">
        <v>3893</v>
      </c>
      <c r="E556" t="s">
        <v>3894</v>
      </c>
      <c r="F556" s="18">
        <v>42005</v>
      </c>
      <c r="G556" s="18">
        <v>42021</v>
      </c>
      <c r="H556" s="18" t="str">
        <f>IFERROR(INDEX('Docs Signed Input'!B:B,MATCH('Nate''s Evolution'!$B556,'Docs Signed Input'!E:E,0)),"N")</f>
        <v>Y</v>
      </c>
      <c r="I556" s="18" t="str">
        <f>IFERROR(INDEX('Docs Signed Input'!C:C,MATCH('Nate''s Evolution'!B556,'Docs Signed Input'!E:E,0)),"N")</f>
        <v>N</v>
      </c>
      <c r="L556" t="s">
        <v>2258</v>
      </c>
      <c r="M556" t="s">
        <v>3933</v>
      </c>
      <c r="N556">
        <v>2.2949999999999999</v>
      </c>
      <c r="O556">
        <v>4.59</v>
      </c>
      <c r="P556" s="6">
        <v>42036.818182870367</v>
      </c>
      <c r="Q556" t="s">
        <v>3896</v>
      </c>
      <c r="S556" t="s">
        <v>12565</v>
      </c>
      <c r="T556">
        <v>1</v>
      </c>
      <c r="X556" t="b">
        <v>1</v>
      </c>
      <c r="Y556" s="6">
        <v>42037.431944444441</v>
      </c>
    </row>
    <row r="557" spans="1:25" x14ac:dyDescent="0.25">
      <c r="A557" t="s">
        <v>13224</v>
      </c>
      <c r="B557" t="s">
        <v>13225</v>
      </c>
      <c r="C557">
        <v>8.67</v>
      </c>
      <c r="D557" t="s">
        <v>3909</v>
      </c>
      <c r="E557" t="s">
        <v>3937</v>
      </c>
      <c r="F557" s="18">
        <v>42005</v>
      </c>
      <c r="G557" s="18">
        <v>42021</v>
      </c>
      <c r="H557" s="18" t="str">
        <f>IFERROR(INDEX('Docs Signed Input'!B:B,MATCH('Nate''s Evolution'!$B557,'Docs Signed Input'!E:E,0)),"N")</f>
        <v>N</v>
      </c>
      <c r="I557" s="18" t="str">
        <f>IFERROR(INDEX('Docs Signed Input'!C:C,MATCH('Nate''s Evolution'!B557,'Docs Signed Input'!E:E,0)),"N")</f>
        <v>N</v>
      </c>
      <c r="L557" t="s">
        <v>2258</v>
      </c>
      <c r="M557" t="s">
        <v>3933</v>
      </c>
      <c r="N557">
        <v>8.67</v>
      </c>
      <c r="O557">
        <v>8.67</v>
      </c>
      <c r="P557" s="6">
        <v>42030.582604166666</v>
      </c>
      <c r="Q557" t="s">
        <v>3896</v>
      </c>
      <c r="R557" t="s">
        <v>11563</v>
      </c>
      <c r="S557" t="s">
        <v>12205</v>
      </c>
      <c r="T557">
        <v>7</v>
      </c>
      <c r="V557" t="b">
        <v>1</v>
      </c>
      <c r="Y557" s="6">
        <v>42037.431944444441</v>
      </c>
    </row>
    <row r="558" spans="1:25" x14ac:dyDescent="0.25">
      <c r="A558" t="s">
        <v>13231</v>
      </c>
      <c r="B558" t="s">
        <v>13232</v>
      </c>
      <c r="C558">
        <v>10.965</v>
      </c>
      <c r="D558" t="s">
        <v>3893</v>
      </c>
      <c r="E558" t="s">
        <v>3989</v>
      </c>
      <c r="F558" s="18">
        <v>42005</v>
      </c>
      <c r="G558" s="18">
        <v>42021</v>
      </c>
      <c r="H558" s="18" t="str">
        <f>IFERROR(INDEX('Docs Signed Input'!B:B,MATCH('Nate''s Evolution'!$B558,'Docs Signed Input'!E:E,0)),"N")</f>
        <v>N</v>
      </c>
      <c r="I558" s="18" t="str">
        <f>IFERROR(INDEX('Docs Signed Input'!C:C,MATCH('Nate''s Evolution'!B558,'Docs Signed Input'!E:E,0)),"N")</f>
        <v>N</v>
      </c>
      <c r="L558" t="s">
        <v>2258</v>
      </c>
      <c r="M558" t="s">
        <v>3933</v>
      </c>
      <c r="N558">
        <v>10.965</v>
      </c>
      <c r="O558">
        <v>10.965</v>
      </c>
      <c r="P558" s="6">
        <v>42035.818124999998</v>
      </c>
      <c r="Q558" t="s">
        <v>3896</v>
      </c>
      <c r="R558" t="s">
        <v>11563</v>
      </c>
      <c r="S558" t="s">
        <v>11497</v>
      </c>
      <c r="T558">
        <v>2</v>
      </c>
      <c r="X558" t="b">
        <v>1</v>
      </c>
      <c r="Y558" s="6">
        <v>42037.431944444441</v>
      </c>
    </row>
    <row r="559" spans="1:25" x14ac:dyDescent="0.25">
      <c r="A559" t="s">
        <v>13242</v>
      </c>
      <c r="B559" t="s">
        <v>13243</v>
      </c>
      <c r="C559">
        <v>4.16</v>
      </c>
      <c r="D559" t="s">
        <v>3893</v>
      </c>
      <c r="E559" t="s">
        <v>4117</v>
      </c>
      <c r="F559" s="18">
        <v>42005</v>
      </c>
      <c r="G559" s="18">
        <v>42021</v>
      </c>
      <c r="H559" s="18" t="str">
        <f>IFERROR(INDEX('Docs Signed Input'!B:B,MATCH('Nate''s Evolution'!$B559,'Docs Signed Input'!E:E,0)),"N")</f>
        <v>Y</v>
      </c>
      <c r="I559" s="18" t="str">
        <f>IFERROR(INDEX('Docs Signed Input'!C:C,MATCH('Nate''s Evolution'!B559,'Docs Signed Input'!E:E,0)),"N")</f>
        <v>N</v>
      </c>
      <c r="L559" t="s">
        <v>2258</v>
      </c>
      <c r="M559" t="s">
        <v>10253</v>
      </c>
      <c r="N559">
        <v>4.16</v>
      </c>
      <c r="O559">
        <v>4.16</v>
      </c>
      <c r="P559" s="6">
        <v>42035.818124999998</v>
      </c>
      <c r="Q559" t="s">
        <v>3896</v>
      </c>
      <c r="R559" t="s">
        <v>10312</v>
      </c>
      <c r="S559" t="s">
        <v>11505</v>
      </c>
      <c r="T559">
        <v>2</v>
      </c>
      <c r="X559" t="b">
        <v>1</v>
      </c>
      <c r="Y559" s="6">
        <v>42037.431944444441</v>
      </c>
    </row>
    <row r="560" spans="1:25" x14ac:dyDescent="0.25">
      <c r="A560" t="s">
        <v>13249</v>
      </c>
      <c r="B560" t="s">
        <v>13065</v>
      </c>
      <c r="C560">
        <v>10.5</v>
      </c>
      <c r="D560" t="s">
        <v>3893</v>
      </c>
      <c r="E560" t="s">
        <v>3925</v>
      </c>
      <c r="F560" s="18">
        <v>42005</v>
      </c>
      <c r="G560" s="18">
        <v>42021</v>
      </c>
      <c r="H560" s="18" t="str">
        <f>IFERROR(INDEX('Docs Signed Input'!B:B,MATCH('Nate''s Evolution'!$B560,'Docs Signed Input'!E:E,0)),"N")</f>
        <v>Y</v>
      </c>
      <c r="I560" s="18" t="str">
        <f>IFERROR(INDEX('Docs Signed Input'!C:C,MATCH('Nate''s Evolution'!B560,'Docs Signed Input'!E:E,0)),"N")</f>
        <v>N</v>
      </c>
      <c r="J560" s="18">
        <v>42031</v>
      </c>
      <c r="L560" t="s">
        <v>2258</v>
      </c>
      <c r="M560" t="s">
        <v>3902</v>
      </c>
      <c r="N560">
        <v>10.5</v>
      </c>
      <c r="O560">
        <v>11</v>
      </c>
      <c r="P560" s="6">
        <v>42035.818124999998</v>
      </c>
      <c r="Q560" t="s">
        <v>3896</v>
      </c>
      <c r="R560" t="s">
        <v>3921</v>
      </c>
      <c r="S560" t="s">
        <v>2341</v>
      </c>
      <c r="T560">
        <v>2</v>
      </c>
      <c r="X560" t="b">
        <v>1</v>
      </c>
      <c r="Y560" s="6">
        <v>42037.431944444441</v>
      </c>
    </row>
    <row r="561" spans="1:25" x14ac:dyDescent="0.25">
      <c r="A561" t="s">
        <v>13272</v>
      </c>
      <c r="B561" t="s">
        <v>13072</v>
      </c>
      <c r="C561">
        <v>14.025</v>
      </c>
      <c r="D561" t="s">
        <v>3893</v>
      </c>
      <c r="E561" t="s">
        <v>3989</v>
      </c>
      <c r="F561" s="18">
        <v>42005</v>
      </c>
      <c r="G561" s="18">
        <v>42021</v>
      </c>
      <c r="H561" s="18" t="str">
        <f>IFERROR(INDEX('Docs Signed Input'!B:B,MATCH('Nate''s Evolution'!$B561,'Docs Signed Input'!E:E,0)),"N")</f>
        <v>N</v>
      </c>
      <c r="I561" s="18" t="str">
        <f>IFERROR(INDEX('Docs Signed Input'!C:C,MATCH('Nate''s Evolution'!B561,'Docs Signed Input'!E:E,0)),"N")</f>
        <v>N</v>
      </c>
      <c r="L561" t="s">
        <v>2258</v>
      </c>
      <c r="M561" t="s">
        <v>12976</v>
      </c>
      <c r="N561">
        <v>14.025</v>
      </c>
      <c r="O561">
        <v>14.025</v>
      </c>
      <c r="P561" s="6">
        <v>42035.818124999998</v>
      </c>
      <c r="Q561" t="s">
        <v>3896</v>
      </c>
      <c r="R561" t="s">
        <v>3921</v>
      </c>
      <c r="S561" t="s">
        <v>3943</v>
      </c>
      <c r="T561">
        <v>2</v>
      </c>
      <c r="X561" t="b">
        <v>1</v>
      </c>
      <c r="Y561" s="6">
        <v>42037.431944444441</v>
      </c>
    </row>
    <row r="562" spans="1:25" x14ac:dyDescent="0.25">
      <c r="A562" t="s">
        <v>13273</v>
      </c>
      <c r="B562" t="s">
        <v>13274</v>
      </c>
      <c r="C562">
        <v>8.16</v>
      </c>
      <c r="D562" t="s">
        <v>2230</v>
      </c>
      <c r="E562" t="s">
        <v>3984</v>
      </c>
      <c r="F562" s="18">
        <v>42005</v>
      </c>
      <c r="G562" s="18">
        <v>42021</v>
      </c>
      <c r="H562" s="18" t="str">
        <f>IFERROR(INDEX('Docs Signed Input'!B:B,MATCH('Nate''s Evolution'!$B562,'Docs Signed Input'!E:E,0)),"N")</f>
        <v>Y</v>
      </c>
      <c r="I562" s="18" t="str">
        <f>IFERROR(INDEX('Docs Signed Input'!C:C,MATCH('Nate''s Evolution'!B562,'Docs Signed Input'!E:E,0)),"N")</f>
        <v>N</v>
      </c>
      <c r="L562" t="s">
        <v>2258</v>
      </c>
      <c r="M562" t="s">
        <v>4032</v>
      </c>
      <c r="N562">
        <v>8.16</v>
      </c>
      <c r="O562">
        <v>9.18</v>
      </c>
      <c r="P562" s="6">
        <v>42031.81827546296</v>
      </c>
      <c r="Q562" t="s">
        <v>3896</v>
      </c>
      <c r="R562" t="s">
        <v>5861</v>
      </c>
      <c r="S562" t="s">
        <v>12492</v>
      </c>
      <c r="T562">
        <v>6</v>
      </c>
      <c r="U562" t="b">
        <v>1</v>
      </c>
      <c r="Y562" s="6">
        <v>42037.431944444441</v>
      </c>
    </row>
    <row r="563" spans="1:25" x14ac:dyDescent="0.25">
      <c r="A563" t="s">
        <v>13315</v>
      </c>
      <c r="B563" t="s">
        <v>13316</v>
      </c>
      <c r="C563">
        <v>8.32</v>
      </c>
      <c r="D563" t="s">
        <v>3893</v>
      </c>
      <c r="E563" t="s">
        <v>3894</v>
      </c>
      <c r="F563" s="18">
        <v>42005</v>
      </c>
      <c r="G563" s="18">
        <v>42021</v>
      </c>
      <c r="H563" s="18" t="str">
        <f>IFERROR(INDEX('Docs Signed Input'!B:B,MATCH('Nate''s Evolution'!$B563,'Docs Signed Input'!E:E,0)),"N")</f>
        <v>N</v>
      </c>
      <c r="I563" s="18" t="str">
        <f>IFERROR(INDEX('Docs Signed Input'!C:C,MATCH('Nate''s Evolution'!B563,'Docs Signed Input'!E:E,0)),"N")</f>
        <v>Y</v>
      </c>
      <c r="J563" s="18">
        <v>42030</v>
      </c>
      <c r="L563" t="s">
        <v>2258</v>
      </c>
      <c r="M563" t="s">
        <v>4048</v>
      </c>
      <c r="N563">
        <v>8.32</v>
      </c>
      <c r="O563">
        <v>8.84</v>
      </c>
      <c r="P563" s="6">
        <v>42035.818124999998</v>
      </c>
      <c r="Q563" t="s">
        <v>3896</v>
      </c>
      <c r="R563" t="s">
        <v>11563</v>
      </c>
      <c r="S563" t="s">
        <v>3581</v>
      </c>
      <c r="T563">
        <v>2</v>
      </c>
      <c r="X563" t="b">
        <v>1</v>
      </c>
      <c r="Y563" s="6">
        <v>42037.431944444441</v>
      </c>
    </row>
    <row r="564" spans="1:25" x14ac:dyDescent="0.25">
      <c r="A564" t="s">
        <v>13321</v>
      </c>
      <c r="B564" t="s">
        <v>13322</v>
      </c>
      <c r="C564">
        <v>8.16</v>
      </c>
      <c r="D564" t="s">
        <v>3893</v>
      </c>
      <c r="E564" t="s">
        <v>3894</v>
      </c>
      <c r="F564" s="18">
        <v>42005</v>
      </c>
      <c r="G564" s="18">
        <v>42021</v>
      </c>
      <c r="H564" s="18" t="str">
        <f>IFERROR(INDEX('Docs Signed Input'!B:B,MATCH('Nate''s Evolution'!$B564,'Docs Signed Input'!E:E,0)),"N")</f>
        <v>N</v>
      </c>
      <c r="I564" s="18" t="str">
        <f>IFERROR(INDEX('Docs Signed Input'!C:C,MATCH('Nate''s Evolution'!B564,'Docs Signed Input'!E:E,0)),"N")</f>
        <v>N</v>
      </c>
      <c r="L564" t="s">
        <v>2258</v>
      </c>
      <c r="M564" t="s">
        <v>3933</v>
      </c>
      <c r="N564">
        <v>8.16</v>
      </c>
      <c r="O564">
        <v>9.9450000000000003</v>
      </c>
      <c r="P564" s="6">
        <v>42035.818124999998</v>
      </c>
      <c r="Q564" t="s">
        <v>3896</v>
      </c>
      <c r="R564" t="s">
        <v>5107</v>
      </c>
      <c r="S564" t="s">
        <v>12565</v>
      </c>
      <c r="T564">
        <v>2</v>
      </c>
      <c r="X564" t="b">
        <v>1</v>
      </c>
      <c r="Y564" s="6">
        <v>42037.431944444441</v>
      </c>
    </row>
    <row r="565" spans="1:25" x14ac:dyDescent="0.25">
      <c r="A565" t="s">
        <v>13325</v>
      </c>
      <c r="B565" t="s">
        <v>13074</v>
      </c>
      <c r="C565">
        <v>7.75</v>
      </c>
      <c r="D565" t="s">
        <v>3893</v>
      </c>
      <c r="E565" t="s">
        <v>4117</v>
      </c>
      <c r="F565" s="18">
        <v>42005</v>
      </c>
      <c r="G565" s="18">
        <v>42021</v>
      </c>
      <c r="H565" s="18" t="str">
        <f>IFERROR(INDEX('Docs Signed Input'!B:B,MATCH('Nate''s Evolution'!$B565,'Docs Signed Input'!E:E,0)),"N")</f>
        <v>N</v>
      </c>
      <c r="I565" s="18" t="str">
        <f>IFERROR(INDEX('Docs Signed Input'!C:C,MATCH('Nate''s Evolution'!B565,'Docs Signed Input'!E:E,0)),"N")</f>
        <v>N</v>
      </c>
      <c r="L565" t="s">
        <v>2258</v>
      </c>
      <c r="M565" t="s">
        <v>3895</v>
      </c>
      <c r="N565">
        <v>7.75</v>
      </c>
      <c r="O565">
        <v>7.75</v>
      </c>
      <c r="P565" s="6">
        <v>42035.818124999998</v>
      </c>
      <c r="Q565" t="s">
        <v>3896</v>
      </c>
      <c r="R565" t="s">
        <v>3911</v>
      </c>
      <c r="S565" t="s">
        <v>2317</v>
      </c>
      <c r="T565">
        <v>2</v>
      </c>
      <c r="X565" t="b">
        <v>1</v>
      </c>
      <c r="Y565" s="6">
        <v>42037.431944444441</v>
      </c>
    </row>
    <row r="566" spans="1:25" x14ac:dyDescent="0.25">
      <c r="A566" t="s">
        <v>13332</v>
      </c>
      <c r="B566" t="s">
        <v>13070</v>
      </c>
      <c r="C566">
        <v>9.5</v>
      </c>
      <c r="D566" t="s">
        <v>3893</v>
      </c>
      <c r="E566" t="s">
        <v>3894</v>
      </c>
      <c r="F566" s="18">
        <v>42005</v>
      </c>
      <c r="G566" s="18">
        <v>42021</v>
      </c>
      <c r="H566" s="18" t="str">
        <f>IFERROR(INDEX('Docs Signed Input'!B:B,MATCH('Nate''s Evolution'!$B566,'Docs Signed Input'!E:E,0)),"N")</f>
        <v>N</v>
      </c>
      <c r="I566" s="18" t="str">
        <f>IFERROR(INDEX('Docs Signed Input'!C:C,MATCH('Nate''s Evolution'!B566,'Docs Signed Input'!E:E,0)),"N")</f>
        <v>N</v>
      </c>
      <c r="L566" t="s">
        <v>2258</v>
      </c>
      <c r="M566" t="s">
        <v>3926</v>
      </c>
      <c r="N566">
        <v>9.5</v>
      </c>
      <c r="O566">
        <v>9.75</v>
      </c>
      <c r="P566" s="6">
        <v>42035.818124999998</v>
      </c>
      <c r="Q566" t="s">
        <v>3896</v>
      </c>
      <c r="R566" t="s">
        <v>11563</v>
      </c>
      <c r="S566" t="s">
        <v>2680</v>
      </c>
      <c r="T566">
        <v>2</v>
      </c>
      <c r="X566" t="b">
        <v>1</v>
      </c>
      <c r="Y566" s="6">
        <v>42037.431944444441</v>
      </c>
    </row>
    <row r="567" spans="1:25" x14ac:dyDescent="0.25">
      <c r="A567" t="s">
        <v>13335</v>
      </c>
      <c r="B567" t="s">
        <v>13336</v>
      </c>
      <c r="C567">
        <v>3.06</v>
      </c>
      <c r="D567" t="s">
        <v>3893</v>
      </c>
      <c r="E567" t="s">
        <v>4117</v>
      </c>
      <c r="F567" s="18">
        <v>42005</v>
      </c>
      <c r="G567" s="18">
        <v>42021</v>
      </c>
      <c r="H567" s="18" t="str">
        <f>IFERROR(INDEX('Docs Signed Input'!B:B,MATCH('Nate''s Evolution'!$B567,'Docs Signed Input'!E:E,0)),"N")</f>
        <v>N</v>
      </c>
      <c r="I567" s="18" t="str">
        <f>IFERROR(INDEX('Docs Signed Input'!C:C,MATCH('Nate''s Evolution'!B567,'Docs Signed Input'!E:E,0)),"N")</f>
        <v>N</v>
      </c>
      <c r="L567" t="s">
        <v>2258</v>
      </c>
      <c r="M567" t="s">
        <v>3933</v>
      </c>
      <c r="N567">
        <v>3.06</v>
      </c>
      <c r="O567">
        <v>3.06</v>
      </c>
      <c r="P567" s="6">
        <v>42036.818182870367</v>
      </c>
      <c r="Q567" t="s">
        <v>3896</v>
      </c>
      <c r="R567" t="s">
        <v>11563</v>
      </c>
      <c r="S567" t="s">
        <v>12565</v>
      </c>
      <c r="T567">
        <v>1</v>
      </c>
      <c r="X567" t="b">
        <v>1</v>
      </c>
      <c r="Y567" s="6">
        <v>42037.431944444441</v>
      </c>
    </row>
    <row r="568" spans="1:25" x14ac:dyDescent="0.25">
      <c r="A568" t="s">
        <v>13343</v>
      </c>
      <c r="B568" t="s">
        <v>13344</v>
      </c>
      <c r="C568">
        <v>14.025</v>
      </c>
      <c r="D568" t="s">
        <v>3893</v>
      </c>
      <c r="E568" t="s">
        <v>3941</v>
      </c>
      <c r="F568" s="18">
        <v>42005</v>
      </c>
      <c r="G568" s="18">
        <v>42021</v>
      </c>
      <c r="H568" s="18" t="str">
        <f>IFERROR(INDEX('Docs Signed Input'!B:B,MATCH('Nate''s Evolution'!$B568,'Docs Signed Input'!E:E,0)),"N")</f>
        <v>N</v>
      </c>
      <c r="I568" s="18" t="str">
        <f>IFERROR(INDEX('Docs Signed Input'!C:C,MATCH('Nate''s Evolution'!B568,'Docs Signed Input'!E:E,0)),"N")</f>
        <v>N</v>
      </c>
      <c r="L568" t="s">
        <v>2258</v>
      </c>
      <c r="M568" t="s">
        <v>4317</v>
      </c>
      <c r="N568">
        <v>14.025</v>
      </c>
      <c r="O568">
        <v>14.025</v>
      </c>
      <c r="P568" s="6">
        <v>42035.818124999998</v>
      </c>
      <c r="Q568" t="s">
        <v>3896</v>
      </c>
      <c r="R568" t="s">
        <v>3918</v>
      </c>
      <c r="S568" t="s">
        <v>3566</v>
      </c>
      <c r="T568">
        <v>2</v>
      </c>
      <c r="X568" t="b">
        <v>1</v>
      </c>
      <c r="Y568" s="6">
        <v>42037.431944444441</v>
      </c>
    </row>
    <row r="569" spans="1:25" x14ac:dyDescent="0.25">
      <c r="A569" t="s">
        <v>13357</v>
      </c>
      <c r="B569" t="s">
        <v>13358</v>
      </c>
      <c r="C569">
        <v>8.75</v>
      </c>
      <c r="D569" t="s">
        <v>3893</v>
      </c>
      <c r="E569" t="s">
        <v>3894</v>
      </c>
      <c r="F569" s="18">
        <v>42005</v>
      </c>
      <c r="G569" s="18">
        <v>42021</v>
      </c>
      <c r="H569" s="18" t="str">
        <f>IFERROR(INDEX('Docs Signed Input'!B:B,MATCH('Nate''s Evolution'!$B569,'Docs Signed Input'!E:E,0)),"N")</f>
        <v>N</v>
      </c>
      <c r="I569" s="18" t="str">
        <f>IFERROR(INDEX('Docs Signed Input'!C:C,MATCH('Nate''s Evolution'!B569,'Docs Signed Input'!E:E,0)),"N")</f>
        <v>N</v>
      </c>
      <c r="L569" t="s">
        <v>2258</v>
      </c>
      <c r="M569" t="s">
        <v>3917</v>
      </c>
      <c r="N569">
        <v>8.5</v>
      </c>
      <c r="O569">
        <v>8.75</v>
      </c>
      <c r="P569" s="6">
        <v>42036.818182870367</v>
      </c>
      <c r="Q569" t="s">
        <v>3896</v>
      </c>
      <c r="R569" t="s">
        <v>4222</v>
      </c>
      <c r="S569" t="s">
        <v>2277</v>
      </c>
      <c r="T569">
        <v>1</v>
      </c>
      <c r="X569" t="b">
        <v>1</v>
      </c>
      <c r="Y569" s="6">
        <v>42037.431944444441</v>
      </c>
    </row>
    <row r="570" spans="1:25" x14ac:dyDescent="0.25">
      <c r="A570" t="s">
        <v>13363</v>
      </c>
      <c r="B570" t="s">
        <v>12915</v>
      </c>
      <c r="C570">
        <v>11.25</v>
      </c>
      <c r="D570" t="s">
        <v>3893</v>
      </c>
      <c r="E570" t="s">
        <v>3989</v>
      </c>
      <c r="F570" s="18">
        <v>42005</v>
      </c>
      <c r="G570" s="18">
        <v>42021</v>
      </c>
      <c r="H570" s="18" t="str">
        <f>IFERROR(INDEX('Docs Signed Input'!B:B,MATCH('Nate''s Evolution'!$B570,'Docs Signed Input'!E:E,0)),"N")</f>
        <v>N</v>
      </c>
      <c r="I570" s="18" t="str">
        <f>IFERROR(INDEX('Docs Signed Input'!C:C,MATCH('Nate''s Evolution'!B570,'Docs Signed Input'!E:E,0)),"N")</f>
        <v>N</v>
      </c>
      <c r="L570" t="s">
        <v>2258</v>
      </c>
      <c r="M570" t="s">
        <v>12976</v>
      </c>
      <c r="N570">
        <v>11.25</v>
      </c>
      <c r="O570">
        <v>11.25</v>
      </c>
      <c r="P570" s="6">
        <v>42035.818124999998</v>
      </c>
      <c r="Q570" t="s">
        <v>3896</v>
      </c>
      <c r="R570" t="s">
        <v>3911</v>
      </c>
      <c r="S570" t="s">
        <v>3438</v>
      </c>
      <c r="T570">
        <v>2</v>
      </c>
      <c r="X570" t="b">
        <v>1</v>
      </c>
      <c r="Y570" s="6">
        <v>42037.431944444441</v>
      </c>
    </row>
    <row r="571" spans="1:25" x14ac:dyDescent="0.25">
      <c r="A571" t="s">
        <v>12977</v>
      </c>
      <c r="B571" t="s">
        <v>12916</v>
      </c>
      <c r="C571">
        <v>14.5</v>
      </c>
      <c r="D571" t="s">
        <v>3922</v>
      </c>
      <c r="E571" t="s">
        <v>3951</v>
      </c>
      <c r="F571" s="18">
        <v>42005</v>
      </c>
      <c r="G571" s="18">
        <v>42021</v>
      </c>
      <c r="H571" s="18" t="str">
        <f>IFERROR(INDEX('Docs Signed Input'!B:B,MATCH('Nate''s Evolution'!$B571,'Docs Signed Input'!E:E,0)),"N")</f>
        <v>N</v>
      </c>
      <c r="I571" s="18" t="str">
        <f>IFERROR(INDEX('Docs Signed Input'!C:C,MATCH('Nate''s Evolution'!B571,'Docs Signed Input'!E:E,0)),"N")</f>
        <v>N</v>
      </c>
      <c r="J571" s="18">
        <v>42030</v>
      </c>
      <c r="K571" s="18">
        <v>42040</v>
      </c>
      <c r="L571" t="s">
        <v>2258</v>
      </c>
      <c r="M571" t="s">
        <v>3902</v>
      </c>
      <c r="N571">
        <v>14.5</v>
      </c>
      <c r="O571">
        <v>14.5</v>
      </c>
      <c r="P571" s="6">
        <v>42031.426458333335</v>
      </c>
      <c r="Q571" t="s">
        <v>3896</v>
      </c>
      <c r="R571" t="s">
        <v>11563</v>
      </c>
      <c r="S571" t="s">
        <v>4991</v>
      </c>
      <c r="T571">
        <v>6</v>
      </c>
      <c r="X571" t="b">
        <v>1</v>
      </c>
      <c r="Y571" s="6">
        <v>42037.431944444441</v>
      </c>
    </row>
    <row r="572" spans="1:25" x14ac:dyDescent="0.25">
      <c r="A572" t="s">
        <v>13368</v>
      </c>
      <c r="B572" t="s">
        <v>13369</v>
      </c>
      <c r="C572">
        <v>7.9050000000000002</v>
      </c>
      <c r="D572" t="s">
        <v>3893</v>
      </c>
      <c r="E572" t="s">
        <v>4060</v>
      </c>
      <c r="F572" s="18">
        <v>42005</v>
      </c>
      <c r="G572" s="18">
        <v>42021</v>
      </c>
      <c r="H572" s="18" t="str">
        <f>IFERROR(INDEX('Docs Signed Input'!B:B,MATCH('Nate''s Evolution'!$B572,'Docs Signed Input'!E:E,0)),"N")</f>
        <v>N</v>
      </c>
      <c r="I572" s="18" t="str">
        <f>IFERROR(INDEX('Docs Signed Input'!C:C,MATCH('Nate''s Evolution'!B572,'Docs Signed Input'!E:E,0)),"N")</f>
        <v>N</v>
      </c>
      <c r="L572" t="s">
        <v>2258</v>
      </c>
      <c r="M572" t="s">
        <v>4179</v>
      </c>
      <c r="N572">
        <v>6.8849999999999998</v>
      </c>
      <c r="O572">
        <v>7.9050000000000002</v>
      </c>
      <c r="P572" s="6">
        <v>42035.818124999998</v>
      </c>
      <c r="Q572" t="s">
        <v>3896</v>
      </c>
      <c r="R572" t="s">
        <v>11563</v>
      </c>
      <c r="S572" t="s">
        <v>12821</v>
      </c>
      <c r="T572">
        <v>2</v>
      </c>
      <c r="X572" t="b">
        <v>1</v>
      </c>
      <c r="Y572" s="6">
        <v>42037.431944444441</v>
      </c>
    </row>
    <row r="573" spans="1:25" x14ac:dyDescent="0.25">
      <c r="A573" t="s">
        <v>13239</v>
      </c>
      <c r="B573" t="s">
        <v>13076</v>
      </c>
      <c r="C573">
        <v>8.5</v>
      </c>
      <c r="D573" t="s">
        <v>3893</v>
      </c>
      <c r="E573" t="s">
        <v>3894</v>
      </c>
      <c r="F573" s="18">
        <v>42005</v>
      </c>
      <c r="G573" s="18">
        <v>42022</v>
      </c>
      <c r="H573" s="18" t="str">
        <f>IFERROR(INDEX('Docs Signed Input'!B:B,MATCH('Nate''s Evolution'!$B573,'Docs Signed Input'!E:E,0)),"N")</f>
        <v>N</v>
      </c>
      <c r="I573" s="18" t="str">
        <f>IFERROR(INDEX('Docs Signed Input'!C:C,MATCH('Nate''s Evolution'!B573,'Docs Signed Input'!E:E,0)),"N")</f>
        <v>N</v>
      </c>
      <c r="J573" s="18">
        <v>42033</v>
      </c>
      <c r="L573" t="s">
        <v>2258</v>
      </c>
      <c r="M573" t="s">
        <v>3926</v>
      </c>
      <c r="N573">
        <v>8.5</v>
      </c>
      <c r="O573">
        <v>9</v>
      </c>
      <c r="P573" s="6">
        <v>42036.625509259262</v>
      </c>
      <c r="Q573" t="s">
        <v>3896</v>
      </c>
      <c r="R573" t="s">
        <v>3918</v>
      </c>
      <c r="S573" t="s">
        <v>2591</v>
      </c>
      <c r="T573">
        <v>1</v>
      </c>
      <c r="X573" t="b">
        <v>1</v>
      </c>
      <c r="Y573" s="6">
        <v>42037.431944444441</v>
      </c>
    </row>
    <row r="574" spans="1:25" x14ac:dyDescent="0.25">
      <c r="A574" t="s">
        <v>13337</v>
      </c>
      <c r="B574" t="s">
        <v>13338</v>
      </c>
      <c r="C574">
        <v>12.494999999999999</v>
      </c>
      <c r="D574" t="s">
        <v>3893</v>
      </c>
      <c r="E574" t="s">
        <v>3989</v>
      </c>
      <c r="F574" s="18">
        <v>42005</v>
      </c>
      <c r="G574" s="18">
        <v>42022</v>
      </c>
      <c r="H574" s="18" t="str">
        <f>IFERROR(INDEX('Docs Signed Input'!B:B,MATCH('Nate''s Evolution'!$B574,'Docs Signed Input'!E:E,0)),"N")</f>
        <v>N</v>
      </c>
      <c r="I574" s="18" t="str">
        <f>IFERROR(INDEX('Docs Signed Input'!C:C,MATCH('Nate''s Evolution'!B574,'Docs Signed Input'!E:E,0)),"N")</f>
        <v>N</v>
      </c>
      <c r="L574" t="s">
        <v>2258</v>
      </c>
      <c r="M574" t="s">
        <v>3933</v>
      </c>
      <c r="N574">
        <v>12.494999999999999</v>
      </c>
      <c r="O574">
        <v>12.494999999999999</v>
      </c>
      <c r="P574" s="6">
        <v>42035.818124999998</v>
      </c>
      <c r="Q574" t="s">
        <v>3896</v>
      </c>
      <c r="R574" t="s">
        <v>11563</v>
      </c>
      <c r="S574" t="s">
        <v>11497</v>
      </c>
      <c r="T574">
        <v>2</v>
      </c>
      <c r="X574" t="b">
        <v>1</v>
      </c>
      <c r="Y574" s="6">
        <v>42037.431944444441</v>
      </c>
    </row>
    <row r="575" spans="1:25" x14ac:dyDescent="0.25">
      <c r="A575" t="s">
        <v>13359</v>
      </c>
      <c r="B575" t="s">
        <v>13360</v>
      </c>
      <c r="C575">
        <v>6.12</v>
      </c>
      <c r="D575" t="s">
        <v>3893</v>
      </c>
      <c r="E575" t="s">
        <v>3989</v>
      </c>
      <c r="F575" s="18">
        <v>42005</v>
      </c>
      <c r="G575" s="18">
        <v>42022</v>
      </c>
      <c r="H575" s="18" t="str">
        <f>IFERROR(INDEX('Docs Signed Input'!B:B,MATCH('Nate''s Evolution'!$B575,'Docs Signed Input'!E:E,0)),"N")</f>
        <v>N</v>
      </c>
      <c r="I575" s="18" t="str">
        <f>IFERROR(INDEX('Docs Signed Input'!C:C,MATCH('Nate''s Evolution'!B575,'Docs Signed Input'!E:E,0)),"N")</f>
        <v>N</v>
      </c>
      <c r="L575" t="s">
        <v>2258</v>
      </c>
      <c r="M575" t="s">
        <v>4317</v>
      </c>
      <c r="N575">
        <v>6.12</v>
      </c>
      <c r="O575">
        <v>6.12</v>
      </c>
      <c r="P575" s="6">
        <v>42035.818124999998</v>
      </c>
      <c r="Q575" t="s">
        <v>3896</v>
      </c>
      <c r="R575" t="s">
        <v>11563</v>
      </c>
      <c r="S575" t="s">
        <v>3566</v>
      </c>
      <c r="T575">
        <v>2</v>
      </c>
      <c r="X575" t="b">
        <v>1</v>
      </c>
      <c r="Y575" s="6">
        <v>42037.431944444441</v>
      </c>
    </row>
    <row r="576" spans="1:25" x14ac:dyDescent="0.25">
      <c r="A576" t="s">
        <v>13125</v>
      </c>
      <c r="B576" t="s">
        <v>13126</v>
      </c>
      <c r="C576">
        <v>5.8650000000000002</v>
      </c>
      <c r="D576" t="s">
        <v>3893</v>
      </c>
      <c r="E576" t="s">
        <v>3989</v>
      </c>
      <c r="F576" s="18">
        <v>42005</v>
      </c>
      <c r="G576" s="18">
        <v>42023</v>
      </c>
      <c r="H576" s="18" t="str">
        <f>IFERROR(INDEX('Docs Signed Input'!B:B,MATCH('Nate''s Evolution'!$B576,'Docs Signed Input'!E:E,0)),"N")</f>
        <v>N</v>
      </c>
      <c r="I576" s="18" t="str">
        <f>IFERROR(INDEX('Docs Signed Input'!C:C,MATCH('Nate''s Evolution'!B576,'Docs Signed Input'!E:E,0)),"N")</f>
        <v>N</v>
      </c>
      <c r="L576" t="s">
        <v>2258</v>
      </c>
      <c r="M576" t="s">
        <v>4317</v>
      </c>
      <c r="N576">
        <v>5.8650000000000002</v>
      </c>
      <c r="O576">
        <v>5.8650000000000002</v>
      </c>
      <c r="P576" s="6">
        <v>42035.818124999998</v>
      </c>
      <c r="Q576" t="s">
        <v>3896</v>
      </c>
      <c r="R576" t="s">
        <v>11563</v>
      </c>
      <c r="S576" t="s">
        <v>12496</v>
      </c>
      <c r="T576">
        <v>2</v>
      </c>
      <c r="X576" t="b">
        <v>1</v>
      </c>
      <c r="Y576" s="6">
        <v>42037.431944444441</v>
      </c>
    </row>
    <row r="577" spans="1:25" x14ac:dyDescent="0.25">
      <c r="A577" t="s">
        <v>13153</v>
      </c>
      <c r="B577" t="s">
        <v>13154</v>
      </c>
      <c r="C577">
        <v>5</v>
      </c>
      <c r="D577" t="s">
        <v>3893</v>
      </c>
      <c r="E577" t="s">
        <v>3925</v>
      </c>
      <c r="F577" s="18">
        <v>42005</v>
      </c>
      <c r="G577" s="18">
        <v>42023</v>
      </c>
      <c r="H577" s="18" t="str">
        <f>IFERROR(INDEX('Docs Signed Input'!B:B,MATCH('Nate''s Evolution'!$B577,'Docs Signed Input'!E:E,0)),"N")</f>
        <v>N</v>
      </c>
      <c r="I577" s="18" t="str">
        <f>IFERROR(INDEX('Docs Signed Input'!C:C,MATCH('Nate''s Evolution'!B577,'Docs Signed Input'!E:E,0)),"N")</f>
        <v>Y</v>
      </c>
      <c r="J577" s="18">
        <v>42032</v>
      </c>
      <c r="L577" t="s">
        <v>2258</v>
      </c>
      <c r="M577" t="s">
        <v>3926</v>
      </c>
      <c r="N577">
        <v>5</v>
      </c>
      <c r="O577">
        <v>5.5</v>
      </c>
      <c r="P577" s="6">
        <v>42035.818124999998</v>
      </c>
      <c r="Q577" t="s">
        <v>3896</v>
      </c>
      <c r="R577" t="s">
        <v>11563</v>
      </c>
      <c r="S577" t="s">
        <v>3650</v>
      </c>
      <c r="T577">
        <v>2</v>
      </c>
      <c r="X577" t="b">
        <v>1</v>
      </c>
      <c r="Y577" s="6">
        <v>42037.431944444441</v>
      </c>
    </row>
    <row r="578" spans="1:25" x14ac:dyDescent="0.25">
      <c r="A578" t="s">
        <v>13155</v>
      </c>
      <c r="B578" t="s">
        <v>13156</v>
      </c>
      <c r="C578">
        <v>5.8650000000000002</v>
      </c>
      <c r="D578" t="s">
        <v>3893</v>
      </c>
      <c r="E578" t="s">
        <v>4117</v>
      </c>
      <c r="F578" s="18">
        <v>42005</v>
      </c>
      <c r="G578" s="18">
        <v>42023</v>
      </c>
      <c r="H578" s="18" t="str">
        <f>IFERROR(INDEX('Docs Signed Input'!B:B,MATCH('Nate''s Evolution'!$B578,'Docs Signed Input'!E:E,0)),"N")</f>
        <v>N</v>
      </c>
      <c r="I578" s="18" t="str">
        <f>IFERROR(INDEX('Docs Signed Input'!C:C,MATCH('Nate''s Evolution'!B578,'Docs Signed Input'!E:E,0)),"N")</f>
        <v>N</v>
      </c>
      <c r="L578" t="s">
        <v>2258</v>
      </c>
      <c r="M578" t="s">
        <v>4317</v>
      </c>
      <c r="N578">
        <v>5.8650000000000002</v>
      </c>
      <c r="O578">
        <v>5.8650000000000002</v>
      </c>
      <c r="P578" s="6">
        <v>42035.818124999998</v>
      </c>
      <c r="Q578" t="s">
        <v>3896</v>
      </c>
      <c r="R578" t="s">
        <v>4010</v>
      </c>
      <c r="S578" t="s">
        <v>13157</v>
      </c>
      <c r="T578">
        <v>2</v>
      </c>
      <c r="X578" t="b">
        <v>1</v>
      </c>
      <c r="Y578" s="6">
        <v>42037.431944444441</v>
      </c>
    </row>
    <row r="579" spans="1:25" x14ac:dyDescent="0.25">
      <c r="A579" t="s">
        <v>13199</v>
      </c>
      <c r="B579" t="s">
        <v>13200</v>
      </c>
      <c r="C579">
        <v>8.9250000000000007</v>
      </c>
      <c r="D579" t="s">
        <v>3893</v>
      </c>
      <c r="E579" t="s">
        <v>3894</v>
      </c>
      <c r="F579" s="18">
        <v>42005</v>
      </c>
      <c r="G579" s="18">
        <v>42023</v>
      </c>
      <c r="H579" s="18" t="str">
        <f>IFERROR(INDEX('Docs Signed Input'!B:B,MATCH('Nate''s Evolution'!$B579,'Docs Signed Input'!E:E,0)),"N")</f>
        <v>N</v>
      </c>
      <c r="I579" s="18" t="str">
        <f>IFERROR(INDEX('Docs Signed Input'!C:C,MATCH('Nate''s Evolution'!B579,'Docs Signed Input'!E:E,0)),"N")</f>
        <v>N</v>
      </c>
      <c r="L579" t="s">
        <v>2258</v>
      </c>
      <c r="M579" t="s">
        <v>3933</v>
      </c>
      <c r="N579">
        <v>8.4149999999999991</v>
      </c>
      <c r="O579">
        <v>9.4350000000000005</v>
      </c>
      <c r="P579" s="6">
        <v>42035.818124999998</v>
      </c>
      <c r="Q579" t="s">
        <v>3896</v>
      </c>
      <c r="R579" t="s">
        <v>11563</v>
      </c>
      <c r="S579" t="s">
        <v>11503</v>
      </c>
      <c r="T579">
        <v>2</v>
      </c>
      <c r="X579" t="b">
        <v>1</v>
      </c>
      <c r="Y579" s="6">
        <v>42037.431944444441</v>
      </c>
    </row>
    <row r="580" spans="1:25" x14ac:dyDescent="0.25">
      <c r="A580" t="s">
        <v>13206</v>
      </c>
      <c r="B580" t="s">
        <v>13207</v>
      </c>
      <c r="C580">
        <v>14.025</v>
      </c>
      <c r="D580" t="s">
        <v>3893</v>
      </c>
      <c r="E580" t="s">
        <v>3989</v>
      </c>
      <c r="F580" s="18">
        <v>42005</v>
      </c>
      <c r="G580" s="18">
        <v>42023</v>
      </c>
      <c r="H580" s="18" t="str">
        <f>IFERROR(INDEX('Docs Signed Input'!B:B,MATCH('Nate''s Evolution'!$B580,'Docs Signed Input'!E:E,0)),"N")</f>
        <v>N</v>
      </c>
      <c r="I580" s="18" t="str">
        <f>IFERROR(INDEX('Docs Signed Input'!C:C,MATCH('Nate''s Evolution'!B580,'Docs Signed Input'!E:E,0)),"N")</f>
        <v>N</v>
      </c>
      <c r="L580" t="s">
        <v>2258</v>
      </c>
      <c r="M580" t="s">
        <v>12976</v>
      </c>
      <c r="N580">
        <v>14.025</v>
      </c>
      <c r="O580">
        <v>14.025</v>
      </c>
      <c r="P580" s="6">
        <v>42035.818124999998</v>
      </c>
      <c r="Q580" t="s">
        <v>3896</v>
      </c>
      <c r="R580" t="s">
        <v>3918</v>
      </c>
      <c r="S580" t="s">
        <v>12283</v>
      </c>
      <c r="T580">
        <v>2</v>
      </c>
      <c r="X580" t="b">
        <v>1</v>
      </c>
      <c r="Y580" s="6">
        <v>42037.431944444441</v>
      </c>
    </row>
    <row r="581" spans="1:25" x14ac:dyDescent="0.25">
      <c r="A581" t="s">
        <v>13217</v>
      </c>
      <c r="B581" t="s">
        <v>13218</v>
      </c>
      <c r="C581">
        <v>8</v>
      </c>
      <c r="D581" t="s">
        <v>3893</v>
      </c>
      <c r="E581" t="s">
        <v>3894</v>
      </c>
      <c r="F581" s="18">
        <v>42005</v>
      </c>
      <c r="G581" s="18">
        <v>42023</v>
      </c>
      <c r="H581" s="18" t="str">
        <f>IFERROR(INDEX('Docs Signed Input'!B:B,MATCH('Nate''s Evolution'!$B581,'Docs Signed Input'!E:E,0)),"N")</f>
        <v>N</v>
      </c>
      <c r="I581" s="18" t="str">
        <f>IFERROR(INDEX('Docs Signed Input'!C:C,MATCH('Nate''s Evolution'!B581,'Docs Signed Input'!E:E,0)),"N")</f>
        <v>N</v>
      </c>
      <c r="L581" t="s">
        <v>2258</v>
      </c>
      <c r="M581" t="s">
        <v>3930</v>
      </c>
      <c r="N581">
        <v>7.75</v>
      </c>
      <c r="O581">
        <v>8.25</v>
      </c>
      <c r="P581" s="6">
        <v>42035.818124999998</v>
      </c>
      <c r="Q581" t="s">
        <v>3896</v>
      </c>
      <c r="R581" t="s">
        <v>11563</v>
      </c>
      <c r="S581" t="s">
        <v>3214</v>
      </c>
      <c r="T581">
        <v>2</v>
      </c>
      <c r="X581" t="b">
        <v>1</v>
      </c>
      <c r="Y581" s="6">
        <v>42037.431944444441</v>
      </c>
    </row>
    <row r="582" spans="1:25" x14ac:dyDescent="0.25">
      <c r="A582" t="s">
        <v>13244</v>
      </c>
      <c r="B582" t="s">
        <v>13245</v>
      </c>
      <c r="C582">
        <v>6.75</v>
      </c>
      <c r="D582" t="s">
        <v>3893</v>
      </c>
      <c r="E582" t="s">
        <v>3894</v>
      </c>
      <c r="F582" s="18">
        <v>42005</v>
      </c>
      <c r="G582" s="18">
        <v>42023</v>
      </c>
      <c r="H582" s="18" t="str">
        <f>IFERROR(INDEX('Docs Signed Input'!B:B,MATCH('Nate''s Evolution'!$B582,'Docs Signed Input'!E:E,0)),"N")</f>
        <v>N</v>
      </c>
      <c r="I582" s="18" t="str">
        <f>IFERROR(INDEX('Docs Signed Input'!C:C,MATCH('Nate''s Evolution'!B582,'Docs Signed Input'!E:E,0)),"N")</f>
        <v>N</v>
      </c>
      <c r="L582" t="s">
        <v>2258</v>
      </c>
      <c r="M582" t="s">
        <v>3902</v>
      </c>
      <c r="N582">
        <v>6.75</v>
      </c>
      <c r="O582">
        <v>7.5</v>
      </c>
      <c r="P582" s="6">
        <v>42035.818124999998</v>
      </c>
      <c r="Q582" t="s">
        <v>3896</v>
      </c>
      <c r="R582" t="s">
        <v>3918</v>
      </c>
      <c r="S582" t="s">
        <v>13246</v>
      </c>
      <c r="T582">
        <v>2</v>
      </c>
      <c r="X582" t="b">
        <v>1</v>
      </c>
      <c r="Y582" s="6">
        <v>42037.431944444441</v>
      </c>
    </row>
    <row r="583" spans="1:25" x14ac:dyDescent="0.25">
      <c r="A583" t="s">
        <v>13275</v>
      </c>
      <c r="B583" t="s">
        <v>13276</v>
      </c>
      <c r="C583">
        <v>4.8449999999999998</v>
      </c>
      <c r="D583" t="s">
        <v>3893</v>
      </c>
      <c r="E583" t="s">
        <v>3916</v>
      </c>
      <c r="F583" s="18">
        <v>42005</v>
      </c>
      <c r="G583" s="18">
        <v>42023</v>
      </c>
      <c r="H583" s="18" t="str">
        <f>IFERROR(INDEX('Docs Signed Input'!B:B,MATCH('Nate''s Evolution'!$B583,'Docs Signed Input'!E:E,0)),"N")</f>
        <v>N</v>
      </c>
      <c r="I583" s="18" t="str">
        <f>IFERROR(INDEX('Docs Signed Input'!C:C,MATCH('Nate''s Evolution'!B583,'Docs Signed Input'!E:E,0)),"N")</f>
        <v>N</v>
      </c>
      <c r="L583" t="s">
        <v>2258</v>
      </c>
      <c r="M583" t="s">
        <v>4179</v>
      </c>
      <c r="N583">
        <v>4.8449999999999998</v>
      </c>
      <c r="O583">
        <v>4.8449999999999998</v>
      </c>
      <c r="P583" s="6">
        <v>42035.818124999998</v>
      </c>
      <c r="Q583" t="s">
        <v>3896</v>
      </c>
      <c r="R583" t="s">
        <v>11760</v>
      </c>
      <c r="S583" t="s">
        <v>12821</v>
      </c>
      <c r="T583">
        <v>2</v>
      </c>
      <c r="X583" t="b">
        <v>1</v>
      </c>
      <c r="Y583" s="6">
        <v>42037.431944444441</v>
      </c>
    </row>
    <row r="584" spans="1:25" x14ac:dyDescent="0.25">
      <c r="A584" t="s">
        <v>13287</v>
      </c>
      <c r="B584" t="s">
        <v>13288</v>
      </c>
      <c r="C584">
        <v>3.8250000000000002</v>
      </c>
      <c r="D584" t="s">
        <v>2230</v>
      </c>
      <c r="E584" t="s">
        <v>3984</v>
      </c>
      <c r="F584" s="18">
        <v>42005</v>
      </c>
      <c r="G584" s="18">
        <v>42023</v>
      </c>
      <c r="H584" s="18" t="str">
        <f>IFERROR(INDEX('Docs Signed Input'!B:B,MATCH('Nate''s Evolution'!$B584,'Docs Signed Input'!E:E,0)),"N")</f>
        <v>N</v>
      </c>
      <c r="I584" s="18" t="str">
        <f>IFERROR(INDEX('Docs Signed Input'!C:C,MATCH('Nate''s Evolution'!B584,'Docs Signed Input'!E:E,0)),"N")</f>
        <v>N</v>
      </c>
      <c r="L584" t="s">
        <v>2258</v>
      </c>
      <c r="M584" t="s">
        <v>3948</v>
      </c>
      <c r="N584">
        <v>3.8250000000000002</v>
      </c>
      <c r="O584">
        <v>3.8250000000000002</v>
      </c>
      <c r="P584" s="6">
        <v>42032.356215277781</v>
      </c>
      <c r="Q584" t="s">
        <v>3896</v>
      </c>
      <c r="R584" t="s">
        <v>13035</v>
      </c>
      <c r="S584" t="s">
        <v>2251</v>
      </c>
      <c r="T584">
        <v>5</v>
      </c>
      <c r="U584" t="b">
        <v>1</v>
      </c>
      <c r="Y584" s="6">
        <v>42037.431944444441</v>
      </c>
    </row>
    <row r="585" spans="1:25" x14ac:dyDescent="0.25">
      <c r="A585" t="s">
        <v>12975</v>
      </c>
      <c r="B585" t="s">
        <v>12914</v>
      </c>
      <c r="C585">
        <v>7</v>
      </c>
      <c r="D585" t="s">
        <v>3893</v>
      </c>
      <c r="E585" t="s">
        <v>3894</v>
      </c>
      <c r="F585" s="18">
        <v>42005</v>
      </c>
      <c r="G585" s="18">
        <v>42023</v>
      </c>
      <c r="H585" s="18" t="str">
        <f>IFERROR(INDEX('Docs Signed Input'!B:B,MATCH('Nate''s Evolution'!$B585,'Docs Signed Input'!E:E,0)),"N")</f>
        <v>N</v>
      </c>
      <c r="I585" s="18" t="str">
        <f>IFERROR(INDEX('Docs Signed Input'!C:C,MATCH('Nate''s Evolution'!B585,'Docs Signed Input'!E:E,0)),"N")</f>
        <v>N</v>
      </c>
      <c r="L585" t="s">
        <v>2258</v>
      </c>
      <c r="M585" t="s">
        <v>3930</v>
      </c>
      <c r="N585">
        <v>7</v>
      </c>
      <c r="O585">
        <v>9</v>
      </c>
      <c r="P585" s="6">
        <v>42035.818124999998</v>
      </c>
      <c r="Q585" t="s">
        <v>3896</v>
      </c>
      <c r="R585" t="s">
        <v>11563</v>
      </c>
      <c r="S585" t="s">
        <v>2680</v>
      </c>
      <c r="T585">
        <v>2</v>
      </c>
      <c r="X585" t="b">
        <v>1</v>
      </c>
      <c r="Y585" s="6">
        <v>42037.431944444441</v>
      </c>
    </row>
    <row r="586" spans="1:25" x14ac:dyDescent="0.25">
      <c r="A586" t="s">
        <v>13311</v>
      </c>
      <c r="B586" t="s">
        <v>13312</v>
      </c>
      <c r="C586">
        <v>2.8050000000000002</v>
      </c>
      <c r="D586" t="s">
        <v>3893</v>
      </c>
      <c r="E586" t="s">
        <v>3916</v>
      </c>
      <c r="F586" s="18">
        <v>42005</v>
      </c>
      <c r="G586" s="18">
        <v>42023</v>
      </c>
      <c r="H586" s="18" t="str">
        <f>IFERROR(INDEX('Docs Signed Input'!B:B,MATCH('Nate''s Evolution'!$B586,'Docs Signed Input'!E:E,0)),"N")</f>
        <v>N</v>
      </c>
      <c r="I586" s="18" t="str">
        <f>IFERROR(INDEX('Docs Signed Input'!C:C,MATCH('Nate''s Evolution'!B586,'Docs Signed Input'!E:E,0)),"N")</f>
        <v>N</v>
      </c>
      <c r="L586" t="s">
        <v>2258</v>
      </c>
      <c r="M586" t="s">
        <v>3933</v>
      </c>
      <c r="N586">
        <v>2.04</v>
      </c>
      <c r="O586">
        <v>3.3149999999999999</v>
      </c>
      <c r="P586" s="6">
        <v>42035.818124999998</v>
      </c>
      <c r="Q586" t="s">
        <v>3896</v>
      </c>
      <c r="R586" t="s">
        <v>11563</v>
      </c>
      <c r="S586" t="s">
        <v>12267</v>
      </c>
      <c r="T586">
        <v>2</v>
      </c>
      <c r="X586" t="b">
        <v>1</v>
      </c>
      <c r="Y586" s="6">
        <v>42037.431944444441</v>
      </c>
    </row>
    <row r="587" spans="1:25" x14ac:dyDescent="0.25">
      <c r="A587" t="s">
        <v>13319</v>
      </c>
      <c r="B587" t="s">
        <v>13320</v>
      </c>
      <c r="C587">
        <v>10.199999999999999</v>
      </c>
      <c r="D587" t="s">
        <v>3893</v>
      </c>
      <c r="E587" t="s">
        <v>3894</v>
      </c>
      <c r="F587" s="18">
        <v>42005</v>
      </c>
      <c r="G587" s="18">
        <v>42023</v>
      </c>
      <c r="H587" s="18" t="str">
        <f>IFERROR(INDEX('Docs Signed Input'!B:B,MATCH('Nate''s Evolution'!$B587,'Docs Signed Input'!E:E,0)),"N")</f>
        <v>N</v>
      </c>
      <c r="I587" s="18" t="str">
        <f>IFERROR(INDEX('Docs Signed Input'!C:C,MATCH('Nate''s Evolution'!B587,'Docs Signed Input'!E:E,0)),"N")</f>
        <v>N</v>
      </c>
      <c r="L587" t="s">
        <v>2258</v>
      </c>
      <c r="M587" t="s">
        <v>4140</v>
      </c>
      <c r="N587">
        <v>10.199999999999999</v>
      </c>
      <c r="O587">
        <v>10.455</v>
      </c>
      <c r="P587" s="6">
        <v>42035.818124999998</v>
      </c>
      <c r="Q587" t="s">
        <v>3896</v>
      </c>
      <c r="R587" t="s">
        <v>11563</v>
      </c>
      <c r="S587" t="s">
        <v>2591</v>
      </c>
      <c r="T587">
        <v>2</v>
      </c>
      <c r="X587" t="b">
        <v>1</v>
      </c>
      <c r="Y587" s="6">
        <v>42037.431944444441</v>
      </c>
    </row>
    <row r="588" spans="1:25" x14ac:dyDescent="0.25">
      <c r="A588" t="s">
        <v>13341</v>
      </c>
      <c r="B588" t="s">
        <v>13342</v>
      </c>
      <c r="C588">
        <v>6.76</v>
      </c>
      <c r="D588" t="s">
        <v>3893</v>
      </c>
      <c r="E588" t="s">
        <v>3894</v>
      </c>
      <c r="F588" s="18">
        <v>42005</v>
      </c>
      <c r="G588" s="18">
        <v>42023</v>
      </c>
      <c r="H588" s="18" t="str">
        <f>IFERROR(INDEX('Docs Signed Input'!B:B,MATCH('Nate''s Evolution'!$B588,'Docs Signed Input'!E:E,0)),"N")</f>
        <v>Y</v>
      </c>
      <c r="I588" s="18" t="str">
        <f>IFERROR(INDEX('Docs Signed Input'!C:C,MATCH('Nate''s Evolution'!B588,'Docs Signed Input'!E:E,0)),"N")</f>
        <v>Y</v>
      </c>
      <c r="J588" s="18">
        <v>42025</v>
      </c>
      <c r="L588" t="s">
        <v>2258</v>
      </c>
      <c r="M588" t="s">
        <v>4048</v>
      </c>
      <c r="N588">
        <v>6.76</v>
      </c>
      <c r="O588">
        <v>7.02</v>
      </c>
      <c r="P588" s="6">
        <v>42035.818124999998</v>
      </c>
      <c r="Q588" t="s">
        <v>3896</v>
      </c>
      <c r="R588" t="s">
        <v>3897</v>
      </c>
      <c r="S588" t="s">
        <v>3581</v>
      </c>
      <c r="T588">
        <v>2</v>
      </c>
      <c r="X588" t="b">
        <v>1</v>
      </c>
      <c r="Y588" s="6">
        <v>42037.431944444441</v>
      </c>
    </row>
    <row r="589" spans="1:25" x14ac:dyDescent="0.25">
      <c r="A589" t="s">
        <v>13140</v>
      </c>
      <c r="B589" t="s">
        <v>13141</v>
      </c>
      <c r="C589">
        <v>3.8250000000000002</v>
      </c>
      <c r="D589" t="s">
        <v>3893</v>
      </c>
      <c r="E589" t="s">
        <v>3989</v>
      </c>
      <c r="F589" s="18">
        <v>42005</v>
      </c>
      <c r="G589" s="18">
        <v>42024</v>
      </c>
      <c r="H589" s="18" t="str">
        <f>IFERROR(INDEX('Docs Signed Input'!B:B,MATCH('Nate''s Evolution'!$B589,'Docs Signed Input'!E:E,0)),"N")</f>
        <v>N</v>
      </c>
      <c r="I589" s="18" t="str">
        <f>IFERROR(INDEX('Docs Signed Input'!C:C,MATCH('Nate''s Evolution'!B589,'Docs Signed Input'!E:E,0)),"N")</f>
        <v>N</v>
      </c>
      <c r="L589" t="s">
        <v>2258</v>
      </c>
      <c r="M589" t="s">
        <v>4317</v>
      </c>
      <c r="N589">
        <v>3.8250000000000002</v>
      </c>
      <c r="O589">
        <v>3.8250000000000002</v>
      </c>
      <c r="P589" s="6">
        <v>42035.818124999998</v>
      </c>
      <c r="Q589" t="s">
        <v>3896</v>
      </c>
      <c r="R589" t="s">
        <v>11563</v>
      </c>
      <c r="S589" t="s">
        <v>12496</v>
      </c>
      <c r="T589">
        <v>2</v>
      </c>
      <c r="X589" t="b">
        <v>1</v>
      </c>
      <c r="Y589" s="6">
        <v>42037.431944444441</v>
      </c>
    </row>
    <row r="590" spans="1:25" x14ac:dyDescent="0.25">
      <c r="A590" t="s">
        <v>13632</v>
      </c>
      <c r="B590" t="s">
        <v>13633</v>
      </c>
      <c r="C590">
        <v>4.42</v>
      </c>
      <c r="D590" t="s">
        <v>3893</v>
      </c>
      <c r="E590" t="s">
        <v>3925</v>
      </c>
      <c r="F590" s="18">
        <v>42005</v>
      </c>
      <c r="G590" s="18">
        <v>42024</v>
      </c>
      <c r="H590" s="18" t="str">
        <f>IFERROR(INDEX('Docs Signed Input'!B:B,MATCH('Nate''s Evolution'!$B590,'Docs Signed Input'!E:E,0)),"N")</f>
        <v>N</v>
      </c>
      <c r="I590" s="18" t="str">
        <f>IFERROR(INDEX('Docs Signed Input'!C:C,MATCH('Nate''s Evolution'!B590,'Docs Signed Input'!E:E,0)),"N")</f>
        <v>N</v>
      </c>
      <c r="J590" s="18">
        <v>42034</v>
      </c>
      <c r="L590" t="s">
        <v>2258</v>
      </c>
      <c r="M590" t="s">
        <v>4317</v>
      </c>
      <c r="N590">
        <v>4.08</v>
      </c>
      <c r="O590">
        <v>4.42</v>
      </c>
      <c r="P590" s="6">
        <v>42035.818124999998</v>
      </c>
      <c r="Q590" t="s">
        <v>3896</v>
      </c>
      <c r="R590" t="s">
        <v>11563</v>
      </c>
      <c r="S590" t="s">
        <v>12500</v>
      </c>
      <c r="T590">
        <v>2</v>
      </c>
      <c r="X590" t="b">
        <v>1</v>
      </c>
      <c r="Y590" s="6">
        <v>42037.431944444441</v>
      </c>
    </row>
    <row r="591" spans="1:25" x14ac:dyDescent="0.25">
      <c r="A591" t="s">
        <v>13642</v>
      </c>
      <c r="B591" t="s">
        <v>13643</v>
      </c>
      <c r="C591">
        <v>7.9050000000000002</v>
      </c>
      <c r="D591" t="s">
        <v>3909</v>
      </c>
      <c r="E591" t="s">
        <v>3937</v>
      </c>
      <c r="F591" s="18">
        <v>42005</v>
      </c>
      <c r="G591" s="18">
        <v>42024</v>
      </c>
      <c r="H591" s="18" t="str">
        <f>IFERROR(INDEX('Docs Signed Input'!B:B,MATCH('Nate''s Evolution'!$B591,'Docs Signed Input'!E:E,0)),"N")</f>
        <v>N</v>
      </c>
      <c r="I591" s="18" t="str">
        <f>IFERROR(INDEX('Docs Signed Input'!C:C,MATCH('Nate''s Evolution'!B591,'Docs Signed Input'!E:E,0)),"N")</f>
        <v>N</v>
      </c>
      <c r="L591" t="s">
        <v>2258</v>
      </c>
      <c r="M591" t="s">
        <v>4179</v>
      </c>
      <c r="N591">
        <v>7.9050000000000002</v>
      </c>
      <c r="O591">
        <v>7.9050000000000002</v>
      </c>
      <c r="P591" s="6">
        <v>42035.44635416667</v>
      </c>
      <c r="Q591" t="s">
        <v>3896</v>
      </c>
      <c r="R591" t="s">
        <v>11563</v>
      </c>
      <c r="S591" t="s">
        <v>12821</v>
      </c>
      <c r="T591">
        <v>2</v>
      </c>
      <c r="V591" t="b">
        <v>1</v>
      </c>
      <c r="Y591" s="6">
        <v>42037.431944444441</v>
      </c>
    </row>
    <row r="592" spans="1:25" x14ac:dyDescent="0.25">
      <c r="A592" t="s">
        <v>13194</v>
      </c>
      <c r="B592" t="s">
        <v>13195</v>
      </c>
      <c r="C592">
        <v>4</v>
      </c>
      <c r="D592" t="s">
        <v>3893</v>
      </c>
      <c r="E592" t="s">
        <v>3941</v>
      </c>
      <c r="F592" s="18">
        <v>42005</v>
      </c>
      <c r="G592" s="18">
        <v>42024</v>
      </c>
      <c r="H592" s="18" t="str">
        <f>IFERROR(INDEX('Docs Signed Input'!B:B,MATCH('Nate''s Evolution'!$B592,'Docs Signed Input'!E:E,0)),"N")</f>
        <v>N</v>
      </c>
      <c r="I592" s="18" t="str">
        <f>IFERROR(INDEX('Docs Signed Input'!C:C,MATCH('Nate''s Evolution'!B592,'Docs Signed Input'!E:E,0)),"N")</f>
        <v>N</v>
      </c>
      <c r="L592" t="s">
        <v>2258</v>
      </c>
      <c r="M592" t="s">
        <v>4317</v>
      </c>
      <c r="N592">
        <v>4</v>
      </c>
      <c r="O592">
        <v>4</v>
      </c>
      <c r="P592" s="6">
        <v>42035.818124999998</v>
      </c>
      <c r="Q592" t="s">
        <v>3896</v>
      </c>
      <c r="R592" t="s">
        <v>11563</v>
      </c>
      <c r="S592" t="s">
        <v>12496</v>
      </c>
      <c r="T592">
        <v>2</v>
      </c>
      <c r="X592" t="b">
        <v>1</v>
      </c>
      <c r="Y592" s="6">
        <v>42037.431944444441</v>
      </c>
    </row>
    <row r="593" spans="1:25" x14ac:dyDescent="0.25">
      <c r="A593" t="s">
        <v>13289</v>
      </c>
      <c r="B593" t="s">
        <v>13290</v>
      </c>
      <c r="C593">
        <v>6.25</v>
      </c>
      <c r="D593" t="s">
        <v>3922</v>
      </c>
      <c r="E593" t="s">
        <v>3985</v>
      </c>
      <c r="F593" s="18">
        <v>42005</v>
      </c>
      <c r="G593" s="18">
        <v>42024</v>
      </c>
      <c r="H593" s="18" t="str">
        <f>IFERROR(INDEX('Docs Signed Input'!B:B,MATCH('Nate''s Evolution'!$B593,'Docs Signed Input'!E:E,0)),"N")</f>
        <v>N</v>
      </c>
      <c r="I593" s="18" t="str">
        <f>IFERROR(INDEX('Docs Signed Input'!C:C,MATCH('Nate''s Evolution'!B593,'Docs Signed Input'!E:E,0)),"N")</f>
        <v>Y</v>
      </c>
      <c r="J593" s="18">
        <v>42027</v>
      </c>
      <c r="L593" t="s">
        <v>2258</v>
      </c>
      <c r="M593" t="s">
        <v>3902</v>
      </c>
      <c r="N593">
        <v>6.25</v>
      </c>
      <c r="O593">
        <v>6.25</v>
      </c>
      <c r="P593" s="6">
        <v>42033.5080787037</v>
      </c>
      <c r="Q593" t="s">
        <v>3896</v>
      </c>
      <c r="R593" t="s">
        <v>13737</v>
      </c>
      <c r="S593" t="s">
        <v>13246</v>
      </c>
      <c r="T593">
        <v>4</v>
      </c>
      <c r="X593" t="b">
        <v>1</v>
      </c>
      <c r="Y593" s="6">
        <v>42037.431944444441</v>
      </c>
    </row>
    <row r="594" spans="1:25" x14ac:dyDescent="0.25">
      <c r="A594" t="s">
        <v>13752</v>
      </c>
      <c r="B594" t="s">
        <v>13753</v>
      </c>
      <c r="C594">
        <v>6</v>
      </c>
      <c r="D594" t="s">
        <v>3893</v>
      </c>
      <c r="E594" t="s">
        <v>3989</v>
      </c>
      <c r="F594" s="18">
        <v>42005</v>
      </c>
      <c r="G594" s="18">
        <v>42024</v>
      </c>
      <c r="H594" s="18" t="str">
        <f>IFERROR(INDEX('Docs Signed Input'!B:B,MATCH('Nate''s Evolution'!$B594,'Docs Signed Input'!E:E,0)),"N")</f>
        <v>N</v>
      </c>
      <c r="I594" s="18" t="str">
        <f>IFERROR(INDEX('Docs Signed Input'!C:C,MATCH('Nate''s Evolution'!B594,'Docs Signed Input'!E:E,0)),"N")</f>
        <v>N</v>
      </c>
      <c r="J594" s="18">
        <v>42026</v>
      </c>
      <c r="L594" t="s">
        <v>2258</v>
      </c>
      <c r="M594" t="s">
        <v>3902</v>
      </c>
      <c r="N594">
        <v>6</v>
      </c>
      <c r="O594">
        <v>6</v>
      </c>
      <c r="P594" s="6">
        <v>42035.818124999998</v>
      </c>
      <c r="Q594" t="s">
        <v>3896</v>
      </c>
      <c r="R594" t="s">
        <v>11563</v>
      </c>
      <c r="S594" t="s">
        <v>12203</v>
      </c>
      <c r="T594">
        <v>2</v>
      </c>
      <c r="X594" t="b">
        <v>1</v>
      </c>
      <c r="Y594" s="6">
        <v>42037.431944444441</v>
      </c>
    </row>
    <row r="595" spans="1:25" x14ac:dyDescent="0.25">
      <c r="A595" t="s">
        <v>13133</v>
      </c>
      <c r="B595" t="s">
        <v>13134</v>
      </c>
      <c r="C595">
        <v>7.5</v>
      </c>
      <c r="D595" t="s">
        <v>3922</v>
      </c>
      <c r="E595" t="s">
        <v>3985</v>
      </c>
      <c r="F595" s="18">
        <v>42005</v>
      </c>
      <c r="G595" s="18">
        <v>42025</v>
      </c>
      <c r="H595" s="18" t="str">
        <f>IFERROR(INDEX('Docs Signed Input'!B:B,MATCH('Nate''s Evolution'!$B595,'Docs Signed Input'!E:E,0)),"N")</f>
        <v>N</v>
      </c>
      <c r="I595" s="18" t="str">
        <f>IFERROR(INDEX('Docs Signed Input'!C:C,MATCH('Nate''s Evolution'!B595,'Docs Signed Input'!E:E,0)),"N")</f>
        <v>Y</v>
      </c>
      <c r="J595" s="18">
        <v>42030</v>
      </c>
      <c r="L595" t="s">
        <v>2258</v>
      </c>
      <c r="M595" t="s">
        <v>3902</v>
      </c>
      <c r="N595">
        <v>7.25</v>
      </c>
      <c r="O595">
        <v>7.5</v>
      </c>
      <c r="P595" s="6">
        <v>42033.509375000001</v>
      </c>
      <c r="Q595" t="s">
        <v>3896</v>
      </c>
      <c r="R595" t="s">
        <v>3897</v>
      </c>
      <c r="S595" t="s">
        <v>4723</v>
      </c>
      <c r="T595">
        <v>4</v>
      </c>
      <c r="X595" t="b">
        <v>1</v>
      </c>
      <c r="Y595" s="6">
        <v>42037.431944444441</v>
      </c>
    </row>
    <row r="596" spans="1:25" x14ac:dyDescent="0.25">
      <c r="A596" t="s">
        <v>13160</v>
      </c>
      <c r="B596" t="s">
        <v>13161</v>
      </c>
      <c r="C596">
        <v>12.24</v>
      </c>
      <c r="D596" t="s">
        <v>3909</v>
      </c>
      <c r="E596" t="s">
        <v>3929</v>
      </c>
      <c r="F596" s="18">
        <v>42005</v>
      </c>
      <c r="G596" s="18">
        <v>42025</v>
      </c>
      <c r="H596" s="18" t="str">
        <f>IFERROR(INDEX('Docs Signed Input'!B:B,MATCH('Nate''s Evolution'!$B596,'Docs Signed Input'!E:E,0)),"N")</f>
        <v>N</v>
      </c>
      <c r="I596" s="18" t="str">
        <f>IFERROR(INDEX('Docs Signed Input'!C:C,MATCH('Nate''s Evolution'!B596,'Docs Signed Input'!E:E,0)),"N")</f>
        <v>N</v>
      </c>
      <c r="L596" t="s">
        <v>2258</v>
      </c>
      <c r="M596" t="s">
        <v>4317</v>
      </c>
      <c r="N596">
        <v>12.24</v>
      </c>
      <c r="O596">
        <v>12.24</v>
      </c>
      <c r="P596" s="6">
        <v>42027.81827546296</v>
      </c>
      <c r="Q596" t="s">
        <v>3896</v>
      </c>
      <c r="R596" t="s">
        <v>11563</v>
      </c>
      <c r="S596" t="s">
        <v>12496</v>
      </c>
      <c r="T596">
        <v>10</v>
      </c>
      <c r="V596" t="b">
        <v>1</v>
      </c>
      <c r="Y596" s="6">
        <v>42037.431944444441</v>
      </c>
    </row>
    <row r="597" spans="1:25" x14ac:dyDescent="0.25">
      <c r="A597" t="s">
        <v>13171</v>
      </c>
      <c r="B597" t="s">
        <v>13172</v>
      </c>
      <c r="C597">
        <v>23.46</v>
      </c>
      <c r="D597" t="s">
        <v>3893</v>
      </c>
      <c r="E597" t="s">
        <v>4060</v>
      </c>
      <c r="F597" s="18">
        <v>42005</v>
      </c>
      <c r="G597" s="18">
        <v>42025</v>
      </c>
      <c r="H597" s="18" t="str">
        <f>IFERROR(INDEX('Docs Signed Input'!B:B,MATCH('Nate''s Evolution'!$B597,'Docs Signed Input'!E:E,0)),"N")</f>
        <v>N</v>
      </c>
      <c r="I597" s="18" t="str">
        <f>IFERROR(INDEX('Docs Signed Input'!C:C,MATCH('Nate''s Evolution'!B597,'Docs Signed Input'!E:E,0)),"N")</f>
        <v>N</v>
      </c>
      <c r="L597" t="s">
        <v>2258</v>
      </c>
      <c r="M597" t="s">
        <v>4179</v>
      </c>
      <c r="N597">
        <v>23.46</v>
      </c>
      <c r="O597">
        <v>23.46</v>
      </c>
      <c r="P597" s="6">
        <v>42035.818124999998</v>
      </c>
      <c r="Q597" t="s">
        <v>3896</v>
      </c>
      <c r="R597" t="s">
        <v>11563</v>
      </c>
      <c r="S597">
        <v>5.5</v>
      </c>
      <c r="T597">
        <v>2</v>
      </c>
      <c r="X597" t="b">
        <v>1</v>
      </c>
      <c r="Y597" s="6">
        <v>42037.431944444441</v>
      </c>
    </row>
    <row r="598" spans="1:25" x14ac:dyDescent="0.25">
      <c r="A598" t="s">
        <v>13214</v>
      </c>
      <c r="B598" t="s">
        <v>13215</v>
      </c>
      <c r="C598">
        <v>11</v>
      </c>
      <c r="D598" t="s">
        <v>3893</v>
      </c>
      <c r="E598" t="s">
        <v>3925</v>
      </c>
      <c r="F598" s="18">
        <v>42005</v>
      </c>
      <c r="G598" s="18">
        <v>42025</v>
      </c>
      <c r="H598" s="18" t="str">
        <f>IFERROR(INDEX('Docs Signed Input'!B:B,MATCH('Nate''s Evolution'!$B598,'Docs Signed Input'!E:E,0)),"N")</f>
        <v>N</v>
      </c>
      <c r="I598" s="18" t="str">
        <f>IFERROR(INDEX('Docs Signed Input'!C:C,MATCH('Nate''s Evolution'!B598,'Docs Signed Input'!E:E,0)),"N")</f>
        <v>Y</v>
      </c>
      <c r="J598" s="18">
        <v>42028</v>
      </c>
      <c r="L598" t="s">
        <v>2258</v>
      </c>
      <c r="M598" t="s">
        <v>3902</v>
      </c>
      <c r="N598">
        <v>11</v>
      </c>
      <c r="O598">
        <v>11</v>
      </c>
      <c r="P598" s="6">
        <v>42035.818124999998</v>
      </c>
      <c r="Q598" t="s">
        <v>3896</v>
      </c>
      <c r="R598" t="s">
        <v>11563</v>
      </c>
      <c r="S598" t="s">
        <v>13216</v>
      </c>
      <c r="T598">
        <v>2</v>
      </c>
      <c r="X598" t="b">
        <v>1</v>
      </c>
      <c r="Y598" s="6">
        <v>42037.431944444441</v>
      </c>
    </row>
    <row r="599" spans="1:25" x14ac:dyDescent="0.25">
      <c r="A599" t="s">
        <v>13220</v>
      </c>
      <c r="B599" t="s">
        <v>13221</v>
      </c>
      <c r="C599">
        <v>11.5</v>
      </c>
      <c r="D599" t="s">
        <v>3893</v>
      </c>
      <c r="E599" t="s">
        <v>3925</v>
      </c>
      <c r="F599" s="18">
        <v>42005</v>
      </c>
      <c r="G599" s="18">
        <v>42025</v>
      </c>
      <c r="H599" s="18" t="str">
        <f>IFERROR(INDEX('Docs Signed Input'!B:B,MATCH('Nate''s Evolution'!$B599,'Docs Signed Input'!E:E,0)),"N")</f>
        <v>N</v>
      </c>
      <c r="I599" s="18" t="str">
        <f>IFERROR(INDEX('Docs Signed Input'!C:C,MATCH('Nate''s Evolution'!B599,'Docs Signed Input'!E:E,0)),"N")</f>
        <v>Y</v>
      </c>
      <c r="J599" s="18">
        <v>42031</v>
      </c>
      <c r="L599" t="s">
        <v>2258</v>
      </c>
      <c r="M599" t="s">
        <v>3926</v>
      </c>
      <c r="N599">
        <v>11.5</v>
      </c>
      <c r="O599">
        <v>12</v>
      </c>
      <c r="P599" s="6">
        <v>42035.818124999998</v>
      </c>
      <c r="Q599" t="s">
        <v>3896</v>
      </c>
      <c r="R599" t="s">
        <v>11563</v>
      </c>
      <c r="S599" t="s">
        <v>3650</v>
      </c>
      <c r="T599">
        <v>2</v>
      </c>
      <c r="X599" t="b">
        <v>1</v>
      </c>
      <c r="Y599" s="6">
        <v>42037.431944444441</v>
      </c>
    </row>
    <row r="600" spans="1:25" x14ac:dyDescent="0.25">
      <c r="A600" t="s">
        <v>13240</v>
      </c>
      <c r="B600" t="s">
        <v>13241</v>
      </c>
      <c r="C600">
        <v>8</v>
      </c>
      <c r="D600" t="s">
        <v>3950</v>
      </c>
      <c r="E600" t="s">
        <v>3985</v>
      </c>
      <c r="F600" s="18">
        <v>42005</v>
      </c>
      <c r="G600" s="18">
        <v>42025</v>
      </c>
      <c r="H600" s="18" t="str">
        <f>IFERROR(INDEX('Docs Signed Input'!B:B,MATCH('Nate''s Evolution'!$B600,'Docs Signed Input'!E:E,0)),"N")</f>
        <v>N</v>
      </c>
      <c r="I600" s="18" t="str">
        <f>IFERROR(INDEX('Docs Signed Input'!C:C,MATCH('Nate''s Evolution'!B600,'Docs Signed Input'!E:E,0)),"N")</f>
        <v>Y</v>
      </c>
      <c r="J600" s="18">
        <v>42030</v>
      </c>
      <c r="K600" s="18">
        <v>42035</v>
      </c>
      <c r="L600" t="s">
        <v>2258</v>
      </c>
      <c r="M600" t="s">
        <v>3902</v>
      </c>
      <c r="N600">
        <v>8</v>
      </c>
      <c r="O600">
        <v>8.25</v>
      </c>
      <c r="P600" s="6">
        <v>42037.346875000003</v>
      </c>
      <c r="Q600" t="s">
        <v>3896</v>
      </c>
      <c r="R600" t="s">
        <v>11563</v>
      </c>
      <c r="S600" t="s">
        <v>4723</v>
      </c>
      <c r="T600">
        <v>0</v>
      </c>
      <c r="W600" t="b">
        <v>1</v>
      </c>
      <c r="Y600" s="6">
        <v>42037.431944444441</v>
      </c>
    </row>
    <row r="601" spans="1:25" x14ac:dyDescent="0.25">
      <c r="A601" t="s">
        <v>13254</v>
      </c>
      <c r="B601" t="s">
        <v>13255</v>
      </c>
      <c r="C601">
        <v>3.57</v>
      </c>
      <c r="D601" t="s">
        <v>3893</v>
      </c>
      <c r="E601" t="s">
        <v>4117</v>
      </c>
      <c r="F601" s="18">
        <v>42005</v>
      </c>
      <c r="G601" s="18">
        <v>42025</v>
      </c>
      <c r="H601" s="18" t="str">
        <f>IFERROR(INDEX('Docs Signed Input'!B:B,MATCH('Nate''s Evolution'!$B601,'Docs Signed Input'!E:E,0)),"N")</f>
        <v>N</v>
      </c>
      <c r="I601" s="18" t="str">
        <f>IFERROR(INDEX('Docs Signed Input'!C:C,MATCH('Nate''s Evolution'!B601,'Docs Signed Input'!E:E,0)),"N")</f>
        <v>N</v>
      </c>
      <c r="L601" t="s">
        <v>2258</v>
      </c>
      <c r="M601" t="s">
        <v>3933</v>
      </c>
      <c r="N601">
        <v>3.57</v>
      </c>
      <c r="O601">
        <v>3.57</v>
      </c>
      <c r="P601" s="6">
        <v>42035.818124999998</v>
      </c>
      <c r="Q601" t="s">
        <v>3896</v>
      </c>
      <c r="R601" t="s">
        <v>11563</v>
      </c>
      <c r="S601" t="s">
        <v>12267</v>
      </c>
      <c r="T601">
        <v>2</v>
      </c>
      <c r="X601" t="b">
        <v>1</v>
      </c>
      <c r="Y601" s="6">
        <v>42037.431944444441</v>
      </c>
    </row>
    <row r="602" spans="1:25" x14ac:dyDescent="0.25">
      <c r="A602" t="s">
        <v>13291</v>
      </c>
      <c r="B602" t="s">
        <v>13292</v>
      </c>
      <c r="C602">
        <v>3.8250000000000002</v>
      </c>
      <c r="D602" t="s">
        <v>3893</v>
      </c>
      <c r="E602" t="s">
        <v>4117</v>
      </c>
      <c r="F602" s="18">
        <v>42005</v>
      </c>
      <c r="G602" s="18">
        <v>42025</v>
      </c>
      <c r="H602" s="18" t="str">
        <f>IFERROR(INDEX('Docs Signed Input'!B:B,MATCH('Nate''s Evolution'!$B602,'Docs Signed Input'!E:E,0)),"N")</f>
        <v>N</v>
      </c>
      <c r="I602" s="18" t="str">
        <f>IFERROR(INDEX('Docs Signed Input'!C:C,MATCH('Nate''s Evolution'!B602,'Docs Signed Input'!E:E,0)),"N")</f>
        <v>N</v>
      </c>
      <c r="L602" t="s">
        <v>2258</v>
      </c>
      <c r="M602" t="s">
        <v>3933</v>
      </c>
      <c r="N602">
        <v>3.8250000000000002</v>
      </c>
      <c r="O602">
        <v>3.8250000000000002</v>
      </c>
      <c r="P602" s="6">
        <v>42035.818124999998</v>
      </c>
      <c r="Q602" t="s">
        <v>3896</v>
      </c>
      <c r="R602" t="s">
        <v>4010</v>
      </c>
      <c r="S602" t="s">
        <v>3370</v>
      </c>
      <c r="T602">
        <v>2</v>
      </c>
      <c r="X602" t="b">
        <v>1</v>
      </c>
      <c r="Y602" s="6">
        <v>42037.431944444441</v>
      </c>
    </row>
    <row r="603" spans="1:25" x14ac:dyDescent="0.25">
      <c r="A603" t="s">
        <v>13323</v>
      </c>
      <c r="B603" t="s">
        <v>13324</v>
      </c>
      <c r="C603">
        <v>3.06</v>
      </c>
      <c r="D603" t="s">
        <v>3893</v>
      </c>
      <c r="E603" t="s">
        <v>3989</v>
      </c>
      <c r="F603" s="18">
        <v>42005</v>
      </c>
      <c r="G603" s="18">
        <v>42025</v>
      </c>
      <c r="H603" s="18" t="str">
        <f>IFERROR(INDEX('Docs Signed Input'!B:B,MATCH('Nate''s Evolution'!$B603,'Docs Signed Input'!E:E,0)),"N")</f>
        <v>N</v>
      </c>
      <c r="I603" s="18" t="str">
        <f>IFERROR(INDEX('Docs Signed Input'!C:C,MATCH('Nate''s Evolution'!B603,'Docs Signed Input'!E:E,0)),"N")</f>
        <v>N</v>
      </c>
      <c r="L603" t="s">
        <v>2258</v>
      </c>
      <c r="M603" t="s">
        <v>3932</v>
      </c>
      <c r="N603">
        <v>3.06</v>
      </c>
      <c r="O603">
        <v>3.06</v>
      </c>
      <c r="P603" s="6">
        <v>42035.818124999998</v>
      </c>
      <c r="Q603" t="s">
        <v>3896</v>
      </c>
      <c r="R603" t="s">
        <v>11563</v>
      </c>
      <c r="S603" t="s">
        <v>3589</v>
      </c>
      <c r="T603">
        <v>2</v>
      </c>
      <c r="X603" t="b">
        <v>1</v>
      </c>
      <c r="Y603" s="6">
        <v>42037.431944444441</v>
      </c>
    </row>
    <row r="604" spans="1:25" x14ac:dyDescent="0.25">
      <c r="A604" t="s">
        <v>13333</v>
      </c>
      <c r="B604" t="s">
        <v>13334</v>
      </c>
      <c r="C604">
        <v>4</v>
      </c>
      <c r="D604" t="s">
        <v>3893</v>
      </c>
      <c r="E604" t="s">
        <v>3916</v>
      </c>
      <c r="F604" s="18">
        <v>42005</v>
      </c>
      <c r="G604" s="18">
        <v>42025</v>
      </c>
      <c r="H604" s="18" t="str">
        <f>IFERROR(INDEX('Docs Signed Input'!B:B,MATCH('Nate''s Evolution'!$B604,'Docs Signed Input'!E:E,0)),"N")</f>
        <v>N</v>
      </c>
      <c r="I604" s="18" t="str">
        <f>IFERROR(INDEX('Docs Signed Input'!C:C,MATCH('Nate''s Evolution'!B604,'Docs Signed Input'!E:E,0)),"N")</f>
        <v>N</v>
      </c>
      <c r="L604" t="s">
        <v>2258</v>
      </c>
      <c r="M604" t="s">
        <v>3926</v>
      </c>
      <c r="N604">
        <v>3.75</v>
      </c>
      <c r="O604">
        <v>4</v>
      </c>
      <c r="P604" s="6">
        <v>42035.818124999998</v>
      </c>
      <c r="Q604" t="s">
        <v>3896</v>
      </c>
      <c r="R604" t="s">
        <v>11563</v>
      </c>
      <c r="S604" t="s">
        <v>3650</v>
      </c>
      <c r="T604">
        <v>2</v>
      </c>
      <c r="X604" t="b">
        <v>1</v>
      </c>
      <c r="Y604" s="6">
        <v>42037.431944444441</v>
      </c>
    </row>
    <row r="605" spans="1:25" x14ac:dyDescent="0.25">
      <c r="A605" t="s">
        <v>13349</v>
      </c>
      <c r="B605" t="s">
        <v>13350</v>
      </c>
      <c r="C605">
        <v>9.18</v>
      </c>
      <c r="D605" t="s">
        <v>3893</v>
      </c>
      <c r="E605" t="s">
        <v>4117</v>
      </c>
      <c r="F605" s="18">
        <v>42005</v>
      </c>
      <c r="G605" s="18">
        <v>42025</v>
      </c>
      <c r="H605" s="18" t="str">
        <f>IFERROR(INDEX('Docs Signed Input'!B:B,MATCH('Nate''s Evolution'!$B605,'Docs Signed Input'!E:E,0)),"N")</f>
        <v>N</v>
      </c>
      <c r="I605" s="18" t="str">
        <f>IFERROR(INDEX('Docs Signed Input'!C:C,MATCH('Nate''s Evolution'!B605,'Docs Signed Input'!E:E,0)),"N")</f>
        <v>N</v>
      </c>
      <c r="L605" t="s">
        <v>2258</v>
      </c>
      <c r="M605" t="s">
        <v>3933</v>
      </c>
      <c r="N605">
        <v>9.18</v>
      </c>
      <c r="O605">
        <v>9.18</v>
      </c>
      <c r="P605" s="6">
        <v>42035.818124999998</v>
      </c>
      <c r="Q605" t="s">
        <v>3896</v>
      </c>
      <c r="S605" t="s">
        <v>11503</v>
      </c>
      <c r="T605">
        <v>2</v>
      </c>
      <c r="X605" t="b">
        <v>1</v>
      </c>
      <c r="Y605" s="6">
        <v>42037.431944444441</v>
      </c>
    </row>
    <row r="606" spans="1:25" x14ac:dyDescent="0.25">
      <c r="A606" t="s">
        <v>13361</v>
      </c>
      <c r="B606" t="s">
        <v>13362</v>
      </c>
      <c r="C606">
        <v>4.59</v>
      </c>
      <c r="D606" t="s">
        <v>3893</v>
      </c>
      <c r="E606" t="s">
        <v>4117</v>
      </c>
      <c r="F606" s="18">
        <v>42005</v>
      </c>
      <c r="G606" s="18">
        <v>42025</v>
      </c>
      <c r="H606" s="18" t="str">
        <f>IFERROR(INDEX('Docs Signed Input'!B:B,MATCH('Nate''s Evolution'!$B606,'Docs Signed Input'!E:E,0)),"N")</f>
        <v>N</v>
      </c>
      <c r="I606" s="18" t="str">
        <f>IFERROR(INDEX('Docs Signed Input'!C:C,MATCH('Nate''s Evolution'!B606,'Docs Signed Input'!E:E,0)),"N")</f>
        <v>N</v>
      </c>
      <c r="L606" t="s">
        <v>2258</v>
      </c>
      <c r="M606" t="s">
        <v>3933</v>
      </c>
      <c r="N606">
        <v>4.59</v>
      </c>
      <c r="O606">
        <v>4.59</v>
      </c>
      <c r="P606" s="6">
        <v>42035.818124999998</v>
      </c>
      <c r="Q606" t="s">
        <v>3896</v>
      </c>
      <c r="S606" t="s">
        <v>11503</v>
      </c>
      <c r="T606">
        <v>2</v>
      </c>
      <c r="X606" t="b">
        <v>1</v>
      </c>
      <c r="Y606" s="6">
        <v>42037.431944444441</v>
      </c>
    </row>
    <row r="607" spans="1:25" x14ac:dyDescent="0.25">
      <c r="A607" t="s">
        <v>13374</v>
      </c>
      <c r="B607" t="s">
        <v>13375</v>
      </c>
      <c r="C607">
        <v>13</v>
      </c>
      <c r="D607" t="s">
        <v>3893</v>
      </c>
      <c r="E607" t="s">
        <v>3925</v>
      </c>
      <c r="F607" s="18">
        <v>42005</v>
      </c>
      <c r="G607" s="18">
        <v>42025</v>
      </c>
      <c r="H607" s="18" t="str">
        <f>IFERROR(INDEX('Docs Signed Input'!B:B,MATCH('Nate''s Evolution'!$B607,'Docs Signed Input'!E:E,0)),"N")</f>
        <v>Y</v>
      </c>
      <c r="I607" s="18" t="str">
        <f>IFERROR(INDEX('Docs Signed Input'!C:C,MATCH('Nate''s Evolution'!B607,'Docs Signed Input'!E:E,0)),"N")</f>
        <v>Y</v>
      </c>
      <c r="J607" s="18">
        <v>42033</v>
      </c>
      <c r="L607" t="s">
        <v>2258</v>
      </c>
      <c r="M607" t="s">
        <v>3902</v>
      </c>
      <c r="N607">
        <v>13</v>
      </c>
      <c r="O607">
        <v>13.5</v>
      </c>
      <c r="P607" s="6">
        <v>42035.818124999998</v>
      </c>
      <c r="Q607" t="s">
        <v>3896</v>
      </c>
      <c r="R607" t="s">
        <v>3921</v>
      </c>
      <c r="S607" t="s">
        <v>3521</v>
      </c>
      <c r="T607">
        <v>2</v>
      </c>
      <c r="X607" t="b">
        <v>1</v>
      </c>
      <c r="Y607" s="6">
        <v>42037.431944444441</v>
      </c>
    </row>
    <row r="608" spans="1:25" x14ac:dyDescent="0.25">
      <c r="A608" t="s">
        <v>13128</v>
      </c>
      <c r="B608" t="s">
        <v>13129</v>
      </c>
      <c r="C608">
        <v>11.22</v>
      </c>
      <c r="D608" t="s">
        <v>3893</v>
      </c>
      <c r="E608" t="s">
        <v>3989</v>
      </c>
      <c r="F608" s="18">
        <v>42005</v>
      </c>
      <c r="G608" s="18">
        <v>42026</v>
      </c>
      <c r="H608" s="18" t="str">
        <f>IFERROR(INDEX('Docs Signed Input'!B:B,MATCH('Nate''s Evolution'!$B608,'Docs Signed Input'!E:E,0)),"N")</f>
        <v>N</v>
      </c>
      <c r="I608" s="18" t="str">
        <f>IFERROR(INDEX('Docs Signed Input'!C:C,MATCH('Nate''s Evolution'!B608,'Docs Signed Input'!E:E,0)),"N")</f>
        <v>N</v>
      </c>
      <c r="L608" t="s">
        <v>2258</v>
      </c>
      <c r="M608" t="s">
        <v>3932</v>
      </c>
      <c r="N608">
        <v>11.22</v>
      </c>
      <c r="O608">
        <v>11.22</v>
      </c>
      <c r="P608" s="6">
        <v>42035.818124999998</v>
      </c>
      <c r="Q608" t="s">
        <v>3896</v>
      </c>
      <c r="R608" t="s">
        <v>11563</v>
      </c>
      <c r="S608" t="s">
        <v>3547</v>
      </c>
      <c r="T608">
        <v>2</v>
      </c>
      <c r="X608" t="b">
        <v>1</v>
      </c>
      <c r="Y608" s="6">
        <v>42037.431944444441</v>
      </c>
    </row>
    <row r="609" spans="1:25" x14ac:dyDescent="0.25">
      <c r="A609" t="s">
        <v>13151</v>
      </c>
      <c r="B609" t="s">
        <v>13152</v>
      </c>
      <c r="C609">
        <v>6.12</v>
      </c>
      <c r="D609" t="s">
        <v>3893</v>
      </c>
      <c r="E609" t="s">
        <v>3989</v>
      </c>
      <c r="F609" s="18">
        <v>42005</v>
      </c>
      <c r="G609" s="18">
        <v>42026</v>
      </c>
      <c r="H609" s="18" t="str">
        <f>IFERROR(INDEX('Docs Signed Input'!B:B,MATCH('Nate''s Evolution'!$B609,'Docs Signed Input'!E:E,0)),"N")</f>
        <v>N</v>
      </c>
      <c r="I609" s="18" t="str">
        <f>IFERROR(INDEX('Docs Signed Input'!C:C,MATCH('Nate''s Evolution'!B609,'Docs Signed Input'!E:E,0)),"N")</f>
        <v>N</v>
      </c>
      <c r="L609" t="s">
        <v>2258</v>
      </c>
      <c r="M609" t="s">
        <v>4423</v>
      </c>
      <c r="N609">
        <v>6.12</v>
      </c>
      <c r="O609">
        <v>6.12</v>
      </c>
      <c r="P609" s="6">
        <v>42035.818124999998</v>
      </c>
      <c r="Q609" t="s">
        <v>3896</v>
      </c>
      <c r="R609" t="s">
        <v>11563</v>
      </c>
      <c r="S609" t="s">
        <v>12210</v>
      </c>
      <c r="T609">
        <v>2</v>
      </c>
      <c r="X609" t="b">
        <v>1</v>
      </c>
      <c r="Y609" s="6">
        <v>42037.431944444441</v>
      </c>
    </row>
    <row r="610" spans="1:25" x14ac:dyDescent="0.25">
      <c r="A610" t="s">
        <v>13169</v>
      </c>
      <c r="B610" t="s">
        <v>13170</v>
      </c>
      <c r="C610">
        <v>8.5</v>
      </c>
      <c r="D610" t="s">
        <v>3893</v>
      </c>
      <c r="E610" t="s">
        <v>3989</v>
      </c>
      <c r="F610" s="18">
        <v>42005</v>
      </c>
      <c r="G610" s="18">
        <v>42026</v>
      </c>
      <c r="H610" s="18" t="str">
        <f>IFERROR(INDEX('Docs Signed Input'!B:B,MATCH('Nate''s Evolution'!$B610,'Docs Signed Input'!E:E,0)),"N")</f>
        <v>N</v>
      </c>
      <c r="I610" s="18" t="str">
        <f>IFERROR(INDEX('Docs Signed Input'!C:C,MATCH('Nate''s Evolution'!B610,'Docs Signed Input'!E:E,0)),"N")</f>
        <v>N</v>
      </c>
      <c r="L610" t="s">
        <v>2258</v>
      </c>
      <c r="M610" t="s">
        <v>3930</v>
      </c>
      <c r="N610">
        <v>8.5</v>
      </c>
      <c r="O610">
        <v>8.5</v>
      </c>
      <c r="P610" s="6">
        <v>42035.818124999998</v>
      </c>
      <c r="Q610" t="s">
        <v>3896</v>
      </c>
      <c r="R610" t="s">
        <v>11563</v>
      </c>
      <c r="S610" t="s">
        <v>11501</v>
      </c>
      <c r="T610">
        <v>2</v>
      </c>
      <c r="X610" t="b">
        <v>1</v>
      </c>
      <c r="Y610" s="6">
        <v>42037.431944444441</v>
      </c>
    </row>
    <row r="611" spans="1:25" x14ac:dyDescent="0.25">
      <c r="A611" t="s">
        <v>13177</v>
      </c>
      <c r="B611" t="s">
        <v>13178</v>
      </c>
      <c r="C611">
        <v>6.375</v>
      </c>
      <c r="D611" t="s">
        <v>3893</v>
      </c>
      <c r="E611" t="s">
        <v>4117</v>
      </c>
      <c r="F611" s="18">
        <v>42005</v>
      </c>
      <c r="G611" s="18">
        <v>42026</v>
      </c>
      <c r="H611" s="18" t="str">
        <f>IFERROR(INDEX('Docs Signed Input'!B:B,MATCH('Nate''s Evolution'!$B611,'Docs Signed Input'!E:E,0)),"N")</f>
        <v>Y</v>
      </c>
      <c r="I611" s="18" t="str">
        <f>IFERROR(INDEX('Docs Signed Input'!C:C,MATCH('Nate''s Evolution'!B611,'Docs Signed Input'!E:E,0)),"N")</f>
        <v>N</v>
      </c>
      <c r="L611" t="s">
        <v>2258</v>
      </c>
      <c r="M611" t="s">
        <v>6056</v>
      </c>
      <c r="N611">
        <v>6.375</v>
      </c>
      <c r="O611">
        <v>6.375</v>
      </c>
      <c r="P611" s="6">
        <v>42035.818124999998</v>
      </c>
      <c r="Q611" t="s">
        <v>3896</v>
      </c>
      <c r="R611" t="s">
        <v>10312</v>
      </c>
      <c r="S611" t="s">
        <v>12271</v>
      </c>
      <c r="T611">
        <v>2</v>
      </c>
      <c r="X611" t="b">
        <v>1</v>
      </c>
      <c r="Y611" s="6">
        <v>42037.431944444441</v>
      </c>
    </row>
    <row r="612" spans="1:25" x14ac:dyDescent="0.25">
      <c r="A612" t="s">
        <v>13188</v>
      </c>
      <c r="B612" t="s">
        <v>13189</v>
      </c>
      <c r="C612">
        <v>3.3149999999999999</v>
      </c>
      <c r="D612" t="s">
        <v>3893</v>
      </c>
      <c r="E612" t="s">
        <v>3989</v>
      </c>
      <c r="F612" s="18">
        <v>42005</v>
      </c>
      <c r="G612" s="18">
        <v>42026</v>
      </c>
      <c r="H612" s="18" t="str">
        <f>IFERROR(INDEX('Docs Signed Input'!B:B,MATCH('Nate''s Evolution'!$B612,'Docs Signed Input'!E:E,0)),"N")</f>
        <v>N</v>
      </c>
      <c r="I612" s="18" t="str">
        <f>IFERROR(INDEX('Docs Signed Input'!C:C,MATCH('Nate''s Evolution'!B612,'Docs Signed Input'!E:E,0)),"N")</f>
        <v>N</v>
      </c>
      <c r="L612" t="s">
        <v>2258</v>
      </c>
      <c r="M612" t="s">
        <v>3932</v>
      </c>
      <c r="N612">
        <v>3.3149999999999999</v>
      </c>
      <c r="O612">
        <v>3.3149999999999999</v>
      </c>
      <c r="P612" s="6">
        <v>42035.818124999998</v>
      </c>
      <c r="Q612" t="s">
        <v>3896</v>
      </c>
      <c r="R612" t="s">
        <v>11563</v>
      </c>
      <c r="S612" t="s">
        <v>3589</v>
      </c>
      <c r="T612">
        <v>2</v>
      </c>
      <c r="X612" t="b">
        <v>1</v>
      </c>
      <c r="Y612" s="6">
        <v>42037.431944444441</v>
      </c>
    </row>
    <row r="613" spans="1:25" x14ac:dyDescent="0.25">
      <c r="A613" t="s">
        <v>13250</v>
      </c>
      <c r="B613" t="s">
        <v>13251</v>
      </c>
      <c r="C613">
        <v>8.58</v>
      </c>
      <c r="D613" t="s">
        <v>3893</v>
      </c>
      <c r="E613" t="s">
        <v>3894</v>
      </c>
      <c r="F613" s="18">
        <v>42005</v>
      </c>
      <c r="G613" s="18">
        <v>42026</v>
      </c>
      <c r="H613" s="18" t="str">
        <f>IFERROR(INDEX('Docs Signed Input'!B:B,MATCH('Nate''s Evolution'!$B613,'Docs Signed Input'!E:E,0)),"N")</f>
        <v>N</v>
      </c>
      <c r="I613" s="18" t="str">
        <f>IFERROR(INDEX('Docs Signed Input'!C:C,MATCH('Nate''s Evolution'!B613,'Docs Signed Input'!E:E,0)),"N")</f>
        <v>N</v>
      </c>
      <c r="J613" s="18">
        <v>42031</v>
      </c>
      <c r="L613" t="s">
        <v>2258</v>
      </c>
      <c r="M613" t="s">
        <v>3948</v>
      </c>
      <c r="N613">
        <v>8.4149999999999991</v>
      </c>
      <c r="O613">
        <v>8.58</v>
      </c>
      <c r="P613" s="6">
        <v>42035.818124999998</v>
      </c>
      <c r="Q613" t="s">
        <v>3896</v>
      </c>
      <c r="R613" t="s">
        <v>3918</v>
      </c>
      <c r="S613" t="s">
        <v>3766</v>
      </c>
      <c r="T613">
        <v>2</v>
      </c>
      <c r="X613" t="b">
        <v>1</v>
      </c>
      <c r="Y613" s="6">
        <v>42037.431944444441</v>
      </c>
    </row>
    <row r="614" spans="1:25" x14ac:dyDescent="0.25">
      <c r="A614" t="s">
        <v>13252</v>
      </c>
      <c r="B614" t="s">
        <v>13253</v>
      </c>
      <c r="C614">
        <v>3.57</v>
      </c>
      <c r="D614" t="s">
        <v>2230</v>
      </c>
      <c r="E614" t="s">
        <v>3984</v>
      </c>
      <c r="F614" s="18">
        <v>42005</v>
      </c>
      <c r="G614" s="18">
        <v>42026</v>
      </c>
      <c r="H614" s="18" t="str">
        <f>IFERROR(INDEX('Docs Signed Input'!B:B,MATCH('Nate''s Evolution'!$B614,'Docs Signed Input'!E:E,0)),"N")</f>
        <v>N</v>
      </c>
      <c r="I614" s="18" t="str">
        <f>IFERROR(INDEX('Docs Signed Input'!C:C,MATCH('Nate''s Evolution'!B614,'Docs Signed Input'!E:E,0)),"N")</f>
        <v>N</v>
      </c>
      <c r="L614" t="s">
        <v>2258</v>
      </c>
      <c r="M614" t="s">
        <v>4423</v>
      </c>
      <c r="N614">
        <v>3.57</v>
      </c>
      <c r="O614">
        <v>3.57</v>
      </c>
      <c r="P614" s="6">
        <v>42029.818344907406</v>
      </c>
      <c r="Q614" t="s">
        <v>3896</v>
      </c>
      <c r="R614" t="s">
        <v>11563</v>
      </c>
      <c r="S614" t="s">
        <v>12215</v>
      </c>
      <c r="T614">
        <v>8</v>
      </c>
      <c r="U614" t="b">
        <v>1</v>
      </c>
      <c r="Y614" s="6">
        <v>42037.431944444441</v>
      </c>
    </row>
    <row r="615" spans="1:25" x14ac:dyDescent="0.25">
      <c r="A615" t="s">
        <v>13258</v>
      </c>
      <c r="B615" t="s">
        <v>13259</v>
      </c>
      <c r="C615">
        <v>10.965</v>
      </c>
      <c r="D615" t="s">
        <v>3893</v>
      </c>
      <c r="E615" t="s">
        <v>3989</v>
      </c>
      <c r="F615" s="18">
        <v>42005</v>
      </c>
      <c r="G615" s="18">
        <v>42026</v>
      </c>
      <c r="H615" s="18" t="str">
        <f>IFERROR(INDEX('Docs Signed Input'!B:B,MATCH('Nate''s Evolution'!$B615,'Docs Signed Input'!E:E,0)),"N")</f>
        <v>N</v>
      </c>
      <c r="I615" s="18" t="str">
        <f>IFERROR(INDEX('Docs Signed Input'!C:C,MATCH('Nate''s Evolution'!B615,'Docs Signed Input'!E:E,0)),"N")</f>
        <v>N</v>
      </c>
      <c r="L615" t="s">
        <v>2258</v>
      </c>
      <c r="M615" t="s">
        <v>12976</v>
      </c>
      <c r="N615">
        <v>10.965</v>
      </c>
      <c r="O615">
        <v>10.965</v>
      </c>
      <c r="P615" s="6">
        <v>42035.818124999998</v>
      </c>
      <c r="Q615" t="s">
        <v>3896</v>
      </c>
      <c r="R615" t="s">
        <v>3911</v>
      </c>
      <c r="S615" t="s">
        <v>12283</v>
      </c>
      <c r="T615">
        <v>2</v>
      </c>
      <c r="X615" t="b">
        <v>1</v>
      </c>
      <c r="Y615" s="6">
        <v>42037.431944444441</v>
      </c>
    </row>
    <row r="616" spans="1:25" x14ac:dyDescent="0.25">
      <c r="A616" t="s">
        <v>13260</v>
      </c>
      <c r="B616" t="s">
        <v>13261</v>
      </c>
      <c r="C616">
        <v>7.9050000000000002</v>
      </c>
      <c r="D616" t="s">
        <v>3893</v>
      </c>
      <c r="E616" t="s">
        <v>3989</v>
      </c>
      <c r="F616" s="18">
        <v>42005</v>
      </c>
      <c r="G616" s="18">
        <v>42026</v>
      </c>
      <c r="H616" s="18" t="str">
        <f>IFERROR(INDEX('Docs Signed Input'!B:B,MATCH('Nate''s Evolution'!$B616,'Docs Signed Input'!E:E,0)),"N")</f>
        <v>N</v>
      </c>
      <c r="I616" s="18" t="str">
        <f>IFERROR(INDEX('Docs Signed Input'!C:C,MATCH('Nate''s Evolution'!B616,'Docs Signed Input'!E:E,0)),"N")</f>
        <v>N</v>
      </c>
      <c r="L616" t="s">
        <v>2258</v>
      </c>
      <c r="M616" t="s">
        <v>12976</v>
      </c>
      <c r="N616">
        <v>7.9050000000000002</v>
      </c>
      <c r="O616">
        <v>7.9050000000000002</v>
      </c>
      <c r="P616" s="6">
        <v>42035.818124999998</v>
      </c>
      <c r="Q616" t="s">
        <v>3896</v>
      </c>
      <c r="R616" t="s">
        <v>11563</v>
      </c>
      <c r="S616" t="s">
        <v>3406</v>
      </c>
      <c r="T616">
        <v>2</v>
      </c>
      <c r="X616" t="b">
        <v>1</v>
      </c>
      <c r="Y616" s="6">
        <v>42037.431944444441</v>
      </c>
    </row>
    <row r="617" spans="1:25" x14ac:dyDescent="0.25">
      <c r="A617" t="s">
        <v>13266</v>
      </c>
      <c r="B617" t="s">
        <v>13267</v>
      </c>
      <c r="C617">
        <v>7.3949999999999996</v>
      </c>
      <c r="D617" t="s">
        <v>3893</v>
      </c>
      <c r="E617" t="s">
        <v>3989</v>
      </c>
      <c r="F617" s="18">
        <v>42005</v>
      </c>
      <c r="G617" s="18">
        <v>42026</v>
      </c>
      <c r="H617" s="18" t="str">
        <f>IFERROR(INDEX('Docs Signed Input'!B:B,MATCH('Nate''s Evolution'!$B617,'Docs Signed Input'!E:E,0)),"N")</f>
        <v>N</v>
      </c>
      <c r="I617" s="18" t="str">
        <f>IFERROR(INDEX('Docs Signed Input'!C:C,MATCH('Nate''s Evolution'!B617,'Docs Signed Input'!E:E,0)),"N")</f>
        <v>N</v>
      </c>
      <c r="L617" t="s">
        <v>2258</v>
      </c>
      <c r="M617" t="s">
        <v>3933</v>
      </c>
      <c r="N617">
        <v>7.3949999999999996</v>
      </c>
      <c r="O617">
        <v>7.3949999999999996</v>
      </c>
      <c r="P617" s="6">
        <v>42035.818124999998</v>
      </c>
      <c r="Q617" t="s">
        <v>3896</v>
      </c>
      <c r="R617" t="s">
        <v>11563</v>
      </c>
      <c r="S617" t="s">
        <v>11497</v>
      </c>
      <c r="T617">
        <v>2</v>
      </c>
      <c r="X617" t="b">
        <v>1</v>
      </c>
      <c r="Y617" s="6">
        <v>42037.431944444441</v>
      </c>
    </row>
    <row r="618" spans="1:25" x14ac:dyDescent="0.25">
      <c r="A618" t="s">
        <v>13294</v>
      </c>
      <c r="B618" t="s">
        <v>13295</v>
      </c>
      <c r="C618">
        <v>12.25</v>
      </c>
      <c r="D618" t="s">
        <v>3893</v>
      </c>
      <c r="E618" t="s">
        <v>3894</v>
      </c>
      <c r="F618" s="18">
        <v>42005</v>
      </c>
      <c r="G618" s="18">
        <v>42026</v>
      </c>
      <c r="H618" s="18" t="str">
        <f>IFERROR(INDEX('Docs Signed Input'!B:B,MATCH('Nate''s Evolution'!$B618,'Docs Signed Input'!E:E,0)),"N")</f>
        <v>N</v>
      </c>
      <c r="I618" s="18" t="str">
        <f>IFERROR(INDEX('Docs Signed Input'!C:C,MATCH('Nate''s Evolution'!B618,'Docs Signed Input'!E:E,0)),"N")</f>
        <v>N</v>
      </c>
      <c r="L618" t="s">
        <v>2258</v>
      </c>
      <c r="M618" t="s">
        <v>3930</v>
      </c>
      <c r="N618">
        <v>12.25</v>
      </c>
      <c r="O618">
        <v>14.25</v>
      </c>
      <c r="P618" s="6">
        <v>42035.818124999998</v>
      </c>
      <c r="Q618" t="s">
        <v>3896</v>
      </c>
      <c r="R618" t="s">
        <v>3897</v>
      </c>
      <c r="S618" t="s">
        <v>2813</v>
      </c>
      <c r="T618">
        <v>2</v>
      </c>
      <c r="X618" t="b">
        <v>1</v>
      </c>
      <c r="Y618" s="6">
        <v>42037.431944444441</v>
      </c>
    </row>
    <row r="619" spans="1:25" x14ac:dyDescent="0.25">
      <c r="A619" t="s">
        <v>13296</v>
      </c>
      <c r="B619" t="s">
        <v>13297</v>
      </c>
      <c r="C619">
        <v>2.6</v>
      </c>
      <c r="D619" t="s">
        <v>3893</v>
      </c>
      <c r="E619" t="s">
        <v>3989</v>
      </c>
      <c r="F619" s="18">
        <v>42005</v>
      </c>
      <c r="G619" s="18">
        <v>42026</v>
      </c>
      <c r="H619" s="18" t="str">
        <f>IFERROR(INDEX('Docs Signed Input'!B:B,MATCH('Nate''s Evolution'!$B619,'Docs Signed Input'!E:E,0)),"N")</f>
        <v>N</v>
      </c>
      <c r="I619" s="18" t="str">
        <f>IFERROR(INDEX('Docs Signed Input'!C:C,MATCH('Nate''s Evolution'!B619,'Docs Signed Input'!E:E,0)),"N")</f>
        <v>N</v>
      </c>
      <c r="L619" t="s">
        <v>2258</v>
      </c>
      <c r="M619" t="s">
        <v>4048</v>
      </c>
      <c r="N619">
        <v>2.6</v>
      </c>
      <c r="O619">
        <v>2.6</v>
      </c>
      <c r="P619" s="6">
        <v>42035.818124999998</v>
      </c>
      <c r="Q619" t="s">
        <v>3896</v>
      </c>
      <c r="R619" t="s">
        <v>11563</v>
      </c>
      <c r="S619" t="s">
        <v>11511</v>
      </c>
      <c r="T619">
        <v>2</v>
      </c>
      <c r="X619" t="b">
        <v>1</v>
      </c>
      <c r="Y619" s="6">
        <v>42037.431944444441</v>
      </c>
    </row>
    <row r="620" spans="1:25" x14ac:dyDescent="0.25">
      <c r="A620" t="s">
        <v>13303</v>
      </c>
      <c r="B620" t="s">
        <v>13304</v>
      </c>
      <c r="C620">
        <v>3.3149999999999999</v>
      </c>
      <c r="D620" t="s">
        <v>3893</v>
      </c>
      <c r="E620" t="s">
        <v>3989</v>
      </c>
      <c r="F620" s="18">
        <v>42005</v>
      </c>
      <c r="G620" s="18">
        <v>42026</v>
      </c>
      <c r="H620" s="18" t="str">
        <f>IFERROR(INDEX('Docs Signed Input'!B:B,MATCH('Nate''s Evolution'!$B620,'Docs Signed Input'!E:E,0)),"N")</f>
        <v>N</v>
      </c>
      <c r="I620" s="18" t="str">
        <f>IFERROR(INDEX('Docs Signed Input'!C:C,MATCH('Nate''s Evolution'!B620,'Docs Signed Input'!E:E,0)),"N")</f>
        <v>N</v>
      </c>
      <c r="L620" t="s">
        <v>2258</v>
      </c>
      <c r="M620" t="s">
        <v>12976</v>
      </c>
      <c r="N620">
        <v>3.3149999999999999</v>
      </c>
      <c r="O620">
        <v>3.3149999999999999</v>
      </c>
      <c r="P620" s="6">
        <v>42035.818124999998</v>
      </c>
      <c r="Q620" t="s">
        <v>3896</v>
      </c>
      <c r="R620" t="s">
        <v>11563</v>
      </c>
      <c r="S620" t="s">
        <v>3438</v>
      </c>
      <c r="T620">
        <v>2</v>
      </c>
      <c r="X620" t="b">
        <v>1</v>
      </c>
      <c r="Y620" s="6">
        <v>42037.431944444441</v>
      </c>
    </row>
    <row r="621" spans="1:25" x14ac:dyDescent="0.25">
      <c r="A621" t="s">
        <v>13303</v>
      </c>
      <c r="B621" t="s">
        <v>13305</v>
      </c>
      <c r="C621">
        <v>3.8250000000000002</v>
      </c>
      <c r="D621" t="s">
        <v>3893</v>
      </c>
      <c r="E621" t="s">
        <v>3989</v>
      </c>
      <c r="F621" s="18">
        <v>42005</v>
      </c>
      <c r="G621" s="18">
        <v>42026</v>
      </c>
      <c r="H621" s="18" t="str">
        <f>IFERROR(INDEX('Docs Signed Input'!B:B,MATCH('Nate''s Evolution'!$B621,'Docs Signed Input'!E:E,0)),"N")</f>
        <v>N</v>
      </c>
      <c r="I621" s="18" t="str">
        <f>IFERROR(INDEX('Docs Signed Input'!C:C,MATCH('Nate''s Evolution'!B621,'Docs Signed Input'!E:E,0)),"N")</f>
        <v>N</v>
      </c>
      <c r="L621" t="s">
        <v>2258</v>
      </c>
      <c r="M621" t="s">
        <v>12976</v>
      </c>
      <c r="N621">
        <v>3.8250000000000002</v>
      </c>
      <c r="O621">
        <v>3.8250000000000002</v>
      </c>
      <c r="P621" s="6">
        <v>42035.818124999998</v>
      </c>
      <c r="Q621" t="s">
        <v>3896</v>
      </c>
      <c r="R621" t="s">
        <v>11563</v>
      </c>
      <c r="S621" t="s">
        <v>3438</v>
      </c>
      <c r="T621">
        <v>2</v>
      </c>
      <c r="X621" t="b">
        <v>1</v>
      </c>
      <c r="Y621" s="6">
        <v>42037.431944444441</v>
      </c>
    </row>
    <row r="622" spans="1:25" x14ac:dyDescent="0.25">
      <c r="A622" t="s">
        <v>13330</v>
      </c>
      <c r="B622" t="s">
        <v>13331</v>
      </c>
      <c r="C622">
        <v>7.28</v>
      </c>
      <c r="D622" t="s">
        <v>3893</v>
      </c>
      <c r="E622" t="s">
        <v>3989</v>
      </c>
      <c r="F622" s="18">
        <v>42005</v>
      </c>
      <c r="G622" s="18">
        <v>42026</v>
      </c>
      <c r="H622" s="18" t="str">
        <f>IFERROR(INDEX('Docs Signed Input'!B:B,MATCH('Nate''s Evolution'!$B622,'Docs Signed Input'!E:E,0)),"N")</f>
        <v>N</v>
      </c>
      <c r="I622" s="18" t="str">
        <f>IFERROR(INDEX('Docs Signed Input'!C:C,MATCH('Nate''s Evolution'!B622,'Docs Signed Input'!E:E,0)),"N")</f>
        <v>N</v>
      </c>
      <c r="L622" t="s">
        <v>2258</v>
      </c>
      <c r="M622" t="s">
        <v>4677</v>
      </c>
      <c r="N622">
        <v>7.28</v>
      </c>
      <c r="O622">
        <v>7.28</v>
      </c>
      <c r="P622" s="6">
        <v>42035.818124999998</v>
      </c>
      <c r="Q622" t="s">
        <v>3896</v>
      </c>
      <c r="R622" t="s">
        <v>5107</v>
      </c>
      <c r="S622" t="s">
        <v>3634</v>
      </c>
      <c r="T622">
        <v>2</v>
      </c>
      <c r="X622" t="b">
        <v>1</v>
      </c>
      <c r="Y622" s="6">
        <v>42037.431944444441</v>
      </c>
    </row>
    <row r="623" spans="1:25" x14ac:dyDescent="0.25">
      <c r="A623" t="s">
        <v>13339</v>
      </c>
      <c r="B623" t="s">
        <v>13340</v>
      </c>
      <c r="C623">
        <v>2.5499999999999998</v>
      </c>
      <c r="D623" t="s">
        <v>3893</v>
      </c>
      <c r="E623" t="s">
        <v>4060</v>
      </c>
      <c r="F623" s="18">
        <v>42005</v>
      </c>
      <c r="G623" s="18">
        <v>42026</v>
      </c>
      <c r="H623" s="18" t="str">
        <f>IFERROR(INDEX('Docs Signed Input'!B:B,MATCH('Nate''s Evolution'!$B623,'Docs Signed Input'!E:E,0)),"N")</f>
        <v>N</v>
      </c>
      <c r="I623" s="18" t="str">
        <f>IFERROR(INDEX('Docs Signed Input'!C:C,MATCH('Nate''s Evolution'!B623,'Docs Signed Input'!E:E,0)),"N")</f>
        <v>N</v>
      </c>
      <c r="L623" t="s">
        <v>2258</v>
      </c>
      <c r="M623" t="s">
        <v>4179</v>
      </c>
      <c r="N623">
        <v>2.5499999999999998</v>
      </c>
      <c r="O623">
        <v>2.5499999999999998</v>
      </c>
      <c r="P623" s="6">
        <v>42035.818124999998</v>
      </c>
      <c r="Q623" t="s">
        <v>3896</v>
      </c>
      <c r="R623" t="s">
        <v>11563</v>
      </c>
      <c r="S623" t="s">
        <v>12821</v>
      </c>
      <c r="T623">
        <v>2</v>
      </c>
      <c r="X623" t="b">
        <v>1</v>
      </c>
      <c r="Y623" s="6">
        <v>42037.431944444441</v>
      </c>
    </row>
    <row r="624" spans="1:25" x14ac:dyDescent="0.25">
      <c r="A624" t="s">
        <v>13353</v>
      </c>
      <c r="B624" t="s">
        <v>13354</v>
      </c>
      <c r="C624">
        <v>4.8449999999999998</v>
      </c>
      <c r="D624" t="s">
        <v>3893</v>
      </c>
      <c r="E624" t="s">
        <v>3894</v>
      </c>
      <c r="F624" s="18">
        <v>42005</v>
      </c>
      <c r="G624" s="18">
        <v>42026</v>
      </c>
      <c r="H624" s="18" t="str">
        <f>IFERROR(INDEX('Docs Signed Input'!B:B,MATCH('Nate''s Evolution'!$B624,'Docs Signed Input'!E:E,0)),"N")</f>
        <v>N</v>
      </c>
      <c r="I624" s="18" t="str">
        <f>IFERROR(INDEX('Docs Signed Input'!C:C,MATCH('Nate''s Evolution'!B624,'Docs Signed Input'!E:E,0)),"N")</f>
        <v>N</v>
      </c>
      <c r="L624" t="s">
        <v>2258</v>
      </c>
      <c r="M624" t="s">
        <v>3933</v>
      </c>
      <c r="N624">
        <v>4.59</v>
      </c>
      <c r="O624">
        <v>4.8449999999999998</v>
      </c>
      <c r="P624" s="6">
        <v>42037.391331018516</v>
      </c>
      <c r="Q624" t="s">
        <v>3896</v>
      </c>
      <c r="R624" t="s">
        <v>3897</v>
      </c>
      <c r="S624" t="s">
        <v>12565</v>
      </c>
      <c r="T624">
        <v>0</v>
      </c>
      <c r="X624" t="b">
        <v>1</v>
      </c>
      <c r="Y624" s="6">
        <v>42037.431944444441</v>
      </c>
    </row>
    <row r="625" spans="1:25" x14ac:dyDescent="0.25">
      <c r="A625" t="s">
        <v>13372</v>
      </c>
      <c r="B625" t="s">
        <v>13373</v>
      </c>
      <c r="C625">
        <v>2.5</v>
      </c>
      <c r="D625" t="s">
        <v>3893</v>
      </c>
      <c r="E625" t="s">
        <v>4117</v>
      </c>
      <c r="F625" s="18">
        <v>42005</v>
      </c>
      <c r="G625" s="18">
        <v>42026</v>
      </c>
      <c r="H625" s="18" t="str">
        <f>IFERROR(INDEX('Docs Signed Input'!B:B,MATCH('Nate''s Evolution'!$B625,'Docs Signed Input'!E:E,0)),"N")</f>
        <v>N</v>
      </c>
      <c r="I625" s="18" t="str">
        <f>IFERROR(INDEX('Docs Signed Input'!C:C,MATCH('Nate''s Evolution'!B625,'Docs Signed Input'!E:E,0)),"N")</f>
        <v>N</v>
      </c>
      <c r="L625" t="s">
        <v>2258</v>
      </c>
      <c r="M625" t="s">
        <v>3948</v>
      </c>
      <c r="N625">
        <v>2.5</v>
      </c>
      <c r="O625">
        <v>2.5</v>
      </c>
      <c r="P625" s="6">
        <v>42035.818124999998</v>
      </c>
      <c r="Q625" t="s">
        <v>3896</v>
      </c>
      <c r="R625" t="s">
        <v>4010</v>
      </c>
      <c r="S625" t="s">
        <v>3352</v>
      </c>
      <c r="T625">
        <v>2</v>
      </c>
      <c r="X625" t="b">
        <v>1</v>
      </c>
      <c r="Y625" s="6">
        <v>42037.431944444441</v>
      </c>
    </row>
    <row r="626" spans="1:25" x14ac:dyDescent="0.25">
      <c r="A626" t="s">
        <v>13165</v>
      </c>
      <c r="B626" t="s">
        <v>13166</v>
      </c>
      <c r="C626">
        <v>6.12</v>
      </c>
      <c r="D626" t="s">
        <v>3893</v>
      </c>
      <c r="E626" t="s">
        <v>3916</v>
      </c>
      <c r="F626" s="18">
        <v>42005</v>
      </c>
      <c r="G626" s="18">
        <v>42027</v>
      </c>
      <c r="H626" s="18" t="str">
        <f>IFERROR(INDEX('Docs Signed Input'!B:B,MATCH('Nate''s Evolution'!$B626,'Docs Signed Input'!E:E,0)),"N")</f>
        <v>N</v>
      </c>
      <c r="I626" s="18" t="str">
        <f>IFERROR(INDEX('Docs Signed Input'!C:C,MATCH('Nate''s Evolution'!B626,'Docs Signed Input'!E:E,0)),"N")</f>
        <v>N</v>
      </c>
      <c r="L626" t="s">
        <v>2258</v>
      </c>
      <c r="M626" t="s">
        <v>3986</v>
      </c>
      <c r="N626">
        <v>6.12</v>
      </c>
      <c r="O626">
        <v>6.12</v>
      </c>
      <c r="P626" s="6">
        <v>42035.818124999998</v>
      </c>
      <c r="Q626" t="s">
        <v>3896</v>
      </c>
      <c r="R626" t="s">
        <v>11563</v>
      </c>
      <c r="S626" t="s">
        <v>2317</v>
      </c>
      <c r="T626">
        <v>2</v>
      </c>
      <c r="X626" t="b">
        <v>1</v>
      </c>
      <c r="Y626" s="6">
        <v>42037.431944444441</v>
      </c>
    </row>
    <row r="627" spans="1:25" x14ac:dyDescent="0.25">
      <c r="A627" t="s">
        <v>13184</v>
      </c>
      <c r="B627" t="s">
        <v>13185</v>
      </c>
      <c r="C627">
        <v>6.25</v>
      </c>
      <c r="D627" t="s">
        <v>3922</v>
      </c>
      <c r="E627" t="s">
        <v>3951</v>
      </c>
      <c r="F627" s="18">
        <v>42005</v>
      </c>
      <c r="G627" s="18">
        <v>42027</v>
      </c>
      <c r="H627" s="18" t="str">
        <f>IFERROR(INDEX('Docs Signed Input'!B:B,MATCH('Nate''s Evolution'!$B627,'Docs Signed Input'!E:E,0)),"N")</f>
        <v>N</v>
      </c>
      <c r="I627" s="18" t="str">
        <f>IFERROR(INDEX('Docs Signed Input'!C:C,MATCH('Nate''s Evolution'!B627,'Docs Signed Input'!E:E,0)),"N")</f>
        <v>Y</v>
      </c>
      <c r="J627" s="18">
        <v>42030</v>
      </c>
      <c r="K627" s="18">
        <v>42037</v>
      </c>
      <c r="L627" t="s">
        <v>2258</v>
      </c>
      <c r="M627" t="s">
        <v>6056</v>
      </c>
      <c r="N627">
        <v>6.25</v>
      </c>
      <c r="O627">
        <v>6.5</v>
      </c>
      <c r="P627" s="6">
        <v>42037.417986111112</v>
      </c>
      <c r="Q627" t="s">
        <v>3896</v>
      </c>
      <c r="R627" t="s">
        <v>11563</v>
      </c>
      <c r="S627" t="s">
        <v>11511</v>
      </c>
      <c r="T627">
        <v>0</v>
      </c>
      <c r="X627" t="b">
        <v>1</v>
      </c>
      <c r="Y627" s="6">
        <v>42037.431944444441</v>
      </c>
    </row>
    <row r="628" spans="1:25" x14ac:dyDescent="0.25">
      <c r="A628" t="s">
        <v>13201</v>
      </c>
      <c r="B628" t="s">
        <v>13202</v>
      </c>
      <c r="C628">
        <v>17.420000000000002</v>
      </c>
      <c r="D628" t="s">
        <v>3893</v>
      </c>
      <c r="E628" t="s">
        <v>3989</v>
      </c>
      <c r="F628" s="18">
        <v>42005</v>
      </c>
      <c r="G628" s="18">
        <v>42027</v>
      </c>
      <c r="H628" s="18" t="str">
        <f>IFERROR(INDEX('Docs Signed Input'!B:B,MATCH('Nate''s Evolution'!$B628,'Docs Signed Input'!E:E,0)),"N")</f>
        <v>Y</v>
      </c>
      <c r="I628" s="18" t="str">
        <f>IFERROR(INDEX('Docs Signed Input'!C:C,MATCH('Nate''s Evolution'!B628,'Docs Signed Input'!E:E,0)),"N")</f>
        <v>N</v>
      </c>
      <c r="L628" t="s">
        <v>2258</v>
      </c>
      <c r="M628" t="s">
        <v>4048</v>
      </c>
      <c r="N628">
        <v>17.420000000000002</v>
      </c>
      <c r="O628">
        <v>17.420000000000002</v>
      </c>
      <c r="P628" s="6">
        <v>42035.818124999998</v>
      </c>
      <c r="Q628" t="s">
        <v>3896</v>
      </c>
      <c r="R628" t="s">
        <v>3897</v>
      </c>
      <c r="S628" t="s">
        <v>3352</v>
      </c>
      <c r="T628">
        <v>2</v>
      </c>
      <c r="X628" t="b">
        <v>1</v>
      </c>
      <c r="Y628" s="6">
        <v>42037.431944444441</v>
      </c>
    </row>
    <row r="629" spans="1:25" x14ac:dyDescent="0.25">
      <c r="A629" t="s">
        <v>13208</v>
      </c>
      <c r="B629" t="s">
        <v>13209</v>
      </c>
      <c r="C629">
        <v>5.72</v>
      </c>
      <c r="D629" t="s">
        <v>2230</v>
      </c>
      <c r="E629" t="s">
        <v>3984</v>
      </c>
      <c r="F629" s="18">
        <v>42005</v>
      </c>
      <c r="G629" s="18">
        <v>42027</v>
      </c>
      <c r="H629" s="18" t="str">
        <f>IFERROR(INDEX('Docs Signed Input'!B:B,MATCH('Nate''s Evolution'!$B629,'Docs Signed Input'!E:E,0)),"N")</f>
        <v>Y</v>
      </c>
      <c r="I629" s="18" t="str">
        <f>IFERROR(INDEX('Docs Signed Input'!C:C,MATCH('Nate''s Evolution'!B629,'Docs Signed Input'!E:E,0)),"N")</f>
        <v>N</v>
      </c>
      <c r="L629" t="s">
        <v>2258</v>
      </c>
      <c r="M629" t="s">
        <v>5081</v>
      </c>
      <c r="N629">
        <v>5.72</v>
      </c>
      <c r="O629">
        <v>5.72</v>
      </c>
      <c r="P629" s="6">
        <v>42029.818344907406</v>
      </c>
      <c r="Q629" t="s">
        <v>3896</v>
      </c>
      <c r="R629" t="s">
        <v>10312</v>
      </c>
      <c r="S629" t="s">
        <v>3312</v>
      </c>
      <c r="T629">
        <v>8</v>
      </c>
      <c r="U629" t="b">
        <v>1</v>
      </c>
      <c r="Y629" s="6">
        <v>42037.431944444441</v>
      </c>
    </row>
    <row r="630" spans="1:25" x14ac:dyDescent="0.25">
      <c r="A630" t="s">
        <v>13229</v>
      </c>
      <c r="B630" t="s">
        <v>13230</v>
      </c>
      <c r="C630">
        <v>6.25</v>
      </c>
      <c r="D630" t="s">
        <v>3893</v>
      </c>
      <c r="E630" t="s">
        <v>3989</v>
      </c>
      <c r="F630" s="18">
        <v>42005</v>
      </c>
      <c r="G630" s="18">
        <v>42027</v>
      </c>
      <c r="H630" s="18" t="str">
        <f>IFERROR(INDEX('Docs Signed Input'!B:B,MATCH('Nate''s Evolution'!$B630,'Docs Signed Input'!E:E,0)),"N")</f>
        <v>Y</v>
      </c>
      <c r="I630" s="18" t="str">
        <f>IFERROR(INDEX('Docs Signed Input'!C:C,MATCH('Nate''s Evolution'!B630,'Docs Signed Input'!E:E,0)),"N")</f>
        <v>N</v>
      </c>
      <c r="L630" t="s">
        <v>2258</v>
      </c>
      <c r="M630" t="s">
        <v>12976</v>
      </c>
      <c r="N630">
        <v>6.25</v>
      </c>
      <c r="O630">
        <v>6.25</v>
      </c>
      <c r="P630" s="6">
        <v>42035.818124999998</v>
      </c>
      <c r="Q630" t="s">
        <v>3896</v>
      </c>
      <c r="R630" t="s">
        <v>3918</v>
      </c>
      <c r="S630" t="s">
        <v>12283</v>
      </c>
      <c r="T630">
        <v>2</v>
      </c>
      <c r="X630" t="b">
        <v>1</v>
      </c>
      <c r="Y630" s="6">
        <v>42037.431944444441</v>
      </c>
    </row>
    <row r="631" spans="1:25" x14ac:dyDescent="0.25">
      <c r="A631" t="s">
        <v>13247</v>
      </c>
      <c r="B631" t="s">
        <v>13248</v>
      </c>
      <c r="C631">
        <v>3</v>
      </c>
      <c r="D631" t="s">
        <v>3893</v>
      </c>
      <c r="E631" t="s">
        <v>4117</v>
      </c>
      <c r="F631" s="18">
        <v>42005</v>
      </c>
      <c r="G631" s="18">
        <v>42027</v>
      </c>
      <c r="H631" s="18" t="str">
        <f>IFERROR(INDEX('Docs Signed Input'!B:B,MATCH('Nate''s Evolution'!$B631,'Docs Signed Input'!E:E,0)),"N")</f>
        <v>N</v>
      </c>
      <c r="I631" s="18" t="str">
        <f>IFERROR(INDEX('Docs Signed Input'!C:C,MATCH('Nate''s Evolution'!B631,'Docs Signed Input'!E:E,0)),"N")</f>
        <v>N</v>
      </c>
      <c r="L631" t="s">
        <v>2258</v>
      </c>
      <c r="M631" t="s">
        <v>4000</v>
      </c>
      <c r="N631">
        <v>3</v>
      </c>
      <c r="O631">
        <v>3</v>
      </c>
      <c r="P631" s="6">
        <v>42035.818124999998</v>
      </c>
      <c r="Q631" t="s">
        <v>3896</v>
      </c>
      <c r="R631" t="s">
        <v>4010</v>
      </c>
      <c r="S631" t="s">
        <v>3406</v>
      </c>
      <c r="T631">
        <v>2</v>
      </c>
      <c r="X631" t="b">
        <v>1</v>
      </c>
      <c r="Y631" s="6">
        <v>42037.431944444441</v>
      </c>
    </row>
    <row r="632" spans="1:25" x14ac:dyDescent="0.25">
      <c r="A632" t="s">
        <v>13262</v>
      </c>
      <c r="B632" t="s">
        <v>13263</v>
      </c>
      <c r="C632">
        <v>4.42</v>
      </c>
      <c r="D632" t="s">
        <v>3893</v>
      </c>
      <c r="E632" t="s">
        <v>4117</v>
      </c>
      <c r="F632" s="18">
        <v>42005</v>
      </c>
      <c r="G632" s="18">
        <v>42027</v>
      </c>
      <c r="H632" s="18" t="str">
        <f>IFERROR(INDEX('Docs Signed Input'!B:B,MATCH('Nate''s Evolution'!$B632,'Docs Signed Input'!E:E,0)),"N")</f>
        <v>Y</v>
      </c>
      <c r="I632" s="18" t="str">
        <f>IFERROR(INDEX('Docs Signed Input'!C:C,MATCH('Nate''s Evolution'!B632,'Docs Signed Input'!E:E,0)),"N")</f>
        <v>N</v>
      </c>
      <c r="L632" t="s">
        <v>2258</v>
      </c>
      <c r="M632" t="s">
        <v>4048</v>
      </c>
      <c r="N632">
        <v>4.42</v>
      </c>
      <c r="O632">
        <v>4.42</v>
      </c>
      <c r="P632" s="6">
        <v>42035.818124999998</v>
      </c>
      <c r="Q632" t="s">
        <v>3896</v>
      </c>
      <c r="R632" t="s">
        <v>8024</v>
      </c>
      <c r="S632" t="s">
        <v>2889</v>
      </c>
      <c r="T632">
        <v>2</v>
      </c>
      <c r="X632" t="b">
        <v>1</v>
      </c>
      <c r="Y632" s="6">
        <v>42037.431944444441</v>
      </c>
    </row>
    <row r="633" spans="1:25" x14ac:dyDescent="0.25">
      <c r="A633" t="s">
        <v>13270</v>
      </c>
      <c r="B633" t="s">
        <v>13271</v>
      </c>
      <c r="C633">
        <v>3</v>
      </c>
      <c r="D633" t="s">
        <v>3893</v>
      </c>
      <c r="E633" t="s">
        <v>4117</v>
      </c>
      <c r="F633" s="18">
        <v>42005</v>
      </c>
      <c r="G633" s="18">
        <v>42027</v>
      </c>
      <c r="H633" s="18" t="str">
        <f>IFERROR(INDEX('Docs Signed Input'!B:B,MATCH('Nate''s Evolution'!$B633,'Docs Signed Input'!E:E,0)),"N")</f>
        <v>N</v>
      </c>
      <c r="I633" s="18" t="str">
        <f>IFERROR(INDEX('Docs Signed Input'!C:C,MATCH('Nate''s Evolution'!B633,'Docs Signed Input'!E:E,0)),"N")</f>
        <v>N</v>
      </c>
      <c r="L633" t="s">
        <v>2258</v>
      </c>
      <c r="M633" t="s">
        <v>3926</v>
      </c>
      <c r="N633">
        <v>3</v>
      </c>
      <c r="O633">
        <v>3</v>
      </c>
      <c r="P633" s="6">
        <v>42035.818124999998</v>
      </c>
      <c r="Q633" t="s">
        <v>3896</v>
      </c>
      <c r="R633" t="s">
        <v>11563</v>
      </c>
      <c r="S633" t="s">
        <v>3489</v>
      </c>
      <c r="T633">
        <v>2</v>
      </c>
      <c r="X633" t="b">
        <v>1</v>
      </c>
      <c r="Y633" s="6">
        <v>42037.431944444441</v>
      </c>
    </row>
    <row r="634" spans="1:25" x14ac:dyDescent="0.25">
      <c r="A634" t="s">
        <v>13279</v>
      </c>
      <c r="B634" t="s">
        <v>13280</v>
      </c>
      <c r="C634">
        <v>3.3149999999999999</v>
      </c>
      <c r="D634" t="s">
        <v>3893</v>
      </c>
      <c r="E634" t="s">
        <v>3989</v>
      </c>
      <c r="F634" s="18">
        <v>42005</v>
      </c>
      <c r="G634" s="18">
        <v>42027</v>
      </c>
      <c r="H634" s="18" t="str">
        <f>IFERROR(INDEX('Docs Signed Input'!B:B,MATCH('Nate''s Evolution'!$B634,'Docs Signed Input'!E:E,0)),"N")</f>
        <v>N</v>
      </c>
      <c r="I634" s="18" t="str">
        <f>IFERROR(INDEX('Docs Signed Input'!C:C,MATCH('Nate''s Evolution'!B634,'Docs Signed Input'!E:E,0)),"N")</f>
        <v>N</v>
      </c>
      <c r="L634" t="s">
        <v>2258</v>
      </c>
      <c r="M634" t="s">
        <v>3932</v>
      </c>
      <c r="N634">
        <v>3.3149999999999999</v>
      </c>
      <c r="O634">
        <v>3.3149999999999999</v>
      </c>
      <c r="P634" s="6">
        <v>42035.818124999998</v>
      </c>
      <c r="Q634" t="s">
        <v>3896</v>
      </c>
      <c r="R634" t="s">
        <v>11563</v>
      </c>
      <c r="S634" t="s">
        <v>3589</v>
      </c>
      <c r="T634">
        <v>2</v>
      </c>
      <c r="X634" t="b">
        <v>1</v>
      </c>
      <c r="Y634" s="6">
        <v>42037.431944444441</v>
      </c>
    </row>
    <row r="635" spans="1:25" x14ac:dyDescent="0.25">
      <c r="A635" t="s">
        <v>13351</v>
      </c>
      <c r="B635" t="s">
        <v>13352</v>
      </c>
      <c r="C635">
        <v>10.455</v>
      </c>
      <c r="D635" t="s">
        <v>3893</v>
      </c>
      <c r="E635" t="s">
        <v>3989</v>
      </c>
      <c r="F635" s="18">
        <v>42005</v>
      </c>
      <c r="G635" s="18">
        <v>42027</v>
      </c>
      <c r="H635" s="18" t="str">
        <f>IFERROR(INDEX('Docs Signed Input'!B:B,MATCH('Nate''s Evolution'!$B635,'Docs Signed Input'!E:E,0)),"N")</f>
        <v>N</v>
      </c>
      <c r="I635" s="18" t="str">
        <f>IFERROR(INDEX('Docs Signed Input'!C:C,MATCH('Nate''s Evolution'!B635,'Docs Signed Input'!E:E,0)),"N")</f>
        <v>N</v>
      </c>
      <c r="L635" t="s">
        <v>2258</v>
      </c>
      <c r="M635" t="s">
        <v>3933</v>
      </c>
      <c r="N635">
        <v>10.455</v>
      </c>
      <c r="O635">
        <v>10.455</v>
      </c>
      <c r="P635" s="6">
        <v>42035.818124999998</v>
      </c>
      <c r="Q635" t="s">
        <v>3896</v>
      </c>
      <c r="R635" t="s">
        <v>3911</v>
      </c>
      <c r="S635" t="s">
        <v>11497</v>
      </c>
      <c r="T635">
        <v>2</v>
      </c>
      <c r="X635" t="b">
        <v>1</v>
      </c>
      <c r="Y635" s="6">
        <v>42037.431944444441</v>
      </c>
    </row>
    <row r="636" spans="1:25" x14ac:dyDescent="0.25">
      <c r="A636" t="s">
        <v>13355</v>
      </c>
      <c r="B636" t="s">
        <v>13356</v>
      </c>
      <c r="C636">
        <v>6.25</v>
      </c>
      <c r="D636" t="s">
        <v>3893</v>
      </c>
      <c r="E636" t="s">
        <v>3989</v>
      </c>
      <c r="F636" s="18">
        <v>42005</v>
      </c>
      <c r="G636" s="18">
        <v>42027</v>
      </c>
      <c r="H636" s="18" t="str">
        <f>IFERROR(INDEX('Docs Signed Input'!B:B,MATCH('Nate''s Evolution'!$B636,'Docs Signed Input'!E:E,0)),"N")</f>
        <v>N</v>
      </c>
      <c r="I636" s="18" t="str">
        <f>IFERROR(INDEX('Docs Signed Input'!C:C,MATCH('Nate''s Evolution'!B636,'Docs Signed Input'!E:E,0)),"N")</f>
        <v>N</v>
      </c>
      <c r="L636" t="s">
        <v>2258</v>
      </c>
      <c r="M636" t="s">
        <v>12976</v>
      </c>
      <c r="N636">
        <v>6.25</v>
      </c>
      <c r="O636">
        <v>6.25</v>
      </c>
      <c r="P636" s="6">
        <v>42035.818124999998</v>
      </c>
      <c r="Q636" t="s">
        <v>3896</v>
      </c>
      <c r="R636" t="s">
        <v>11563</v>
      </c>
      <c r="S636" t="s">
        <v>3943</v>
      </c>
      <c r="T636">
        <v>2</v>
      </c>
      <c r="X636" t="b">
        <v>1</v>
      </c>
      <c r="Y636" s="6">
        <v>42037.431944444441</v>
      </c>
    </row>
    <row r="637" spans="1:25" x14ac:dyDescent="0.25">
      <c r="A637" t="s">
        <v>13130</v>
      </c>
      <c r="B637" t="s">
        <v>13131</v>
      </c>
      <c r="C637">
        <v>2.75</v>
      </c>
      <c r="D637" t="s">
        <v>3893</v>
      </c>
      <c r="E637" t="s">
        <v>3989</v>
      </c>
      <c r="F637" s="18">
        <v>42005</v>
      </c>
      <c r="G637" s="18">
        <v>42028</v>
      </c>
      <c r="H637" s="18" t="str">
        <f>IFERROR(INDEX('Docs Signed Input'!B:B,MATCH('Nate''s Evolution'!$B637,'Docs Signed Input'!E:E,0)),"N")</f>
        <v>N</v>
      </c>
      <c r="I637" s="18" t="str">
        <f>IFERROR(INDEX('Docs Signed Input'!C:C,MATCH('Nate''s Evolution'!B637,'Docs Signed Input'!E:E,0)),"N")</f>
        <v>N</v>
      </c>
      <c r="L637" t="s">
        <v>2258</v>
      </c>
      <c r="M637" t="s">
        <v>3926</v>
      </c>
      <c r="N637">
        <v>2.75</v>
      </c>
      <c r="O637">
        <v>2.75</v>
      </c>
      <c r="P637" s="6">
        <v>42035.818124999998</v>
      </c>
      <c r="Q637" t="s">
        <v>3896</v>
      </c>
      <c r="R637" t="s">
        <v>11563</v>
      </c>
      <c r="S637" t="s">
        <v>3650</v>
      </c>
      <c r="T637">
        <v>2</v>
      </c>
      <c r="X637" t="b">
        <v>1</v>
      </c>
      <c r="Y637" s="6">
        <v>42037.431944444441</v>
      </c>
    </row>
    <row r="638" spans="1:25" x14ac:dyDescent="0.25">
      <c r="A638" t="s">
        <v>13138</v>
      </c>
      <c r="B638" t="s">
        <v>13139</v>
      </c>
      <c r="C638">
        <v>8.16</v>
      </c>
      <c r="D638" t="s">
        <v>3893</v>
      </c>
      <c r="E638" t="s">
        <v>3989</v>
      </c>
      <c r="F638" s="18">
        <v>42005</v>
      </c>
      <c r="G638" s="18">
        <v>42028</v>
      </c>
      <c r="H638" s="18" t="str">
        <f>IFERROR(INDEX('Docs Signed Input'!B:B,MATCH('Nate''s Evolution'!$B638,'Docs Signed Input'!E:E,0)),"N")</f>
        <v>N</v>
      </c>
      <c r="I638" s="18" t="str">
        <f>IFERROR(INDEX('Docs Signed Input'!C:C,MATCH('Nate''s Evolution'!B638,'Docs Signed Input'!E:E,0)),"N")</f>
        <v>N</v>
      </c>
      <c r="L638" t="s">
        <v>2258</v>
      </c>
      <c r="M638" t="s">
        <v>3933</v>
      </c>
      <c r="N638">
        <v>8.16</v>
      </c>
      <c r="O638">
        <v>8.16</v>
      </c>
      <c r="P638" s="6">
        <v>42035.818124999998</v>
      </c>
      <c r="Q638" t="s">
        <v>3896</v>
      </c>
      <c r="R638" t="s">
        <v>11563</v>
      </c>
      <c r="S638" t="s">
        <v>11503</v>
      </c>
      <c r="T638">
        <v>2</v>
      </c>
      <c r="X638" t="b">
        <v>1</v>
      </c>
      <c r="Y638" s="6">
        <v>42037.431944444441</v>
      </c>
    </row>
    <row r="639" spans="1:25" x14ac:dyDescent="0.25">
      <c r="A639" t="s">
        <v>13144</v>
      </c>
      <c r="B639" t="s">
        <v>13145</v>
      </c>
      <c r="C639">
        <v>4.9400000000000004</v>
      </c>
      <c r="D639" t="s">
        <v>3893</v>
      </c>
      <c r="E639" t="s">
        <v>3989</v>
      </c>
      <c r="F639" s="18">
        <v>42005</v>
      </c>
      <c r="G639" s="18">
        <v>42028</v>
      </c>
      <c r="H639" s="18" t="str">
        <f>IFERROR(INDEX('Docs Signed Input'!B:B,MATCH('Nate''s Evolution'!$B639,'Docs Signed Input'!E:E,0)),"N")</f>
        <v>N</v>
      </c>
      <c r="I639" s="18" t="str">
        <f>IFERROR(INDEX('Docs Signed Input'!C:C,MATCH('Nate''s Evolution'!B639,'Docs Signed Input'!E:E,0)),"N")</f>
        <v>N</v>
      </c>
      <c r="L639" t="s">
        <v>2258</v>
      </c>
      <c r="M639" t="s">
        <v>10253</v>
      </c>
      <c r="N639">
        <v>4.9400000000000004</v>
      </c>
      <c r="O639">
        <v>4.9400000000000004</v>
      </c>
      <c r="P639" s="6">
        <v>42035.818124999998</v>
      </c>
      <c r="Q639" t="s">
        <v>3896</v>
      </c>
      <c r="R639" t="s">
        <v>13146</v>
      </c>
      <c r="S639" t="s">
        <v>12498</v>
      </c>
      <c r="T639">
        <v>2</v>
      </c>
      <c r="X639" t="b">
        <v>1</v>
      </c>
      <c r="Y639" s="6">
        <v>42037.431944444441</v>
      </c>
    </row>
    <row r="640" spans="1:25" x14ac:dyDescent="0.25">
      <c r="A640" t="s">
        <v>13149</v>
      </c>
      <c r="B640" t="s">
        <v>13150</v>
      </c>
      <c r="C640">
        <v>5.0999999999999996</v>
      </c>
      <c r="D640" t="s">
        <v>3893</v>
      </c>
      <c r="E640" t="s">
        <v>3989</v>
      </c>
      <c r="F640" s="18">
        <v>42005</v>
      </c>
      <c r="G640" s="18">
        <v>42028</v>
      </c>
      <c r="H640" s="18" t="str">
        <f>IFERROR(INDEX('Docs Signed Input'!B:B,MATCH('Nate''s Evolution'!$B640,'Docs Signed Input'!E:E,0)),"N")</f>
        <v>N</v>
      </c>
      <c r="I640" s="18" t="str">
        <f>IFERROR(INDEX('Docs Signed Input'!C:C,MATCH('Nate''s Evolution'!B640,'Docs Signed Input'!E:E,0)),"N")</f>
        <v>N</v>
      </c>
      <c r="L640" t="s">
        <v>2258</v>
      </c>
      <c r="M640" t="s">
        <v>3933</v>
      </c>
      <c r="N640">
        <v>5.0999999999999996</v>
      </c>
      <c r="O640">
        <v>5.0999999999999996</v>
      </c>
      <c r="P640" s="6">
        <v>42035.818124999998</v>
      </c>
      <c r="Q640" t="s">
        <v>3896</v>
      </c>
      <c r="R640" t="s">
        <v>11563</v>
      </c>
      <c r="S640" t="s">
        <v>12828</v>
      </c>
      <c r="T640">
        <v>2</v>
      </c>
      <c r="X640" t="b">
        <v>1</v>
      </c>
      <c r="Y640" s="6">
        <v>42037.431944444441</v>
      </c>
    </row>
    <row r="641" spans="1:25" x14ac:dyDescent="0.25">
      <c r="A641" t="s">
        <v>13158</v>
      </c>
      <c r="B641" t="s">
        <v>13159</v>
      </c>
      <c r="C641">
        <v>4.335</v>
      </c>
      <c r="D641" t="s">
        <v>3893</v>
      </c>
      <c r="E641" t="s">
        <v>3989</v>
      </c>
      <c r="F641" s="18">
        <v>42005</v>
      </c>
      <c r="G641" s="18">
        <v>42028</v>
      </c>
      <c r="H641" s="18" t="str">
        <f>IFERROR(INDEX('Docs Signed Input'!B:B,MATCH('Nate''s Evolution'!$B641,'Docs Signed Input'!E:E,0)),"N")</f>
        <v>N</v>
      </c>
      <c r="I641" s="18" t="str">
        <f>IFERROR(INDEX('Docs Signed Input'!C:C,MATCH('Nate''s Evolution'!B641,'Docs Signed Input'!E:E,0)),"N")</f>
        <v>N</v>
      </c>
      <c r="L641" t="s">
        <v>2258</v>
      </c>
      <c r="M641" t="s">
        <v>4032</v>
      </c>
      <c r="N641">
        <v>4.335</v>
      </c>
      <c r="O641">
        <v>4.335</v>
      </c>
      <c r="P641" s="6">
        <v>42035.818124999998</v>
      </c>
      <c r="Q641" t="s">
        <v>3896</v>
      </c>
      <c r="R641" t="s">
        <v>11563</v>
      </c>
      <c r="S641" t="s">
        <v>12492</v>
      </c>
      <c r="T641">
        <v>2</v>
      </c>
      <c r="X641" t="b">
        <v>1</v>
      </c>
      <c r="Y641" s="6">
        <v>42037.431944444441</v>
      </c>
    </row>
    <row r="642" spans="1:25" x14ac:dyDescent="0.25">
      <c r="A642" t="s">
        <v>13163</v>
      </c>
      <c r="B642" t="s">
        <v>13164</v>
      </c>
      <c r="C642">
        <v>6.25</v>
      </c>
      <c r="D642" t="s">
        <v>3893</v>
      </c>
      <c r="E642" t="s">
        <v>3894</v>
      </c>
      <c r="F642" s="18">
        <v>42005</v>
      </c>
      <c r="G642" s="18">
        <v>42028</v>
      </c>
      <c r="H642" s="18" t="str">
        <f>IFERROR(INDEX('Docs Signed Input'!B:B,MATCH('Nate''s Evolution'!$B642,'Docs Signed Input'!E:E,0)),"N")</f>
        <v>N</v>
      </c>
      <c r="I642" s="18" t="str">
        <f>IFERROR(INDEX('Docs Signed Input'!C:C,MATCH('Nate''s Evolution'!B642,'Docs Signed Input'!E:E,0)),"N")</f>
        <v>N</v>
      </c>
      <c r="L642" t="s">
        <v>2258</v>
      </c>
      <c r="M642" t="s">
        <v>3926</v>
      </c>
      <c r="N642">
        <v>6.25</v>
      </c>
      <c r="O642">
        <v>6.75</v>
      </c>
      <c r="P642" s="6">
        <v>42035.818124999998</v>
      </c>
      <c r="Q642" t="s">
        <v>3896</v>
      </c>
      <c r="R642" t="s">
        <v>11563</v>
      </c>
      <c r="S642" t="s">
        <v>2591</v>
      </c>
      <c r="T642">
        <v>2</v>
      </c>
      <c r="X642" t="b">
        <v>1</v>
      </c>
      <c r="Y642" s="6">
        <v>42037.431944444441</v>
      </c>
    </row>
    <row r="643" spans="1:25" x14ac:dyDescent="0.25">
      <c r="A643" t="s">
        <v>13167</v>
      </c>
      <c r="B643" t="s">
        <v>13168</v>
      </c>
      <c r="C643">
        <v>4</v>
      </c>
      <c r="D643" t="s">
        <v>3893</v>
      </c>
      <c r="E643" t="s">
        <v>3894</v>
      </c>
      <c r="F643" s="18">
        <v>42005</v>
      </c>
      <c r="G643" s="18">
        <v>42028</v>
      </c>
      <c r="H643" s="18" t="str">
        <f>IFERROR(INDEX('Docs Signed Input'!B:B,MATCH('Nate''s Evolution'!$B643,'Docs Signed Input'!E:E,0)),"N")</f>
        <v>N</v>
      </c>
      <c r="I643" s="18" t="str">
        <f>IFERROR(INDEX('Docs Signed Input'!C:C,MATCH('Nate''s Evolution'!B643,'Docs Signed Input'!E:E,0)),"N")</f>
        <v>N</v>
      </c>
      <c r="L643" t="s">
        <v>2258</v>
      </c>
      <c r="M643" t="s">
        <v>3902</v>
      </c>
      <c r="N643">
        <v>4</v>
      </c>
      <c r="O643">
        <v>5.25</v>
      </c>
      <c r="P643" s="6">
        <v>42035.818124999998</v>
      </c>
      <c r="Q643" t="s">
        <v>3896</v>
      </c>
      <c r="R643" t="s">
        <v>11563</v>
      </c>
      <c r="S643" t="s">
        <v>12275</v>
      </c>
      <c r="T643">
        <v>2</v>
      </c>
      <c r="X643" t="b">
        <v>1</v>
      </c>
      <c r="Y643" s="6">
        <v>42037.431944444441</v>
      </c>
    </row>
    <row r="644" spans="1:25" x14ac:dyDescent="0.25">
      <c r="A644" t="s">
        <v>13175</v>
      </c>
      <c r="B644" t="s">
        <v>13176</v>
      </c>
      <c r="C644">
        <v>9</v>
      </c>
      <c r="D644" t="s">
        <v>3893</v>
      </c>
      <c r="E644" t="s">
        <v>3989</v>
      </c>
      <c r="F644" s="18">
        <v>42005</v>
      </c>
      <c r="G644" s="18">
        <v>42028</v>
      </c>
      <c r="H644" s="18" t="str">
        <f>IFERROR(INDEX('Docs Signed Input'!B:B,MATCH('Nate''s Evolution'!$B644,'Docs Signed Input'!E:E,0)),"N")</f>
        <v>N</v>
      </c>
      <c r="I644" s="18" t="str">
        <f>IFERROR(INDEX('Docs Signed Input'!C:C,MATCH('Nate''s Evolution'!B644,'Docs Signed Input'!E:E,0)),"N")</f>
        <v>N</v>
      </c>
      <c r="L644" t="s">
        <v>2258</v>
      </c>
      <c r="M644" t="s">
        <v>3902</v>
      </c>
      <c r="N644">
        <v>9</v>
      </c>
      <c r="O644">
        <v>9</v>
      </c>
      <c r="P644" s="6">
        <v>42035.818124999998</v>
      </c>
      <c r="Q644" t="s">
        <v>3896</v>
      </c>
      <c r="R644" t="s">
        <v>11563</v>
      </c>
      <c r="S644" t="s">
        <v>2727</v>
      </c>
      <c r="T644">
        <v>2</v>
      </c>
      <c r="X644" t="b">
        <v>1</v>
      </c>
      <c r="Y644" s="6">
        <v>42037.431944444441</v>
      </c>
    </row>
    <row r="645" spans="1:25" x14ac:dyDescent="0.25">
      <c r="A645" t="s">
        <v>13179</v>
      </c>
      <c r="B645" t="s">
        <v>13181</v>
      </c>
      <c r="C645">
        <v>4.9400000000000004</v>
      </c>
      <c r="D645" t="s">
        <v>3893</v>
      </c>
      <c r="E645" t="s">
        <v>3989</v>
      </c>
      <c r="F645" s="18">
        <v>42005</v>
      </c>
      <c r="G645" s="18">
        <v>42028</v>
      </c>
      <c r="H645" s="18" t="str">
        <f>IFERROR(INDEX('Docs Signed Input'!B:B,MATCH('Nate''s Evolution'!$B645,'Docs Signed Input'!E:E,0)),"N")</f>
        <v>N</v>
      </c>
      <c r="I645" s="18" t="str">
        <f>IFERROR(INDEX('Docs Signed Input'!C:C,MATCH('Nate''s Evolution'!B645,'Docs Signed Input'!E:E,0)),"N")</f>
        <v>N</v>
      </c>
      <c r="L645" t="s">
        <v>2258</v>
      </c>
      <c r="M645" t="s">
        <v>4048</v>
      </c>
      <c r="N645">
        <v>4.9400000000000004</v>
      </c>
      <c r="O645">
        <v>4.9400000000000004</v>
      </c>
      <c r="P645" s="6">
        <v>42035.818124999998</v>
      </c>
      <c r="Q645" t="s">
        <v>3896</v>
      </c>
      <c r="R645" t="s">
        <v>11563</v>
      </c>
      <c r="S645" t="s">
        <v>2703</v>
      </c>
      <c r="T645">
        <v>2</v>
      </c>
      <c r="X645" t="b">
        <v>1</v>
      </c>
      <c r="Y645" s="6">
        <v>42037.431944444441</v>
      </c>
    </row>
    <row r="646" spans="1:25" x14ac:dyDescent="0.25">
      <c r="A646" t="s">
        <v>13182</v>
      </c>
      <c r="B646" t="s">
        <v>13183</v>
      </c>
      <c r="C646">
        <v>8.32</v>
      </c>
      <c r="D646" t="s">
        <v>3893</v>
      </c>
      <c r="E646" t="s">
        <v>3989</v>
      </c>
      <c r="F646" s="18">
        <v>42005</v>
      </c>
      <c r="G646" s="18">
        <v>42028</v>
      </c>
      <c r="H646" s="18" t="str">
        <f>IFERROR(INDEX('Docs Signed Input'!B:B,MATCH('Nate''s Evolution'!$B646,'Docs Signed Input'!E:E,0)),"N")</f>
        <v>N</v>
      </c>
      <c r="I646" s="18" t="str">
        <f>IFERROR(INDEX('Docs Signed Input'!C:C,MATCH('Nate''s Evolution'!B646,'Docs Signed Input'!E:E,0)),"N")</f>
        <v>N</v>
      </c>
      <c r="L646" t="s">
        <v>2258</v>
      </c>
      <c r="M646" t="s">
        <v>4317</v>
      </c>
      <c r="N646">
        <v>8.32</v>
      </c>
      <c r="O646">
        <v>8.32</v>
      </c>
      <c r="P646" s="6">
        <v>42035.818124999998</v>
      </c>
      <c r="Q646" t="s">
        <v>3896</v>
      </c>
      <c r="R646" t="s">
        <v>3911</v>
      </c>
      <c r="S646" t="s">
        <v>3566</v>
      </c>
      <c r="T646">
        <v>2</v>
      </c>
      <c r="X646" t="b">
        <v>1</v>
      </c>
      <c r="Y646" s="6">
        <v>42037.431944444441</v>
      </c>
    </row>
    <row r="647" spans="1:25" x14ac:dyDescent="0.25">
      <c r="A647" t="s">
        <v>13186</v>
      </c>
      <c r="B647" t="s">
        <v>13187</v>
      </c>
      <c r="C647">
        <v>10.5</v>
      </c>
      <c r="D647" t="s">
        <v>3893</v>
      </c>
      <c r="E647" t="s">
        <v>3989</v>
      </c>
      <c r="F647" s="18">
        <v>42005</v>
      </c>
      <c r="G647" s="18">
        <v>42028</v>
      </c>
      <c r="H647" s="18" t="str">
        <f>IFERROR(INDEX('Docs Signed Input'!B:B,MATCH('Nate''s Evolution'!$B647,'Docs Signed Input'!E:E,0)),"N")</f>
        <v>N</v>
      </c>
      <c r="I647" s="18" t="str">
        <f>IFERROR(INDEX('Docs Signed Input'!C:C,MATCH('Nate''s Evolution'!B647,'Docs Signed Input'!E:E,0)),"N")</f>
        <v>N</v>
      </c>
      <c r="L647" t="s">
        <v>2258</v>
      </c>
      <c r="M647" t="s">
        <v>3926</v>
      </c>
      <c r="N647">
        <v>10.5</v>
      </c>
      <c r="O647">
        <v>10.5</v>
      </c>
      <c r="P647" s="6">
        <v>42035.818124999998</v>
      </c>
      <c r="Q647" t="s">
        <v>3896</v>
      </c>
      <c r="R647" t="s">
        <v>11563</v>
      </c>
      <c r="S647" t="s">
        <v>2591</v>
      </c>
      <c r="T647">
        <v>2</v>
      </c>
      <c r="X647" t="b">
        <v>1</v>
      </c>
      <c r="Y647" s="6">
        <v>42037.431944444441</v>
      </c>
    </row>
    <row r="648" spans="1:25" x14ac:dyDescent="0.25">
      <c r="A648" t="s">
        <v>13192</v>
      </c>
      <c r="B648" t="s">
        <v>13193</v>
      </c>
      <c r="C648">
        <v>7.65</v>
      </c>
      <c r="D648" t="s">
        <v>3893</v>
      </c>
      <c r="E648" t="s">
        <v>3989</v>
      </c>
      <c r="F648" s="18">
        <v>42005</v>
      </c>
      <c r="G648" s="18">
        <v>42028</v>
      </c>
      <c r="H648" s="18" t="str">
        <f>IFERROR(INDEX('Docs Signed Input'!B:B,MATCH('Nate''s Evolution'!$B648,'Docs Signed Input'!E:E,0)),"N")</f>
        <v>N</v>
      </c>
      <c r="I648" s="18" t="str">
        <f>IFERROR(INDEX('Docs Signed Input'!C:C,MATCH('Nate''s Evolution'!B648,'Docs Signed Input'!E:E,0)),"N")</f>
        <v>N</v>
      </c>
      <c r="L648" t="s">
        <v>2258</v>
      </c>
      <c r="M648" t="s">
        <v>4032</v>
      </c>
      <c r="N648">
        <v>7.65</v>
      </c>
      <c r="O648">
        <v>7.65</v>
      </c>
      <c r="P648" s="6">
        <v>42035.818124999998</v>
      </c>
      <c r="Q648" t="s">
        <v>3896</v>
      </c>
      <c r="R648" t="s">
        <v>3918</v>
      </c>
      <c r="S648" t="s">
        <v>12794</v>
      </c>
      <c r="T648">
        <v>2</v>
      </c>
      <c r="X648" t="b">
        <v>1</v>
      </c>
      <c r="Y648" s="6">
        <v>42037.431944444441</v>
      </c>
    </row>
    <row r="649" spans="1:25" x14ac:dyDescent="0.25">
      <c r="A649" t="s">
        <v>13196</v>
      </c>
      <c r="B649" t="s">
        <v>13197</v>
      </c>
      <c r="C649">
        <v>6.25</v>
      </c>
      <c r="D649" t="s">
        <v>3893</v>
      </c>
      <c r="E649" t="s">
        <v>3989</v>
      </c>
      <c r="F649" s="18">
        <v>42005</v>
      </c>
      <c r="G649" s="18">
        <v>42028</v>
      </c>
      <c r="H649" s="18" t="str">
        <f>IFERROR(INDEX('Docs Signed Input'!B:B,MATCH('Nate''s Evolution'!$B649,'Docs Signed Input'!E:E,0)),"N")</f>
        <v>N</v>
      </c>
      <c r="I649" s="18" t="str">
        <f>IFERROR(INDEX('Docs Signed Input'!C:C,MATCH('Nate''s Evolution'!B649,'Docs Signed Input'!E:E,0)),"N")</f>
        <v>N</v>
      </c>
      <c r="L649" t="s">
        <v>2258</v>
      </c>
      <c r="M649" t="s">
        <v>3895</v>
      </c>
      <c r="N649">
        <v>6.25</v>
      </c>
      <c r="O649">
        <v>6.25</v>
      </c>
      <c r="P649" s="6">
        <v>42035.818124999998</v>
      </c>
      <c r="Q649" t="s">
        <v>3896</v>
      </c>
      <c r="R649" t="s">
        <v>3897</v>
      </c>
      <c r="S649" t="s">
        <v>2937</v>
      </c>
      <c r="T649">
        <v>2</v>
      </c>
      <c r="X649" t="b">
        <v>1</v>
      </c>
      <c r="Y649" s="6">
        <v>42037.431944444441</v>
      </c>
    </row>
    <row r="650" spans="1:25" x14ac:dyDescent="0.25">
      <c r="A650" t="s">
        <v>13210</v>
      </c>
      <c r="B650" t="s">
        <v>13211</v>
      </c>
      <c r="C650">
        <v>10</v>
      </c>
      <c r="D650" t="s">
        <v>3893</v>
      </c>
      <c r="E650" t="s">
        <v>3894</v>
      </c>
      <c r="F650" s="18">
        <v>42005</v>
      </c>
      <c r="G650" s="18">
        <v>42028</v>
      </c>
      <c r="H650" s="18" t="str">
        <f>IFERROR(INDEX('Docs Signed Input'!B:B,MATCH('Nate''s Evolution'!$B650,'Docs Signed Input'!E:E,0)),"N")</f>
        <v>N</v>
      </c>
      <c r="I650" s="18" t="str">
        <f>IFERROR(INDEX('Docs Signed Input'!C:C,MATCH('Nate''s Evolution'!B650,'Docs Signed Input'!E:E,0)),"N")</f>
        <v>N</v>
      </c>
      <c r="L650" t="s">
        <v>2258</v>
      </c>
      <c r="M650" t="s">
        <v>3902</v>
      </c>
      <c r="N650">
        <v>10</v>
      </c>
      <c r="O650">
        <v>11.25</v>
      </c>
      <c r="P650" s="6">
        <v>42035.818124999998</v>
      </c>
      <c r="Q650" t="s">
        <v>3896</v>
      </c>
      <c r="R650" t="s">
        <v>11563</v>
      </c>
      <c r="S650" t="s">
        <v>4723</v>
      </c>
      <c r="T650">
        <v>2</v>
      </c>
      <c r="X650" t="b">
        <v>1</v>
      </c>
      <c r="Y650" s="6">
        <v>42037.431944444441</v>
      </c>
    </row>
    <row r="651" spans="1:25" x14ac:dyDescent="0.25">
      <c r="A651" t="s">
        <v>13212</v>
      </c>
      <c r="B651" t="s">
        <v>13213</v>
      </c>
      <c r="C651">
        <v>3.57</v>
      </c>
      <c r="D651" t="s">
        <v>3893</v>
      </c>
      <c r="E651" t="s">
        <v>3989</v>
      </c>
      <c r="F651" s="18">
        <v>42005</v>
      </c>
      <c r="G651" s="18">
        <v>42028</v>
      </c>
      <c r="H651" s="18" t="str">
        <f>IFERROR(INDEX('Docs Signed Input'!B:B,MATCH('Nate''s Evolution'!$B651,'Docs Signed Input'!E:E,0)),"N")</f>
        <v>N</v>
      </c>
      <c r="I651" s="18" t="str">
        <f>IFERROR(INDEX('Docs Signed Input'!C:C,MATCH('Nate''s Evolution'!B651,'Docs Signed Input'!E:E,0)),"N")</f>
        <v>N</v>
      </c>
      <c r="L651" t="s">
        <v>2258</v>
      </c>
      <c r="M651" t="s">
        <v>3933</v>
      </c>
      <c r="N651">
        <v>3.57</v>
      </c>
      <c r="O651">
        <v>3.57</v>
      </c>
      <c r="P651" s="6">
        <v>42035.818124999998</v>
      </c>
      <c r="Q651" t="s">
        <v>3896</v>
      </c>
      <c r="R651" t="s">
        <v>11563</v>
      </c>
      <c r="S651" t="s">
        <v>11503</v>
      </c>
      <c r="T651">
        <v>2</v>
      </c>
      <c r="X651" t="b">
        <v>1</v>
      </c>
      <c r="Y651" s="6">
        <v>42037.431944444441</v>
      </c>
    </row>
    <row r="652" spans="1:25" x14ac:dyDescent="0.25">
      <c r="A652" t="s">
        <v>13222</v>
      </c>
      <c r="B652" t="s">
        <v>13223</v>
      </c>
      <c r="C652">
        <v>7</v>
      </c>
      <c r="D652" t="s">
        <v>3893</v>
      </c>
      <c r="E652" t="s">
        <v>3989</v>
      </c>
      <c r="F652" s="18">
        <v>42005</v>
      </c>
      <c r="G652" s="18">
        <v>42028</v>
      </c>
      <c r="H652" s="18" t="str">
        <f>IFERROR(INDEX('Docs Signed Input'!B:B,MATCH('Nate''s Evolution'!$B652,'Docs Signed Input'!E:E,0)),"N")</f>
        <v>N</v>
      </c>
      <c r="I652" s="18" t="str">
        <f>IFERROR(INDEX('Docs Signed Input'!C:C,MATCH('Nate''s Evolution'!B652,'Docs Signed Input'!E:E,0)),"N")</f>
        <v>N</v>
      </c>
      <c r="L652" t="s">
        <v>2258</v>
      </c>
      <c r="M652" t="s">
        <v>4013</v>
      </c>
      <c r="N652">
        <v>7</v>
      </c>
      <c r="O652">
        <v>7</v>
      </c>
      <c r="P652" s="6">
        <v>42035.818124999998</v>
      </c>
      <c r="Q652" t="s">
        <v>3896</v>
      </c>
      <c r="R652" t="s">
        <v>13146</v>
      </c>
      <c r="S652" t="s">
        <v>3674</v>
      </c>
      <c r="T652">
        <v>2</v>
      </c>
      <c r="X652" t="b">
        <v>1</v>
      </c>
      <c r="Y652" s="6">
        <v>42037.431944444441</v>
      </c>
    </row>
    <row r="653" spans="1:25" x14ac:dyDescent="0.25">
      <c r="A653" t="s">
        <v>13226</v>
      </c>
      <c r="B653" t="s">
        <v>13227</v>
      </c>
      <c r="C653">
        <v>8.4149999999999991</v>
      </c>
      <c r="D653" t="s">
        <v>3893</v>
      </c>
      <c r="E653" t="s">
        <v>3894</v>
      </c>
      <c r="F653" s="18">
        <v>42005</v>
      </c>
      <c r="G653" s="18">
        <v>42028</v>
      </c>
      <c r="H653" s="18" t="str">
        <f>IFERROR(INDEX('Docs Signed Input'!B:B,MATCH('Nate''s Evolution'!$B653,'Docs Signed Input'!E:E,0)),"N")</f>
        <v>N</v>
      </c>
      <c r="I653" s="18" t="str">
        <f>IFERROR(INDEX('Docs Signed Input'!C:C,MATCH('Nate''s Evolution'!B653,'Docs Signed Input'!E:E,0)),"N")</f>
        <v>N</v>
      </c>
      <c r="L653" t="s">
        <v>2258</v>
      </c>
      <c r="M653" t="s">
        <v>3933</v>
      </c>
      <c r="N653">
        <v>8.4149999999999991</v>
      </c>
      <c r="O653">
        <v>8.9250000000000007</v>
      </c>
      <c r="P653" s="6">
        <v>42035.818124999998</v>
      </c>
      <c r="Q653" t="s">
        <v>3896</v>
      </c>
      <c r="R653" t="s">
        <v>11563</v>
      </c>
      <c r="S653" t="s">
        <v>12205</v>
      </c>
      <c r="T653">
        <v>2</v>
      </c>
      <c r="X653" t="b">
        <v>1</v>
      </c>
      <c r="Y653" s="6">
        <v>42037.431944444441</v>
      </c>
    </row>
    <row r="654" spans="1:25" x14ac:dyDescent="0.25">
      <c r="A654" t="s">
        <v>13233</v>
      </c>
      <c r="B654" t="s">
        <v>13234</v>
      </c>
      <c r="C654">
        <v>4.9400000000000004</v>
      </c>
      <c r="D654" t="s">
        <v>3893</v>
      </c>
      <c r="E654" t="s">
        <v>3989</v>
      </c>
      <c r="F654" s="18">
        <v>42005</v>
      </c>
      <c r="G654" s="18">
        <v>42028</v>
      </c>
      <c r="H654" s="18" t="str">
        <f>IFERROR(INDEX('Docs Signed Input'!B:B,MATCH('Nate''s Evolution'!$B654,'Docs Signed Input'!E:E,0)),"N")</f>
        <v>N</v>
      </c>
      <c r="I654" s="18" t="str">
        <f>IFERROR(INDEX('Docs Signed Input'!C:C,MATCH('Nate''s Evolution'!B654,'Docs Signed Input'!E:E,0)),"N")</f>
        <v>N</v>
      </c>
      <c r="L654" t="s">
        <v>2258</v>
      </c>
      <c r="M654" t="s">
        <v>4317</v>
      </c>
      <c r="N654">
        <v>4.9400000000000004</v>
      </c>
      <c r="O654">
        <v>4.9400000000000004</v>
      </c>
      <c r="P654" s="6">
        <v>42035.818124999998</v>
      </c>
      <c r="Q654" t="s">
        <v>3896</v>
      </c>
      <c r="R654" t="s">
        <v>11563</v>
      </c>
      <c r="S654" t="s">
        <v>12496</v>
      </c>
      <c r="T654">
        <v>2</v>
      </c>
      <c r="X654" t="b">
        <v>1</v>
      </c>
      <c r="Y654" s="6">
        <v>42037.431944444441</v>
      </c>
    </row>
    <row r="655" spans="1:25" x14ac:dyDescent="0.25">
      <c r="A655" t="s">
        <v>13235</v>
      </c>
      <c r="B655" t="s">
        <v>13236</v>
      </c>
      <c r="C655">
        <v>4.42</v>
      </c>
      <c r="D655" t="s">
        <v>3893</v>
      </c>
      <c r="E655" t="s">
        <v>3894</v>
      </c>
      <c r="F655" s="18">
        <v>42005</v>
      </c>
      <c r="G655" s="18">
        <v>42028</v>
      </c>
      <c r="H655" s="18" t="str">
        <f>IFERROR(INDEX('Docs Signed Input'!B:B,MATCH('Nate''s Evolution'!$B655,'Docs Signed Input'!E:E,0)),"N")</f>
        <v>N</v>
      </c>
      <c r="I655" s="18" t="str">
        <f>IFERROR(INDEX('Docs Signed Input'!C:C,MATCH('Nate''s Evolution'!B655,'Docs Signed Input'!E:E,0)),"N")</f>
        <v>N</v>
      </c>
      <c r="L655" t="s">
        <v>2258</v>
      </c>
      <c r="M655" t="s">
        <v>4048</v>
      </c>
      <c r="N655">
        <v>4.42</v>
      </c>
      <c r="O655">
        <v>4.5</v>
      </c>
      <c r="P655" s="6">
        <v>42035.818124999998</v>
      </c>
      <c r="Q655" t="s">
        <v>3896</v>
      </c>
      <c r="R655" t="s">
        <v>11563</v>
      </c>
      <c r="S655" t="s">
        <v>3308</v>
      </c>
      <c r="T655">
        <v>2</v>
      </c>
      <c r="X655" t="b">
        <v>1</v>
      </c>
      <c r="Y655" s="6">
        <v>42037.431944444441</v>
      </c>
    </row>
    <row r="656" spans="1:25" x14ac:dyDescent="0.25">
      <c r="A656" t="s">
        <v>13256</v>
      </c>
      <c r="B656" t="s">
        <v>13257</v>
      </c>
      <c r="C656">
        <v>6.5</v>
      </c>
      <c r="D656" t="s">
        <v>3893</v>
      </c>
      <c r="E656" t="s">
        <v>4117</v>
      </c>
      <c r="F656" s="18">
        <v>42005</v>
      </c>
      <c r="G656" s="18">
        <v>42028</v>
      </c>
      <c r="H656" s="18" t="str">
        <f>IFERROR(INDEX('Docs Signed Input'!B:B,MATCH('Nate''s Evolution'!$B656,'Docs Signed Input'!E:E,0)),"N")</f>
        <v>N</v>
      </c>
      <c r="I656" s="18" t="str">
        <f>IFERROR(INDEX('Docs Signed Input'!C:C,MATCH('Nate''s Evolution'!B656,'Docs Signed Input'!E:E,0)),"N")</f>
        <v>N</v>
      </c>
      <c r="L656" t="s">
        <v>2258</v>
      </c>
      <c r="M656" t="s">
        <v>3926</v>
      </c>
      <c r="N656">
        <v>6.5</v>
      </c>
      <c r="O656">
        <v>6.5</v>
      </c>
      <c r="P656" s="6">
        <v>42035.818124999998</v>
      </c>
      <c r="Q656" t="s">
        <v>3896</v>
      </c>
      <c r="R656" t="s">
        <v>13035</v>
      </c>
      <c r="S656" t="s">
        <v>2591</v>
      </c>
      <c r="T656">
        <v>2</v>
      </c>
      <c r="X656" t="b">
        <v>1</v>
      </c>
      <c r="Y656" s="6">
        <v>42037.431944444441</v>
      </c>
    </row>
    <row r="657" spans="1:25" x14ac:dyDescent="0.25">
      <c r="A657" t="s">
        <v>13268</v>
      </c>
      <c r="B657" t="s">
        <v>13269</v>
      </c>
      <c r="C657">
        <v>8.06</v>
      </c>
      <c r="D657" t="s">
        <v>3893</v>
      </c>
      <c r="E657" t="s">
        <v>3989</v>
      </c>
      <c r="F657" s="18">
        <v>42005</v>
      </c>
      <c r="G657" s="18">
        <v>42028</v>
      </c>
      <c r="H657" s="18" t="str">
        <f>IFERROR(INDEX('Docs Signed Input'!B:B,MATCH('Nate''s Evolution'!$B657,'Docs Signed Input'!E:E,0)),"N")</f>
        <v>Y</v>
      </c>
      <c r="I657" s="18" t="str">
        <f>IFERROR(INDEX('Docs Signed Input'!C:C,MATCH('Nate''s Evolution'!B657,'Docs Signed Input'!E:E,0)),"N")</f>
        <v>N</v>
      </c>
      <c r="L657" t="s">
        <v>2258</v>
      </c>
      <c r="M657" t="s">
        <v>4677</v>
      </c>
      <c r="N657">
        <v>8.06</v>
      </c>
      <c r="O657">
        <v>8.06</v>
      </c>
      <c r="P657" s="6">
        <v>42035.818124999998</v>
      </c>
      <c r="Q657" t="s">
        <v>3896</v>
      </c>
      <c r="R657" t="s">
        <v>8024</v>
      </c>
      <c r="S657" t="s">
        <v>3554</v>
      </c>
      <c r="T657">
        <v>2</v>
      </c>
      <c r="X657" t="b">
        <v>1</v>
      </c>
      <c r="Y657" s="6">
        <v>42037.431944444441</v>
      </c>
    </row>
    <row r="658" spans="1:25" x14ac:dyDescent="0.25">
      <c r="A658" t="s">
        <v>13277</v>
      </c>
      <c r="B658" t="s">
        <v>13278</v>
      </c>
      <c r="C658">
        <v>9.4350000000000005</v>
      </c>
      <c r="D658" t="s">
        <v>3893</v>
      </c>
      <c r="E658" t="s">
        <v>4117</v>
      </c>
      <c r="F658" s="18">
        <v>42005</v>
      </c>
      <c r="G658" s="18">
        <v>42028</v>
      </c>
      <c r="H658" s="18" t="str">
        <f>IFERROR(INDEX('Docs Signed Input'!B:B,MATCH('Nate''s Evolution'!$B658,'Docs Signed Input'!E:E,0)),"N")</f>
        <v>N</v>
      </c>
      <c r="I658" s="18" t="str">
        <f>IFERROR(INDEX('Docs Signed Input'!C:C,MATCH('Nate''s Evolution'!B658,'Docs Signed Input'!E:E,0)),"N")</f>
        <v>N</v>
      </c>
      <c r="L658" t="s">
        <v>2258</v>
      </c>
      <c r="M658" t="s">
        <v>3933</v>
      </c>
      <c r="N658">
        <v>9.4350000000000005</v>
      </c>
      <c r="O658">
        <v>9.4350000000000005</v>
      </c>
      <c r="P658" s="6">
        <v>42035.818124999998</v>
      </c>
      <c r="Q658" t="s">
        <v>3896</v>
      </c>
      <c r="R658" t="s">
        <v>4010</v>
      </c>
      <c r="S658" t="s">
        <v>3525</v>
      </c>
      <c r="T658">
        <v>2</v>
      </c>
      <c r="X658" t="b">
        <v>1</v>
      </c>
      <c r="Y658" s="6">
        <v>42037.431944444441</v>
      </c>
    </row>
    <row r="659" spans="1:25" x14ac:dyDescent="0.25">
      <c r="A659" t="s">
        <v>13282</v>
      </c>
      <c r="B659" t="s">
        <v>13283</v>
      </c>
      <c r="C659">
        <v>8.58</v>
      </c>
      <c r="D659" t="s">
        <v>3893</v>
      </c>
      <c r="E659" t="s">
        <v>3989</v>
      </c>
      <c r="F659" s="18">
        <v>42005</v>
      </c>
      <c r="G659" s="18">
        <v>42028</v>
      </c>
      <c r="H659" s="18" t="str">
        <f>IFERROR(INDEX('Docs Signed Input'!B:B,MATCH('Nate''s Evolution'!$B659,'Docs Signed Input'!E:E,0)),"N")</f>
        <v>N</v>
      </c>
      <c r="I659" s="18" t="str">
        <f>IFERROR(INDEX('Docs Signed Input'!C:C,MATCH('Nate''s Evolution'!B659,'Docs Signed Input'!E:E,0)),"N")</f>
        <v>N</v>
      </c>
      <c r="L659" t="s">
        <v>2258</v>
      </c>
      <c r="M659" t="s">
        <v>10253</v>
      </c>
      <c r="N659">
        <v>8.58</v>
      </c>
      <c r="O659">
        <v>8.58</v>
      </c>
      <c r="P659" s="6">
        <v>42035.818124999998</v>
      </c>
      <c r="Q659" t="s">
        <v>3896</v>
      </c>
      <c r="R659" t="s">
        <v>3911</v>
      </c>
      <c r="S659" t="s">
        <v>11511</v>
      </c>
      <c r="T659">
        <v>2</v>
      </c>
      <c r="X659" t="b">
        <v>1</v>
      </c>
      <c r="Y659" s="6">
        <v>42037.431944444441</v>
      </c>
    </row>
    <row r="660" spans="1:25" x14ac:dyDescent="0.25">
      <c r="A660" t="s">
        <v>13298</v>
      </c>
      <c r="B660" t="s">
        <v>13299</v>
      </c>
      <c r="C660">
        <v>8.58</v>
      </c>
      <c r="D660" t="s">
        <v>3893</v>
      </c>
      <c r="E660" t="s">
        <v>3989</v>
      </c>
      <c r="F660" s="18">
        <v>42005</v>
      </c>
      <c r="G660" s="18">
        <v>42028</v>
      </c>
      <c r="H660" s="18" t="str">
        <f>IFERROR(INDEX('Docs Signed Input'!B:B,MATCH('Nate''s Evolution'!$B660,'Docs Signed Input'!E:E,0)),"N")</f>
        <v>N</v>
      </c>
      <c r="I660" s="18" t="str">
        <f>IFERROR(INDEX('Docs Signed Input'!C:C,MATCH('Nate''s Evolution'!B660,'Docs Signed Input'!E:E,0)),"N")</f>
        <v>N</v>
      </c>
      <c r="L660" t="s">
        <v>2258</v>
      </c>
      <c r="M660" t="s">
        <v>4317</v>
      </c>
      <c r="N660">
        <v>8.58</v>
      </c>
      <c r="O660">
        <v>8.58</v>
      </c>
      <c r="P660" s="6">
        <v>42035.818124999998</v>
      </c>
      <c r="Q660" t="s">
        <v>3896</v>
      </c>
      <c r="R660" t="s">
        <v>11563</v>
      </c>
      <c r="S660" t="s">
        <v>13300</v>
      </c>
      <c r="T660">
        <v>2</v>
      </c>
      <c r="X660" t="b">
        <v>1</v>
      </c>
      <c r="Y660" s="6">
        <v>42037.431944444441</v>
      </c>
    </row>
    <row r="661" spans="1:25" x14ac:dyDescent="0.25">
      <c r="A661" t="s">
        <v>13301</v>
      </c>
      <c r="B661" t="s">
        <v>13302</v>
      </c>
      <c r="C661">
        <v>2.8050000000000002</v>
      </c>
      <c r="D661" t="s">
        <v>3893</v>
      </c>
      <c r="E661" t="s">
        <v>3989</v>
      </c>
      <c r="F661" s="18">
        <v>42005</v>
      </c>
      <c r="G661" s="18">
        <v>42028</v>
      </c>
      <c r="H661" s="18" t="str">
        <f>IFERROR(INDEX('Docs Signed Input'!B:B,MATCH('Nate''s Evolution'!$B661,'Docs Signed Input'!E:E,0)),"N")</f>
        <v>N</v>
      </c>
      <c r="I661" s="18" t="str">
        <f>IFERROR(INDEX('Docs Signed Input'!C:C,MATCH('Nate''s Evolution'!B661,'Docs Signed Input'!E:E,0)),"N")</f>
        <v>N</v>
      </c>
      <c r="L661" t="s">
        <v>2258</v>
      </c>
      <c r="M661" t="s">
        <v>3986</v>
      </c>
      <c r="N661">
        <v>2.8050000000000002</v>
      </c>
      <c r="O661">
        <v>2.8050000000000002</v>
      </c>
      <c r="P661" s="6">
        <v>42035.818124999998</v>
      </c>
      <c r="Q661" t="s">
        <v>3896</v>
      </c>
      <c r="R661" t="s">
        <v>11563</v>
      </c>
      <c r="S661" t="s">
        <v>2317</v>
      </c>
      <c r="T661">
        <v>2</v>
      </c>
      <c r="X661" t="b">
        <v>1</v>
      </c>
      <c r="Y661" s="6">
        <v>42037.431944444441</v>
      </c>
    </row>
    <row r="662" spans="1:25" x14ac:dyDescent="0.25">
      <c r="A662" t="s">
        <v>13313</v>
      </c>
      <c r="B662" t="s">
        <v>13314</v>
      </c>
      <c r="C662">
        <v>7</v>
      </c>
      <c r="D662" t="s">
        <v>3893</v>
      </c>
      <c r="E662" t="s">
        <v>3989</v>
      </c>
      <c r="F662" s="18">
        <v>42005</v>
      </c>
      <c r="G662" s="18">
        <v>42028</v>
      </c>
      <c r="H662" s="18" t="str">
        <f>IFERROR(INDEX('Docs Signed Input'!B:B,MATCH('Nate''s Evolution'!$B662,'Docs Signed Input'!E:E,0)),"N")</f>
        <v>N</v>
      </c>
      <c r="I662" s="18" t="str">
        <f>IFERROR(INDEX('Docs Signed Input'!C:C,MATCH('Nate''s Evolution'!B662,'Docs Signed Input'!E:E,0)),"N")</f>
        <v>N</v>
      </c>
      <c r="L662" t="s">
        <v>2258</v>
      </c>
      <c r="M662" t="s">
        <v>4013</v>
      </c>
      <c r="N662">
        <v>7</v>
      </c>
      <c r="O662">
        <v>7</v>
      </c>
      <c r="P662" s="6">
        <v>42035.818124999998</v>
      </c>
      <c r="Q662" t="s">
        <v>3896</v>
      </c>
      <c r="R662" t="s">
        <v>11563</v>
      </c>
      <c r="S662" t="s">
        <v>3674</v>
      </c>
      <c r="T662">
        <v>2</v>
      </c>
      <c r="X662" t="b">
        <v>1</v>
      </c>
      <c r="Y662" s="6">
        <v>42037.431944444441</v>
      </c>
    </row>
    <row r="663" spans="1:25" x14ac:dyDescent="0.25">
      <c r="A663" t="s">
        <v>13345</v>
      </c>
      <c r="B663" t="s">
        <v>13346</v>
      </c>
      <c r="C663">
        <v>11.96</v>
      </c>
      <c r="D663" t="s">
        <v>3893</v>
      </c>
      <c r="E663" t="s">
        <v>3989</v>
      </c>
      <c r="F663" s="18">
        <v>42005</v>
      </c>
      <c r="G663" s="18">
        <v>42028</v>
      </c>
      <c r="H663" s="18" t="str">
        <f>IFERROR(INDEX('Docs Signed Input'!B:B,MATCH('Nate''s Evolution'!$B663,'Docs Signed Input'!E:E,0)),"N")</f>
        <v>N</v>
      </c>
      <c r="I663" s="18" t="str">
        <f>IFERROR(INDEX('Docs Signed Input'!C:C,MATCH('Nate''s Evolution'!B663,'Docs Signed Input'!E:E,0)),"N")</f>
        <v>N</v>
      </c>
      <c r="L663" t="s">
        <v>2258</v>
      </c>
      <c r="M663" t="s">
        <v>4317</v>
      </c>
      <c r="N663">
        <v>11.96</v>
      </c>
      <c r="O663">
        <v>11.96</v>
      </c>
      <c r="P663" s="6">
        <v>42035.818124999998</v>
      </c>
      <c r="Q663" t="s">
        <v>3896</v>
      </c>
      <c r="R663" t="s">
        <v>11563</v>
      </c>
      <c r="S663" t="s">
        <v>12496</v>
      </c>
      <c r="T663">
        <v>2</v>
      </c>
      <c r="X663" t="b">
        <v>1</v>
      </c>
      <c r="Y663" s="6">
        <v>42037.431944444441</v>
      </c>
    </row>
    <row r="664" spans="1:25" x14ac:dyDescent="0.25">
      <c r="A664" t="s">
        <v>13308</v>
      </c>
      <c r="B664" t="s">
        <v>13309</v>
      </c>
      <c r="C664">
        <v>8.9250000000000007</v>
      </c>
      <c r="D664" t="s">
        <v>3893</v>
      </c>
      <c r="E664" t="s">
        <v>3989</v>
      </c>
      <c r="F664" s="18">
        <v>42005</v>
      </c>
      <c r="G664" s="18">
        <v>42029</v>
      </c>
      <c r="H664" s="18" t="str">
        <f>IFERROR(INDEX('Docs Signed Input'!B:B,MATCH('Nate''s Evolution'!$B664,'Docs Signed Input'!E:E,0)),"N")</f>
        <v>N</v>
      </c>
      <c r="I664" s="18" t="str">
        <f>IFERROR(INDEX('Docs Signed Input'!C:C,MATCH('Nate''s Evolution'!B664,'Docs Signed Input'!E:E,0)),"N")</f>
        <v>N</v>
      </c>
      <c r="L664" t="s">
        <v>2258</v>
      </c>
      <c r="M664" t="s">
        <v>3932</v>
      </c>
      <c r="N664">
        <v>8.9250000000000007</v>
      </c>
      <c r="O664">
        <v>8.9250000000000007</v>
      </c>
      <c r="P664" s="6">
        <v>42035.818124999998</v>
      </c>
      <c r="Q664" t="s">
        <v>3896</v>
      </c>
      <c r="R664" t="s">
        <v>11563</v>
      </c>
      <c r="S664" t="s">
        <v>3589</v>
      </c>
      <c r="T664">
        <v>2</v>
      </c>
      <c r="X664" t="b">
        <v>1</v>
      </c>
      <c r="Y664" s="6">
        <v>42037.431944444441</v>
      </c>
    </row>
    <row r="665" spans="1:25" x14ac:dyDescent="0.25">
      <c r="A665" t="s">
        <v>13347</v>
      </c>
      <c r="B665" t="s">
        <v>13348</v>
      </c>
      <c r="C665">
        <v>2.8050000000000002</v>
      </c>
      <c r="D665" t="s">
        <v>3893</v>
      </c>
      <c r="E665" t="s">
        <v>3989</v>
      </c>
      <c r="F665" s="18">
        <v>42005</v>
      </c>
      <c r="G665" s="18">
        <v>42029</v>
      </c>
      <c r="H665" s="18" t="str">
        <f>IFERROR(INDEX('Docs Signed Input'!B:B,MATCH('Nate''s Evolution'!$B665,'Docs Signed Input'!E:E,0)),"N")</f>
        <v>Y</v>
      </c>
      <c r="I665" s="18" t="str">
        <f>IFERROR(INDEX('Docs Signed Input'!C:C,MATCH('Nate''s Evolution'!B665,'Docs Signed Input'!E:E,0)),"N")</f>
        <v>N</v>
      </c>
      <c r="L665" t="s">
        <v>2258</v>
      </c>
      <c r="M665" t="s">
        <v>4317</v>
      </c>
      <c r="N665">
        <v>2.8050000000000002</v>
      </c>
      <c r="O665">
        <v>2.8050000000000002</v>
      </c>
      <c r="P665" s="6">
        <v>42035.818124999998</v>
      </c>
      <c r="Q665" t="s">
        <v>3896</v>
      </c>
      <c r="R665" t="s">
        <v>3921</v>
      </c>
      <c r="S665" t="s">
        <v>3459</v>
      </c>
      <c r="T665">
        <v>2</v>
      </c>
      <c r="X665" t="b">
        <v>1</v>
      </c>
      <c r="Y665" s="6">
        <v>42037.431944444441</v>
      </c>
    </row>
    <row r="666" spans="1:25" x14ac:dyDescent="0.25">
      <c r="A666" t="s">
        <v>13364</v>
      </c>
      <c r="B666" t="s">
        <v>13365</v>
      </c>
      <c r="C666">
        <v>4.08</v>
      </c>
      <c r="D666" t="s">
        <v>3893</v>
      </c>
      <c r="E666" t="s">
        <v>3989</v>
      </c>
      <c r="F666" s="18">
        <v>42005</v>
      </c>
      <c r="G666" s="18">
        <v>42029</v>
      </c>
      <c r="H666" s="18" t="str">
        <f>IFERROR(INDEX('Docs Signed Input'!B:B,MATCH('Nate''s Evolution'!$B666,'Docs Signed Input'!E:E,0)),"N")</f>
        <v>N</v>
      </c>
      <c r="I666" s="18" t="str">
        <f>IFERROR(INDEX('Docs Signed Input'!C:C,MATCH('Nate''s Evolution'!B666,'Docs Signed Input'!E:E,0)),"N")</f>
        <v>N</v>
      </c>
      <c r="L666" t="s">
        <v>2258</v>
      </c>
      <c r="M666" t="s">
        <v>3933</v>
      </c>
      <c r="N666">
        <v>4.08</v>
      </c>
      <c r="O666">
        <v>4.08</v>
      </c>
      <c r="P666" s="6">
        <v>42035.818124999998</v>
      </c>
      <c r="Q666" t="s">
        <v>3896</v>
      </c>
      <c r="R666" t="s">
        <v>3911</v>
      </c>
      <c r="S666" t="s">
        <v>11497</v>
      </c>
      <c r="T666">
        <v>2</v>
      </c>
      <c r="X666" t="b">
        <v>1</v>
      </c>
      <c r="Y666" s="6">
        <v>42037.431944444441</v>
      </c>
    </row>
    <row r="667" spans="1:25" x14ac:dyDescent="0.25">
      <c r="A667" t="s">
        <v>13617</v>
      </c>
      <c r="B667" t="s">
        <v>13618</v>
      </c>
      <c r="C667">
        <v>10.92</v>
      </c>
      <c r="D667" t="s">
        <v>3893</v>
      </c>
      <c r="E667" t="s">
        <v>4117</v>
      </c>
      <c r="F667" s="18">
        <v>42005</v>
      </c>
      <c r="G667" s="18">
        <v>42030</v>
      </c>
      <c r="H667" s="18" t="str">
        <f>IFERROR(INDEX('Docs Signed Input'!B:B,MATCH('Nate''s Evolution'!$B667,'Docs Signed Input'!E:E,0)),"N")</f>
        <v>N</v>
      </c>
      <c r="I667" s="18" t="str">
        <f>IFERROR(INDEX('Docs Signed Input'!C:C,MATCH('Nate''s Evolution'!B667,'Docs Signed Input'!E:E,0)),"N")</f>
        <v>N</v>
      </c>
      <c r="L667" t="s">
        <v>2258</v>
      </c>
      <c r="M667" t="s">
        <v>4317</v>
      </c>
      <c r="N667">
        <v>10.92</v>
      </c>
      <c r="O667">
        <v>10.92</v>
      </c>
      <c r="P667" s="6">
        <v>42035.818124999998</v>
      </c>
      <c r="Q667" t="s">
        <v>3896</v>
      </c>
      <c r="R667" t="s">
        <v>4010</v>
      </c>
      <c r="S667" t="s">
        <v>2553</v>
      </c>
      <c r="T667">
        <v>2</v>
      </c>
      <c r="X667" t="b">
        <v>1</v>
      </c>
      <c r="Y667" s="6">
        <v>42037.431944444441</v>
      </c>
    </row>
    <row r="668" spans="1:25" x14ac:dyDescent="0.25">
      <c r="A668" t="s">
        <v>13664</v>
      </c>
      <c r="B668" t="s">
        <v>13665</v>
      </c>
      <c r="C668">
        <v>5.75</v>
      </c>
      <c r="D668" t="s">
        <v>3893</v>
      </c>
      <c r="E668" t="s">
        <v>3894</v>
      </c>
      <c r="F668" s="18">
        <v>42005</v>
      </c>
      <c r="G668" s="18">
        <v>42030</v>
      </c>
      <c r="H668" s="18" t="str">
        <f>IFERROR(INDEX('Docs Signed Input'!B:B,MATCH('Nate''s Evolution'!$B668,'Docs Signed Input'!E:E,0)),"N")</f>
        <v>N</v>
      </c>
      <c r="I668" s="18" t="str">
        <f>IFERROR(INDEX('Docs Signed Input'!C:C,MATCH('Nate''s Evolution'!B668,'Docs Signed Input'!E:E,0)),"N")</f>
        <v>N</v>
      </c>
      <c r="L668" t="s">
        <v>2258</v>
      </c>
      <c r="M668" t="s">
        <v>3926</v>
      </c>
      <c r="N668">
        <v>5.75</v>
      </c>
      <c r="O668">
        <v>7</v>
      </c>
      <c r="P668" s="6">
        <v>42035.818124999998</v>
      </c>
      <c r="Q668" t="s">
        <v>3896</v>
      </c>
      <c r="R668" t="s">
        <v>11563</v>
      </c>
      <c r="S668" t="s">
        <v>3489</v>
      </c>
      <c r="T668">
        <v>2</v>
      </c>
      <c r="X668" t="b">
        <v>1</v>
      </c>
      <c r="Y668" s="6">
        <v>42037.431944444441</v>
      </c>
    </row>
    <row r="669" spans="1:25" x14ac:dyDescent="0.25">
      <c r="A669" t="s">
        <v>13670</v>
      </c>
      <c r="B669" t="s">
        <v>13671</v>
      </c>
      <c r="C669">
        <v>3.06</v>
      </c>
      <c r="D669" t="s">
        <v>3893</v>
      </c>
      <c r="E669" t="s">
        <v>3989</v>
      </c>
      <c r="F669" s="18">
        <v>42005</v>
      </c>
      <c r="G669" s="18">
        <v>42030</v>
      </c>
      <c r="H669" s="18" t="str">
        <f>IFERROR(INDEX('Docs Signed Input'!B:B,MATCH('Nate''s Evolution'!$B669,'Docs Signed Input'!E:E,0)),"N")</f>
        <v>N</v>
      </c>
      <c r="I669" s="18" t="str">
        <f>IFERROR(INDEX('Docs Signed Input'!C:C,MATCH('Nate''s Evolution'!B669,'Docs Signed Input'!E:E,0)),"N")</f>
        <v>N</v>
      </c>
      <c r="L669" t="s">
        <v>2258</v>
      </c>
      <c r="M669" t="s">
        <v>3933</v>
      </c>
      <c r="N669">
        <v>3.06</v>
      </c>
      <c r="O669">
        <v>3.06</v>
      </c>
      <c r="P669" s="6">
        <v>42035.818124999998</v>
      </c>
      <c r="Q669" t="s">
        <v>3896</v>
      </c>
      <c r="S669" t="s">
        <v>11503</v>
      </c>
      <c r="T669">
        <v>2</v>
      </c>
      <c r="X669" t="b">
        <v>1</v>
      </c>
      <c r="Y669" s="6">
        <v>42037.431944444441</v>
      </c>
    </row>
    <row r="670" spans="1:25" x14ac:dyDescent="0.25">
      <c r="A670" t="s">
        <v>13681</v>
      </c>
      <c r="B670" t="s">
        <v>13682</v>
      </c>
      <c r="C670">
        <v>6.12</v>
      </c>
      <c r="D670" t="s">
        <v>3893</v>
      </c>
      <c r="E670" t="s">
        <v>3989</v>
      </c>
      <c r="F670" s="18">
        <v>42005</v>
      </c>
      <c r="G670" s="18">
        <v>42030</v>
      </c>
      <c r="H670" s="18" t="str">
        <f>IFERROR(INDEX('Docs Signed Input'!B:B,MATCH('Nate''s Evolution'!$B670,'Docs Signed Input'!E:E,0)),"N")</f>
        <v>N</v>
      </c>
      <c r="I670" s="18" t="str">
        <f>IFERROR(INDEX('Docs Signed Input'!C:C,MATCH('Nate''s Evolution'!B670,'Docs Signed Input'!E:E,0)),"N")</f>
        <v>N</v>
      </c>
      <c r="L670" t="s">
        <v>2258</v>
      </c>
      <c r="M670" t="s">
        <v>4423</v>
      </c>
      <c r="N670">
        <v>6.12</v>
      </c>
      <c r="O670">
        <v>6.12</v>
      </c>
      <c r="P670" s="6">
        <v>42036.639085648145</v>
      </c>
      <c r="Q670" t="s">
        <v>3896</v>
      </c>
      <c r="R670" t="s">
        <v>11563</v>
      </c>
      <c r="S670" t="s">
        <v>3531</v>
      </c>
      <c r="T670">
        <v>1</v>
      </c>
      <c r="X670" t="b">
        <v>1</v>
      </c>
      <c r="Y670" s="6">
        <v>42037.431944444441</v>
      </c>
    </row>
    <row r="671" spans="1:25" x14ac:dyDescent="0.25">
      <c r="A671" t="s">
        <v>13690</v>
      </c>
      <c r="B671" t="s">
        <v>13691</v>
      </c>
      <c r="C671">
        <v>15.6</v>
      </c>
      <c r="D671" t="s">
        <v>3893</v>
      </c>
      <c r="E671" t="s">
        <v>3989</v>
      </c>
      <c r="F671" s="18">
        <v>42005</v>
      </c>
      <c r="G671" s="18">
        <v>42030</v>
      </c>
      <c r="H671" s="18" t="str">
        <f>IFERROR(INDEX('Docs Signed Input'!B:B,MATCH('Nate''s Evolution'!$B671,'Docs Signed Input'!E:E,0)),"N")</f>
        <v>N</v>
      </c>
      <c r="I671" s="18" t="str">
        <f>IFERROR(INDEX('Docs Signed Input'!C:C,MATCH('Nate''s Evolution'!B671,'Docs Signed Input'!E:E,0)),"N")</f>
        <v>N</v>
      </c>
      <c r="L671" t="s">
        <v>2258</v>
      </c>
      <c r="M671" t="s">
        <v>4048</v>
      </c>
      <c r="N671">
        <v>15.6</v>
      </c>
      <c r="O671">
        <v>15.6</v>
      </c>
      <c r="P671" s="6">
        <v>42035.818124999998</v>
      </c>
      <c r="Q671" t="s">
        <v>3896</v>
      </c>
      <c r="R671" t="s">
        <v>11563</v>
      </c>
      <c r="S671" t="s">
        <v>2889</v>
      </c>
      <c r="T671">
        <v>2</v>
      </c>
      <c r="X671" t="b">
        <v>1</v>
      </c>
      <c r="Y671" s="6">
        <v>42037.431944444441</v>
      </c>
    </row>
    <row r="672" spans="1:25" x14ac:dyDescent="0.25">
      <c r="A672" t="s">
        <v>13699</v>
      </c>
      <c r="B672" t="s">
        <v>13700</v>
      </c>
      <c r="C672">
        <v>11</v>
      </c>
      <c r="D672" t="s">
        <v>3893</v>
      </c>
      <c r="E672" t="s">
        <v>3989</v>
      </c>
      <c r="F672" s="18">
        <v>42005</v>
      </c>
      <c r="G672" s="18">
        <v>42030</v>
      </c>
      <c r="H672" s="18" t="str">
        <f>IFERROR(INDEX('Docs Signed Input'!B:B,MATCH('Nate''s Evolution'!$B672,'Docs Signed Input'!E:E,0)),"N")</f>
        <v>N</v>
      </c>
      <c r="I672" s="18" t="str">
        <f>IFERROR(INDEX('Docs Signed Input'!C:C,MATCH('Nate''s Evolution'!B672,'Docs Signed Input'!E:E,0)),"N")</f>
        <v>N</v>
      </c>
      <c r="L672" t="s">
        <v>2258</v>
      </c>
      <c r="M672" t="s">
        <v>3902</v>
      </c>
      <c r="N672">
        <v>11</v>
      </c>
      <c r="O672">
        <v>11</v>
      </c>
      <c r="P672" s="6">
        <v>42035.818124999998</v>
      </c>
      <c r="Q672" t="s">
        <v>3896</v>
      </c>
      <c r="R672" t="s">
        <v>11563</v>
      </c>
      <c r="S672" t="s">
        <v>4723</v>
      </c>
      <c r="T672">
        <v>2</v>
      </c>
      <c r="X672" t="b">
        <v>1</v>
      </c>
      <c r="Y672" s="6">
        <v>42037.431944444441</v>
      </c>
    </row>
    <row r="673" spans="1:25" x14ac:dyDescent="0.25">
      <c r="A673" t="s">
        <v>12685</v>
      </c>
      <c r="B673" t="s">
        <v>13722</v>
      </c>
      <c r="C673">
        <v>6.5</v>
      </c>
      <c r="D673" t="s">
        <v>3893</v>
      </c>
      <c r="E673" t="s">
        <v>3925</v>
      </c>
      <c r="F673" s="18">
        <v>42005</v>
      </c>
      <c r="G673" s="18">
        <v>42030</v>
      </c>
      <c r="H673" s="18" t="str">
        <f>IFERROR(INDEX('Docs Signed Input'!B:B,MATCH('Nate''s Evolution'!$B673,'Docs Signed Input'!E:E,0)),"N")</f>
        <v>N</v>
      </c>
      <c r="I673" s="18" t="str">
        <f>IFERROR(INDEX('Docs Signed Input'!C:C,MATCH('Nate''s Evolution'!B673,'Docs Signed Input'!E:E,0)),"N")</f>
        <v>Y</v>
      </c>
      <c r="J673" s="18">
        <v>42033</v>
      </c>
      <c r="L673" t="s">
        <v>2258</v>
      </c>
      <c r="M673" t="s">
        <v>3926</v>
      </c>
      <c r="N673">
        <v>6.5</v>
      </c>
      <c r="O673">
        <v>6.75</v>
      </c>
      <c r="P673" s="6">
        <v>42035.818124999998</v>
      </c>
      <c r="Q673" t="s">
        <v>3896</v>
      </c>
      <c r="R673" t="s">
        <v>13146</v>
      </c>
      <c r="S673" t="s">
        <v>3650</v>
      </c>
      <c r="T673">
        <v>2</v>
      </c>
      <c r="X673" t="b">
        <v>1</v>
      </c>
      <c r="Y673" s="6">
        <v>42037.431944444441</v>
      </c>
    </row>
    <row r="674" spans="1:25" x14ac:dyDescent="0.25">
      <c r="A674" t="s">
        <v>13729</v>
      </c>
      <c r="B674" t="s">
        <v>13730</v>
      </c>
      <c r="C674">
        <v>7.54</v>
      </c>
      <c r="D674" t="s">
        <v>3893</v>
      </c>
      <c r="E674" t="s">
        <v>3989</v>
      </c>
      <c r="F674" s="18">
        <v>42005</v>
      </c>
      <c r="G674" s="18">
        <v>42030</v>
      </c>
      <c r="H674" s="18" t="str">
        <f>IFERROR(INDEX('Docs Signed Input'!B:B,MATCH('Nate''s Evolution'!$B674,'Docs Signed Input'!E:E,0)),"N")</f>
        <v>N</v>
      </c>
      <c r="I674" s="18" t="str">
        <f>IFERROR(INDEX('Docs Signed Input'!C:C,MATCH('Nate''s Evolution'!B674,'Docs Signed Input'!E:E,0)),"N")</f>
        <v>N</v>
      </c>
      <c r="L674" t="s">
        <v>2258</v>
      </c>
      <c r="M674" t="s">
        <v>3948</v>
      </c>
      <c r="N674">
        <v>7.54</v>
      </c>
      <c r="O674">
        <v>7.54</v>
      </c>
      <c r="P674" s="6">
        <v>42035.818124999998</v>
      </c>
      <c r="Q674" t="s">
        <v>3896</v>
      </c>
      <c r="R674" t="s">
        <v>11563</v>
      </c>
      <c r="S674" t="s">
        <v>2703</v>
      </c>
      <c r="T674">
        <v>2</v>
      </c>
      <c r="X674" t="b">
        <v>1</v>
      </c>
      <c r="Y674" s="6">
        <v>42037.431944444441</v>
      </c>
    </row>
    <row r="675" spans="1:25" x14ac:dyDescent="0.25">
      <c r="A675" t="s">
        <v>13738</v>
      </c>
      <c r="B675" t="s">
        <v>13739</v>
      </c>
      <c r="C675">
        <v>7.65</v>
      </c>
      <c r="D675" t="s">
        <v>3893</v>
      </c>
      <c r="E675" t="s">
        <v>3989</v>
      </c>
      <c r="F675" s="18">
        <v>42005</v>
      </c>
      <c r="G675" s="18">
        <v>42030</v>
      </c>
      <c r="H675" s="18" t="str">
        <f>IFERROR(INDEX('Docs Signed Input'!B:B,MATCH('Nate''s Evolution'!$B675,'Docs Signed Input'!E:E,0)),"N")</f>
        <v>N</v>
      </c>
      <c r="I675" s="18" t="str">
        <f>IFERROR(INDEX('Docs Signed Input'!C:C,MATCH('Nate''s Evolution'!B675,'Docs Signed Input'!E:E,0)),"N")</f>
        <v>N</v>
      </c>
      <c r="L675" t="s">
        <v>13740</v>
      </c>
      <c r="M675" t="s">
        <v>12976</v>
      </c>
      <c r="N675">
        <v>7.65</v>
      </c>
      <c r="O675">
        <v>7.65</v>
      </c>
      <c r="P675" s="6">
        <v>42035.818124999998</v>
      </c>
      <c r="Q675" t="s">
        <v>3896</v>
      </c>
      <c r="S675" t="s">
        <v>3406</v>
      </c>
      <c r="T675">
        <v>2</v>
      </c>
      <c r="X675" t="b">
        <v>1</v>
      </c>
      <c r="Y675" s="6">
        <v>42037.431944444441</v>
      </c>
    </row>
    <row r="676" spans="1:25" x14ac:dyDescent="0.25">
      <c r="A676" t="s">
        <v>13765</v>
      </c>
      <c r="B676" t="s">
        <v>13766</v>
      </c>
      <c r="C676">
        <v>5</v>
      </c>
      <c r="D676" t="s">
        <v>3893</v>
      </c>
      <c r="E676" t="s">
        <v>3894</v>
      </c>
      <c r="F676" s="18">
        <v>42005</v>
      </c>
      <c r="G676" s="18">
        <v>42030</v>
      </c>
      <c r="H676" s="18" t="str">
        <f>IFERROR(INDEX('Docs Signed Input'!B:B,MATCH('Nate''s Evolution'!$B676,'Docs Signed Input'!E:E,0)),"N")</f>
        <v>N</v>
      </c>
      <c r="I676" s="18" t="str">
        <f>IFERROR(INDEX('Docs Signed Input'!C:C,MATCH('Nate''s Evolution'!B676,'Docs Signed Input'!E:E,0)),"N")</f>
        <v>N</v>
      </c>
      <c r="L676" t="s">
        <v>2258</v>
      </c>
      <c r="M676" t="s">
        <v>4000</v>
      </c>
      <c r="N676">
        <v>4.75</v>
      </c>
      <c r="O676">
        <v>5</v>
      </c>
      <c r="P676" s="6">
        <v>42035.858622685184</v>
      </c>
      <c r="Q676" t="s">
        <v>3896</v>
      </c>
      <c r="R676" t="s">
        <v>3918</v>
      </c>
      <c r="S676" t="s">
        <v>12236</v>
      </c>
      <c r="T676">
        <v>2</v>
      </c>
      <c r="X676" t="b">
        <v>1</v>
      </c>
      <c r="Y676" s="6">
        <v>42037.431944444441</v>
      </c>
    </row>
    <row r="677" spans="1:25" x14ac:dyDescent="0.25">
      <c r="A677" t="s">
        <v>13768</v>
      </c>
      <c r="B677" t="s">
        <v>13769</v>
      </c>
      <c r="C677">
        <v>9</v>
      </c>
      <c r="D677" t="s">
        <v>3893</v>
      </c>
      <c r="E677" t="s">
        <v>3894</v>
      </c>
      <c r="F677" s="18">
        <v>42005</v>
      </c>
      <c r="G677" s="18">
        <v>42030</v>
      </c>
      <c r="H677" s="18" t="str">
        <f>IFERROR(INDEX('Docs Signed Input'!B:B,MATCH('Nate''s Evolution'!$B677,'Docs Signed Input'!E:E,0)),"N")</f>
        <v>N</v>
      </c>
      <c r="I677" s="18" t="str">
        <f>IFERROR(INDEX('Docs Signed Input'!C:C,MATCH('Nate''s Evolution'!B677,'Docs Signed Input'!E:E,0)),"N")</f>
        <v>N</v>
      </c>
      <c r="L677" t="s">
        <v>2258</v>
      </c>
      <c r="M677" t="s">
        <v>3902</v>
      </c>
      <c r="N677">
        <v>8.25</v>
      </c>
      <c r="O677">
        <v>9</v>
      </c>
      <c r="P677" s="6">
        <v>42035.818124999998</v>
      </c>
      <c r="Q677" t="s">
        <v>3896</v>
      </c>
      <c r="R677" t="s">
        <v>11563</v>
      </c>
      <c r="S677" t="s">
        <v>11811</v>
      </c>
      <c r="T677">
        <v>2</v>
      </c>
      <c r="X677" t="b">
        <v>1</v>
      </c>
      <c r="Y677" s="6">
        <v>42037.431944444441</v>
      </c>
    </row>
    <row r="678" spans="1:25" x14ac:dyDescent="0.25">
      <c r="A678" t="s">
        <v>13788</v>
      </c>
      <c r="B678" t="s">
        <v>13789</v>
      </c>
      <c r="C678">
        <v>5.25</v>
      </c>
      <c r="D678" t="s">
        <v>3893</v>
      </c>
      <c r="E678" t="s">
        <v>3989</v>
      </c>
      <c r="F678" s="18">
        <v>42005</v>
      </c>
      <c r="G678" s="18">
        <v>42030</v>
      </c>
      <c r="H678" s="18" t="str">
        <f>IFERROR(INDEX('Docs Signed Input'!B:B,MATCH('Nate''s Evolution'!$B678,'Docs Signed Input'!E:E,0)),"N")</f>
        <v>N</v>
      </c>
      <c r="I678" s="18" t="str">
        <f>IFERROR(INDEX('Docs Signed Input'!C:C,MATCH('Nate''s Evolution'!B678,'Docs Signed Input'!E:E,0)),"N")</f>
        <v>N</v>
      </c>
      <c r="L678" t="s">
        <v>2258</v>
      </c>
      <c r="M678" t="s">
        <v>3926</v>
      </c>
      <c r="N678">
        <v>5.25</v>
      </c>
      <c r="O678">
        <v>5.25</v>
      </c>
      <c r="P678" s="6">
        <v>42035.818124999998</v>
      </c>
      <c r="Q678" t="s">
        <v>3896</v>
      </c>
      <c r="R678" t="s">
        <v>3897</v>
      </c>
      <c r="S678" t="s">
        <v>2943</v>
      </c>
      <c r="T678">
        <v>2</v>
      </c>
      <c r="X678" t="b">
        <v>1</v>
      </c>
      <c r="Y678" s="6">
        <v>42037.431944444441</v>
      </c>
    </row>
    <row r="679" spans="1:25" x14ac:dyDescent="0.25">
      <c r="A679" t="s">
        <v>13636</v>
      </c>
      <c r="B679" t="s">
        <v>13637</v>
      </c>
      <c r="C679">
        <v>6.5</v>
      </c>
      <c r="D679" t="s">
        <v>3893</v>
      </c>
      <c r="E679" t="s">
        <v>3894</v>
      </c>
      <c r="F679" s="18">
        <v>42005</v>
      </c>
      <c r="G679" s="18">
        <v>42031</v>
      </c>
      <c r="H679" s="18" t="str">
        <f>IFERROR(INDEX('Docs Signed Input'!B:B,MATCH('Nate''s Evolution'!$B679,'Docs Signed Input'!E:E,0)),"N")</f>
        <v>Y</v>
      </c>
      <c r="I679" s="18" t="str">
        <f>IFERROR(INDEX('Docs Signed Input'!C:C,MATCH('Nate''s Evolution'!B679,'Docs Signed Input'!E:E,0)),"N")</f>
        <v>N</v>
      </c>
      <c r="J679" s="18">
        <v>42033</v>
      </c>
      <c r="L679" t="s">
        <v>2258</v>
      </c>
      <c r="M679" t="s">
        <v>4048</v>
      </c>
      <c r="N679">
        <v>6.24</v>
      </c>
      <c r="O679">
        <v>6.5</v>
      </c>
      <c r="P679" s="6">
        <v>42035.818124999998</v>
      </c>
      <c r="Q679" t="s">
        <v>3896</v>
      </c>
      <c r="R679" t="s">
        <v>3897</v>
      </c>
      <c r="S679" t="s">
        <v>2889</v>
      </c>
      <c r="T679">
        <v>2</v>
      </c>
      <c r="X679" t="b">
        <v>1</v>
      </c>
      <c r="Y679" s="6">
        <v>42037.431944444441</v>
      </c>
    </row>
    <row r="680" spans="1:25" x14ac:dyDescent="0.25">
      <c r="A680" t="s">
        <v>13640</v>
      </c>
      <c r="B680" t="s">
        <v>13641</v>
      </c>
      <c r="C680">
        <v>7.54</v>
      </c>
      <c r="D680" t="s">
        <v>3893</v>
      </c>
      <c r="E680" t="s">
        <v>3989</v>
      </c>
      <c r="F680" s="18">
        <v>42005</v>
      </c>
      <c r="G680" s="18">
        <v>42031</v>
      </c>
      <c r="H680" s="18" t="str">
        <f>IFERROR(INDEX('Docs Signed Input'!B:B,MATCH('Nate''s Evolution'!$B680,'Docs Signed Input'!E:E,0)),"N")</f>
        <v>Y</v>
      </c>
      <c r="I680" s="18" t="str">
        <f>IFERROR(INDEX('Docs Signed Input'!C:C,MATCH('Nate''s Evolution'!B680,'Docs Signed Input'!E:E,0)),"N")</f>
        <v>N</v>
      </c>
      <c r="L680" t="s">
        <v>2258</v>
      </c>
      <c r="M680" t="s">
        <v>4048</v>
      </c>
      <c r="N680">
        <v>7.54</v>
      </c>
      <c r="O680">
        <v>7.54</v>
      </c>
      <c r="P680" s="6">
        <v>42035.818124999998</v>
      </c>
      <c r="Q680" t="s">
        <v>3896</v>
      </c>
      <c r="R680" t="s">
        <v>13281</v>
      </c>
      <c r="S680" t="s">
        <v>2889</v>
      </c>
      <c r="T680">
        <v>2</v>
      </c>
      <c r="X680" t="b">
        <v>1</v>
      </c>
      <c r="Y680" s="6">
        <v>42037.431944444441</v>
      </c>
    </row>
    <row r="681" spans="1:25" x14ac:dyDescent="0.25">
      <c r="A681" t="s">
        <v>13658</v>
      </c>
      <c r="B681" t="s">
        <v>13659</v>
      </c>
      <c r="C681">
        <v>10</v>
      </c>
      <c r="D681" t="s">
        <v>3893</v>
      </c>
      <c r="E681" t="s">
        <v>3989</v>
      </c>
      <c r="F681" s="18">
        <v>42005</v>
      </c>
      <c r="G681" s="18">
        <v>42031</v>
      </c>
      <c r="H681" s="18" t="str">
        <f>IFERROR(INDEX('Docs Signed Input'!B:B,MATCH('Nate''s Evolution'!$B681,'Docs Signed Input'!E:E,0)),"N")</f>
        <v>N</v>
      </c>
      <c r="I681" s="18" t="str">
        <f>IFERROR(INDEX('Docs Signed Input'!C:C,MATCH('Nate''s Evolution'!B681,'Docs Signed Input'!E:E,0)),"N")</f>
        <v>N</v>
      </c>
      <c r="L681" t="s">
        <v>2258</v>
      </c>
      <c r="M681" t="s">
        <v>3926</v>
      </c>
      <c r="N681">
        <v>10</v>
      </c>
      <c r="O681">
        <v>10</v>
      </c>
      <c r="P681" s="6">
        <v>42035.818124999998</v>
      </c>
      <c r="Q681" t="s">
        <v>3896</v>
      </c>
      <c r="R681" t="s">
        <v>11563</v>
      </c>
      <c r="S681" t="s">
        <v>2591</v>
      </c>
      <c r="T681">
        <v>2</v>
      </c>
      <c r="X681" t="b">
        <v>1</v>
      </c>
      <c r="Y681" s="6">
        <v>42037.431944444441</v>
      </c>
    </row>
    <row r="682" spans="1:25" x14ac:dyDescent="0.25">
      <c r="A682" t="s">
        <v>13672</v>
      </c>
      <c r="B682" t="s">
        <v>13673</v>
      </c>
      <c r="C682">
        <v>5.3550000000000004</v>
      </c>
      <c r="D682" t="s">
        <v>3893</v>
      </c>
      <c r="E682" t="s">
        <v>3989</v>
      </c>
      <c r="F682" s="18">
        <v>42005</v>
      </c>
      <c r="G682" s="18">
        <v>42031</v>
      </c>
      <c r="H682" s="18" t="str">
        <f>IFERROR(INDEX('Docs Signed Input'!B:B,MATCH('Nate''s Evolution'!$B682,'Docs Signed Input'!E:E,0)),"N")</f>
        <v>N</v>
      </c>
      <c r="I682" s="18" t="str">
        <f>IFERROR(INDEX('Docs Signed Input'!C:C,MATCH('Nate''s Evolution'!B682,'Docs Signed Input'!E:E,0)),"N")</f>
        <v>N</v>
      </c>
      <c r="L682" t="s">
        <v>2258</v>
      </c>
      <c r="M682" t="s">
        <v>4140</v>
      </c>
      <c r="N682">
        <v>5.3550000000000004</v>
      </c>
      <c r="O682">
        <v>5.3550000000000004</v>
      </c>
      <c r="P682" s="6">
        <v>42035.818124999998</v>
      </c>
      <c r="Q682" t="s">
        <v>3896</v>
      </c>
      <c r="R682" t="s">
        <v>3911</v>
      </c>
      <c r="S682" t="s">
        <v>2591</v>
      </c>
      <c r="T682">
        <v>2</v>
      </c>
      <c r="X682" t="b">
        <v>1</v>
      </c>
      <c r="Y682" s="6">
        <v>42037.431944444441</v>
      </c>
    </row>
    <row r="683" spans="1:25" x14ac:dyDescent="0.25">
      <c r="A683" t="s">
        <v>13674</v>
      </c>
      <c r="B683" t="s">
        <v>13675</v>
      </c>
      <c r="C683">
        <v>8.16</v>
      </c>
      <c r="D683" t="s">
        <v>3893</v>
      </c>
      <c r="E683" t="s">
        <v>3989</v>
      </c>
      <c r="F683" s="18">
        <v>42005</v>
      </c>
      <c r="G683" s="18">
        <v>42031</v>
      </c>
      <c r="H683" s="18" t="str">
        <f>IFERROR(INDEX('Docs Signed Input'!B:B,MATCH('Nate''s Evolution'!$B683,'Docs Signed Input'!E:E,0)),"N")</f>
        <v>N</v>
      </c>
      <c r="I683" s="18" t="str">
        <f>IFERROR(INDEX('Docs Signed Input'!C:C,MATCH('Nate''s Evolution'!B683,'Docs Signed Input'!E:E,0)),"N")</f>
        <v>N</v>
      </c>
      <c r="L683" t="s">
        <v>2258</v>
      </c>
      <c r="M683" t="s">
        <v>4317</v>
      </c>
      <c r="N683">
        <v>8.16</v>
      </c>
      <c r="O683">
        <v>8.16</v>
      </c>
      <c r="P683" s="6">
        <v>42035.818124999998</v>
      </c>
      <c r="Q683" t="s">
        <v>3896</v>
      </c>
      <c r="R683" t="s">
        <v>11563</v>
      </c>
      <c r="S683" t="s">
        <v>3459</v>
      </c>
      <c r="T683">
        <v>2</v>
      </c>
      <c r="X683" t="b">
        <v>1</v>
      </c>
      <c r="Y683" s="6">
        <v>42037.431944444441</v>
      </c>
    </row>
    <row r="684" spans="1:25" x14ac:dyDescent="0.25">
      <c r="A684" t="s">
        <v>13703</v>
      </c>
      <c r="B684" t="s">
        <v>13704</v>
      </c>
      <c r="C684">
        <v>6.76</v>
      </c>
      <c r="D684" t="s">
        <v>3893</v>
      </c>
      <c r="E684" t="s">
        <v>3989</v>
      </c>
      <c r="F684" s="18">
        <v>42005</v>
      </c>
      <c r="G684" s="18">
        <v>42031</v>
      </c>
      <c r="H684" s="18" t="str">
        <f>IFERROR(INDEX('Docs Signed Input'!B:B,MATCH('Nate''s Evolution'!$B684,'Docs Signed Input'!E:E,0)),"N")</f>
        <v>N</v>
      </c>
      <c r="I684" s="18" t="str">
        <f>IFERROR(INDEX('Docs Signed Input'!C:C,MATCH('Nate''s Evolution'!B684,'Docs Signed Input'!E:E,0)),"N")</f>
        <v>N</v>
      </c>
      <c r="L684" t="s">
        <v>2258</v>
      </c>
      <c r="M684" t="s">
        <v>4317</v>
      </c>
      <c r="N684">
        <v>6.76</v>
      </c>
      <c r="O684">
        <v>6.76</v>
      </c>
      <c r="P684" s="6">
        <v>42035.818124999998</v>
      </c>
      <c r="Q684" t="s">
        <v>3896</v>
      </c>
      <c r="R684" t="s">
        <v>11563</v>
      </c>
      <c r="S684" t="s">
        <v>3566</v>
      </c>
      <c r="T684">
        <v>2</v>
      </c>
      <c r="X684" t="b">
        <v>1</v>
      </c>
      <c r="Y684" s="6">
        <v>42037.431944444441</v>
      </c>
    </row>
    <row r="685" spans="1:25" x14ac:dyDescent="0.25">
      <c r="A685" t="s">
        <v>13705</v>
      </c>
      <c r="B685" t="s">
        <v>13706</v>
      </c>
      <c r="C685">
        <v>7.75</v>
      </c>
      <c r="D685" t="s">
        <v>3893</v>
      </c>
      <c r="E685" t="s">
        <v>3989</v>
      </c>
      <c r="F685" s="18">
        <v>42005</v>
      </c>
      <c r="G685" s="18">
        <v>42031</v>
      </c>
      <c r="H685" s="18" t="str">
        <f>IFERROR(INDEX('Docs Signed Input'!B:B,MATCH('Nate''s Evolution'!$B685,'Docs Signed Input'!E:E,0)),"N")</f>
        <v>N</v>
      </c>
      <c r="I685" s="18" t="str">
        <f>IFERROR(INDEX('Docs Signed Input'!C:C,MATCH('Nate''s Evolution'!B685,'Docs Signed Input'!E:E,0)),"N")</f>
        <v>N</v>
      </c>
      <c r="L685" t="s">
        <v>2258</v>
      </c>
      <c r="M685" t="s">
        <v>3895</v>
      </c>
      <c r="N685">
        <v>7.75</v>
      </c>
      <c r="O685">
        <v>7.75</v>
      </c>
      <c r="P685" s="6">
        <v>42035.818124999998</v>
      </c>
      <c r="Q685" t="s">
        <v>3896</v>
      </c>
      <c r="R685" t="s">
        <v>11563</v>
      </c>
      <c r="S685" t="s">
        <v>3254</v>
      </c>
      <c r="T685">
        <v>2</v>
      </c>
      <c r="X685" t="b">
        <v>1</v>
      </c>
      <c r="Y685" s="6">
        <v>42037.431944444441</v>
      </c>
    </row>
    <row r="686" spans="1:25" x14ac:dyDescent="0.25">
      <c r="A686" t="s">
        <v>13727</v>
      </c>
      <c r="B686" t="s">
        <v>13728</v>
      </c>
      <c r="C686">
        <v>6.5</v>
      </c>
      <c r="D686" t="s">
        <v>3893</v>
      </c>
      <c r="E686" t="s">
        <v>3989</v>
      </c>
      <c r="F686" s="18">
        <v>42005</v>
      </c>
      <c r="G686" s="18">
        <v>42031</v>
      </c>
      <c r="H686" s="18" t="str">
        <f>IFERROR(INDEX('Docs Signed Input'!B:B,MATCH('Nate''s Evolution'!$B686,'Docs Signed Input'!E:E,0)),"N")</f>
        <v>N</v>
      </c>
      <c r="I686" s="18" t="str">
        <f>IFERROR(INDEX('Docs Signed Input'!C:C,MATCH('Nate''s Evolution'!B686,'Docs Signed Input'!E:E,0)),"N")</f>
        <v>N</v>
      </c>
      <c r="L686" t="s">
        <v>2258</v>
      </c>
      <c r="M686" t="s">
        <v>3895</v>
      </c>
      <c r="N686">
        <v>6.5</v>
      </c>
      <c r="O686">
        <v>6.5</v>
      </c>
      <c r="P686" s="6">
        <v>42035.818124999998</v>
      </c>
      <c r="Q686" t="s">
        <v>3896</v>
      </c>
      <c r="R686" t="s">
        <v>11563</v>
      </c>
      <c r="S686" t="s">
        <v>2937</v>
      </c>
      <c r="T686">
        <v>2</v>
      </c>
      <c r="X686" t="b">
        <v>1</v>
      </c>
      <c r="Y686" s="6">
        <v>42037.431944444441</v>
      </c>
    </row>
    <row r="687" spans="1:25" x14ac:dyDescent="0.25">
      <c r="A687" t="s">
        <v>13750</v>
      </c>
      <c r="B687" t="s">
        <v>13751</v>
      </c>
      <c r="C687">
        <v>8.67</v>
      </c>
      <c r="D687" t="s">
        <v>3893</v>
      </c>
      <c r="E687" t="s">
        <v>3989</v>
      </c>
      <c r="F687" s="18">
        <v>42005</v>
      </c>
      <c r="G687" s="18">
        <v>42031</v>
      </c>
      <c r="H687" s="18" t="str">
        <f>IFERROR(INDEX('Docs Signed Input'!B:B,MATCH('Nate''s Evolution'!$B687,'Docs Signed Input'!E:E,0)),"N")</f>
        <v>N</v>
      </c>
      <c r="I687" s="18" t="str">
        <f>IFERROR(INDEX('Docs Signed Input'!C:C,MATCH('Nate''s Evolution'!B687,'Docs Signed Input'!E:E,0)),"N")</f>
        <v>N</v>
      </c>
      <c r="L687" t="s">
        <v>2258</v>
      </c>
      <c r="M687" t="s">
        <v>3933</v>
      </c>
      <c r="N687">
        <v>8.67</v>
      </c>
      <c r="O687">
        <v>8.67</v>
      </c>
      <c r="P687" s="6">
        <v>42035.818124999998</v>
      </c>
      <c r="Q687" t="s">
        <v>3896</v>
      </c>
      <c r="R687" t="s">
        <v>11563</v>
      </c>
      <c r="S687" t="s">
        <v>12565</v>
      </c>
      <c r="T687">
        <v>2</v>
      </c>
      <c r="X687" t="b">
        <v>1</v>
      </c>
      <c r="Y687" s="6">
        <v>42037.431944444441</v>
      </c>
    </row>
    <row r="688" spans="1:25" x14ac:dyDescent="0.25">
      <c r="A688" t="s">
        <v>13754</v>
      </c>
      <c r="B688" t="s">
        <v>13755</v>
      </c>
      <c r="C688">
        <v>7</v>
      </c>
      <c r="D688" t="s">
        <v>3893</v>
      </c>
      <c r="E688" t="s">
        <v>3989</v>
      </c>
      <c r="F688" s="18">
        <v>42005</v>
      </c>
      <c r="G688" s="18">
        <v>42031</v>
      </c>
      <c r="H688" s="18" t="str">
        <f>IFERROR(INDEX('Docs Signed Input'!B:B,MATCH('Nate''s Evolution'!$B688,'Docs Signed Input'!E:E,0)),"N")</f>
        <v>N</v>
      </c>
      <c r="I688" s="18" t="str">
        <f>IFERROR(INDEX('Docs Signed Input'!C:C,MATCH('Nate''s Evolution'!B688,'Docs Signed Input'!E:E,0)),"N")</f>
        <v>N</v>
      </c>
      <c r="L688" t="s">
        <v>2258</v>
      </c>
      <c r="M688" t="s">
        <v>3926</v>
      </c>
      <c r="N688">
        <v>7</v>
      </c>
      <c r="O688">
        <v>7</v>
      </c>
      <c r="P688" s="6">
        <v>42035.818124999998</v>
      </c>
      <c r="Q688" t="s">
        <v>3896</v>
      </c>
      <c r="R688" t="s">
        <v>11563</v>
      </c>
      <c r="S688" t="s">
        <v>3650</v>
      </c>
      <c r="T688">
        <v>2</v>
      </c>
      <c r="X688" t="b">
        <v>1</v>
      </c>
      <c r="Y688" s="6">
        <v>42037.431944444441</v>
      </c>
    </row>
    <row r="689" spans="1:25" x14ac:dyDescent="0.25">
      <c r="A689" t="s">
        <v>13763</v>
      </c>
      <c r="B689" t="s">
        <v>13764</v>
      </c>
      <c r="C689">
        <v>5</v>
      </c>
      <c r="D689" t="s">
        <v>3893</v>
      </c>
      <c r="E689" t="s">
        <v>3894</v>
      </c>
      <c r="F689" s="18">
        <v>42005</v>
      </c>
      <c r="G689" s="18">
        <v>42031</v>
      </c>
      <c r="H689" s="18" t="str">
        <f>IFERROR(INDEX('Docs Signed Input'!B:B,MATCH('Nate''s Evolution'!$B689,'Docs Signed Input'!E:E,0)),"N")</f>
        <v>N</v>
      </c>
      <c r="I689" s="18" t="str">
        <f>IFERROR(INDEX('Docs Signed Input'!C:C,MATCH('Nate''s Evolution'!B689,'Docs Signed Input'!E:E,0)),"N")</f>
        <v>N</v>
      </c>
      <c r="L689" t="s">
        <v>2944</v>
      </c>
      <c r="M689" t="s">
        <v>3926</v>
      </c>
      <c r="N689">
        <v>5</v>
      </c>
      <c r="O689">
        <v>5</v>
      </c>
      <c r="P689" s="6">
        <v>42035.818124999998</v>
      </c>
      <c r="Q689" t="s">
        <v>3896</v>
      </c>
      <c r="R689" t="s">
        <v>11563</v>
      </c>
      <c r="S689" t="s">
        <v>2943</v>
      </c>
      <c r="T689">
        <v>2</v>
      </c>
      <c r="X689" t="b">
        <v>1</v>
      </c>
      <c r="Y689" s="6">
        <v>42037.431944444441</v>
      </c>
    </row>
    <row r="690" spans="1:25" x14ac:dyDescent="0.25">
      <c r="A690" t="s">
        <v>13770</v>
      </c>
      <c r="B690" t="s">
        <v>13771</v>
      </c>
      <c r="C690">
        <v>6.75</v>
      </c>
      <c r="D690" t="s">
        <v>3893</v>
      </c>
      <c r="E690" t="s">
        <v>3916</v>
      </c>
      <c r="F690" s="18">
        <v>42005</v>
      </c>
      <c r="G690" s="18">
        <v>42031</v>
      </c>
      <c r="H690" s="18" t="str">
        <f>IFERROR(INDEX('Docs Signed Input'!B:B,MATCH('Nate''s Evolution'!$B690,'Docs Signed Input'!E:E,0)),"N")</f>
        <v>N</v>
      </c>
      <c r="I690" s="18" t="str">
        <f>IFERROR(INDEX('Docs Signed Input'!C:C,MATCH('Nate''s Evolution'!B690,'Docs Signed Input'!E:E,0)),"N")</f>
        <v>N</v>
      </c>
      <c r="L690" t="s">
        <v>2258</v>
      </c>
      <c r="M690" t="s">
        <v>3902</v>
      </c>
      <c r="N690">
        <v>6.5</v>
      </c>
      <c r="O690">
        <v>6.75</v>
      </c>
      <c r="P690" s="6">
        <v>42035.818124999998</v>
      </c>
      <c r="Q690" t="s">
        <v>3896</v>
      </c>
      <c r="R690" t="s">
        <v>11563</v>
      </c>
      <c r="S690" t="s">
        <v>12275</v>
      </c>
      <c r="T690">
        <v>2</v>
      </c>
      <c r="X690" t="b">
        <v>1</v>
      </c>
      <c r="Y690" s="6">
        <v>42037.431944444441</v>
      </c>
    </row>
    <row r="691" spans="1:25" x14ac:dyDescent="0.25">
      <c r="A691" t="s">
        <v>13774</v>
      </c>
      <c r="B691" t="s">
        <v>13775</v>
      </c>
      <c r="C691">
        <v>10</v>
      </c>
      <c r="D691" t="s">
        <v>3893</v>
      </c>
      <c r="E691" t="s">
        <v>3989</v>
      </c>
      <c r="F691" s="18">
        <v>42005</v>
      </c>
      <c r="G691" s="18">
        <v>42031</v>
      </c>
      <c r="H691" s="18" t="str">
        <f>IFERROR(INDEX('Docs Signed Input'!B:B,MATCH('Nate''s Evolution'!$B691,'Docs Signed Input'!E:E,0)),"N")</f>
        <v>N</v>
      </c>
      <c r="I691" s="18" t="str">
        <f>IFERROR(INDEX('Docs Signed Input'!C:C,MATCH('Nate''s Evolution'!B691,'Docs Signed Input'!E:E,0)),"N")</f>
        <v>N</v>
      </c>
      <c r="L691" t="s">
        <v>2258</v>
      </c>
      <c r="M691" t="s">
        <v>12976</v>
      </c>
      <c r="N691">
        <v>10</v>
      </c>
      <c r="O691">
        <v>10</v>
      </c>
      <c r="P691" s="6">
        <v>42035.818124999998</v>
      </c>
      <c r="Q691" t="s">
        <v>3896</v>
      </c>
      <c r="R691" t="s">
        <v>11563</v>
      </c>
      <c r="S691" t="s">
        <v>3943</v>
      </c>
      <c r="T691">
        <v>2</v>
      </c>
      <c r="X691" t="b">
        <v>1</v>
      </c>
      <c r="Y691" s="6">
        <v>42037.431944444441</v>
      </c>
    </row>
    <row r="692" spans="1:25" x14ac:dyDescent="0.25">
      <c r="A692" t="s">
        <v>13627</v>
      </c>
      <c r="B692" t="s">
        <v>13628</v>
      </c>
      <c r="C692">
        <v>7</v>
      </c>
      <c r="D692" t="s">
        <v>3893</v>
      </c>
      <c r="E692" t="s">
        <v>3925</v>
      </c>
      <c r="F692" s="18">
        <v>42005</v>
      </c>
      <c r="G692" s="18">
        <v>42032</v>
      </c>
      <c r="H692" s="18" t="str">
        <f>IFERROR(INDEX('Docs Signed Input'!B:B,MATCH('Nate''s Evolution'!$B692,'Docs Signed Input'!E:E,0)),"N")</f>
        <v>N</v>
      </c>
      <c r="I692" s="18" t="str">
        <f>IFERROR(INDEX('Docs Signed Input'!C:C,MATCH('Nate''s Evolution'!B692,'Docs Signed Input'!E:E,0)),"N")</f>
        <v>N</v>
      </c>
      <c r="J692" s="18">
        <v>42036</v>
      </c>
      <c r="L692" t="s">
        <v>2258</v>
      </c>
      <c r="M692" t="s">
        <v>4000</v>
      </c>
      <c r="N692">
        <v>6.75</v>
      </c>
      <c r="O692">
        <v>7</v>
      </c>
      <c r="P692" s="6">
        <v>42037.376805555556</v>
      </c>
      <c r="Q692" t="s">
        <v>3896</v>
      </c>
      <c r="R692" t="s">
        <v>11563</v>
      </c>
      <c r="S692" t="s">
        <v>3438</v>
      </c>
      <c r="T692">
        <v>0</v>
      </c>
      <c r="X692" t="b">
        <v>1</v>
      </c>
      <c r="Y692" s="6">
        <v>42037.431944444441</v>
      </c>
    </row>
    <row r="693" spans="1:25" x14ac:dyDescent="0.25">
      <c r="A693" t="s">
        <v>13638</v>
      </c>
      <c r="B693" t="s">
        <v>13639</v>
      </c>
      <c r="C693">
        <v>3.38</v>
      </c>
      <c r="D693" t="s">
        <v>3893</v>
      </c>
      <c r="E693" t="s">
        <v>3989</v>
      </c>
      <c r="F693" s="18">
        <v>42005</v>
      </c>
      <c r="G693" s="18">
        <v>42032</v>
      </c>
      <c r="H693" s="18" t="str">
        <f>IFERROR(INDEX('Docs Signed Input'!B:B,MATCH('Nate''s Evolution'!$B693,'Docs Signed Input'!E:E,0)),"N")</f>
        <v>N</v>
      </c>
      <c r="I693" s="18" t="str">
        <f>IFERROR(INDEX('Docs Signed Input'!C:C,MATCH('Nate''s Evolution'!B693,'Docs Signed Input'!E:E,0)),"N")</f>
        <v>N</v>
      </c>
      <c r="L693" t="s">
        <v>2258</v>
      </c>
      <c r="M693" t="s">
        <v>4317</v>
      </c>
      <c r="N693">
        <v>3.38</v>
      </c>
      <c r="O693">
        <v>3.38</v>
      </c>
      <c r="P693" s="6">
        <v>42035.818124999998</v>
      </c>
      <c r="Q693" t="s">
        <v>3896</v>
      </c>
      <c r="R693" t="s">
        <v>11563</v>
      </c>
      <c r="S693" t="s">
        <v>12496</v>
      </c>
      <c r="T693">
        <v>2</v>
      </c>
      <c r="X693" t="b">
        <v>1</v>
      </c>
      <c r="Y693" s="6">
        <v>42037.431944444441</v>
      </c>
    </row>
    <row r="694" spans="1:25" x14ac:dyDescent="0.25">
      <c r="A694" t="s">
        <v>13653</v>
      </c>
      <c r="B694" t="s">
        <v>13654</v>
      </c>
      <c r="C694">
        <v>6.8849999999999998</v>
      </c>
      <c r="D694" t="s">
        <v>3893</v>
      </c>
      <c r="E694" t="s">
        <v>3989</v>
      </c>
      <c r="F694" s="18">
        <v>42005</v>
      </c>
      <c r="G694" s="18">
        <v>42032</v>
      </c>
      <c r="H694" s="18" t="str">
        <f>IFERROR(INDEX('Docs Signed Input'!B:B,MATCH('Nate''s Evolution'!$B694,'Docs Signed Input'!E:E,0)),"N")</f>
        <v>N</v>
      </c>
      <c r="I694" s="18" t="str">
        <f>IFERROR(INDEX('Docs Signed Input'!C:C,MATCH('Nate''s Evolution'!B694,'Docs Signed Input'!E:E,0)),"N")</f>
        <v>N</v>
      </c>
      <c r="L694" t="s">
        <v>2258</v>
      </c>
      <c r="M694" t="s">
        <v>4032</v>
      </c>
      <c r="N694">
        <v>6.8849999999999998</v>
      </c>
      <c r="O694">
        <v>6.8849999999999998</v>
      </c>
      <c r="P694" s="6">
        <v>42035.818124999998</v>
      </c>
      <c r="Q694" t="s">
        <v>3896</v>
      </c>
      <c r="R694" t="s">
        <v>11563</v>
      </c>
      <c r="S694" t="s">
        <v>12794</v>
      </c>
      <c r="T694">
        <v>2</v>
      </c>
      <c r="X694" t="b">
        <v>1</v>
      </c>
      <c r="Y694" s="6">
        <v>42037.431944444441</v>
      </c>
    </row>
    <row r="695" spans="1:25" x14ac:dyDescent="0.25">
      <c r="A695" t="s">
        <v>13662</v>
      </c>
      <c r="B695" t="s">
        <v>13663</v>
      </c>
      <c r="C695">
        <v>5.25</v>
      </c>
      <c r="D695" t="s">
        <v>3893</v>
      </c>
      <c r="E695" t="s">
        <v>3989</v>
      </c>
      <c r="F695" s="18">
        <v>42005</v>
      </c>
      <c r="G695" s="18">
        <v>42032</v>
      </c>
      <c r="H695" s="18" t="str">
        <f>IFERROR(INDEX('Docs Signed Input'!B:B,MATCH('Nate''s Evolution'!$B695,'Docs Signed Input'!E:E,0)),"N")</f>
        <v>N</v>
      </c>
      <c r="I695" s="18" t="str">
        <f>IFERROR(INDEX('Docs Signed Input'!C:C,MATCH('Nate''s Evolution'!B695,'Docs Signed Input'!E:E,0)),"N")</f>
        <v>N</v>
      </c>
      <c r="L695" t="s">
        <v>2258</v>
      </c>
      <c r="M695" t="s">
        <v>3902</v>
      </c>
      <c r="N695">
        <v>5.25</v>
      </c>
      <c r="O695">
        <v>5.25</v>
      </c>
      <c r="P695" s="6">
        <v>42035.818124999998</v>
      </c>
      <c r="Q695" t="s">
        <v>3896</v>
      </c>
      <c r="R695" t="s">
        <v>11563</v>
      </c>
      <c r="S695" t="s">
        <v>2341</v>
      </c>
      <c r="T695">
        <v>2</v>
      </c>
      <c r="X695" t="b">
        <v>1</v>
      </c>
      <c r="Y695" s="6">
        <v>42037.431944444441</v>
      </c>
    </row>
    <row r="696" spans="1:25" x14ac:dyDescent="0.25">
      <c r="A696" t="s">
        <v>13668</v>
      </c>
      <c r="B696" t="s">
        <v>13669</v>
      </c>
      <c r="C696">
        <v>5.8650000000000002</v>
      </c>
      <c r="D696" t="s">
        <v>3893</v>
      </c>
      <c r="E696" t="s">
        <v>3989</v>
      </c>
      <c r="F696" s="18">
        <v>42005</v>
      </c>
      <c r="G696" s="18">
        <v>42032</v>
      </c>
      <c r="H696" s="18" t="str">
        <f>IFERROR(INDEX('Docs Signed Input'!B:B,MATCH('Nate''s Evolution'!$B696,'Docs Signed Input'!E:E,0)),"N")</f>
        <v>N</v>
      </c>
      <c r="I696" s="18" t="str">
        <f>IFERROR(INDEX('Docs Signed Input'!C:C,MATCH('Nate''s Evolution'!B696,'Docs Signed Input'!E:E,0)),"N")</f>
        <v>N</v>
      </c>
      <c r="L696" t="s">
        <v>2258</v>
      </c>
      <c r="M696" t="s">
        <v>3933</v>
      </c>
      <c r="N696">
        <v>5.8650000000000002</v>
      </c>
      <c r="O696">
        <v>5.8650000000000002</v>
      </c>
      <c r="P696" s="6">
        <v>42035.818124999998</v>
      </c>
      <c r="Q696" t="s">
        <v>3896</v>
      </c>
      <c r="S696" t="s">
        <v>12205</v>
      </c>
      <c r="T696">
        <v>2</v>
      </c>
      <c r="X696" t="b">
        <v>1</v>
      </c>
      <c r="Y696" s="6">
        <v>42037.431944444441</v>
      </c>
    </row>
    <row r="697" spans="1:25" x14ac:dyDescent="0.25">
      <c r="A697" t="s">
        <v>13677</v>
      </c>
      <c r="B697" t="s">
        <v>13678</v>
      </c>
      <c r="C697">
        <v>7.25</v>
      </c>
      <c r="D697" t="s">
        <v>3893</v>
      </c>
      <c r="E697" t="s">
        <v>3989</v>
      </c>
      <c r="F697" s="18">
        <v>42005</v>
      </c>
      <c r="G697" s="18">
        <v>42032</v>
      </c>
      <c r="H697" s="18" t="str">
        <f>IFERROR(INDEX('Docs Signed Input'!B:B,MATCH('Nate''s Evolution'!$B697,'Docs Signed Input'!E:E,0)),"N")</f>
        <v>N</v>
      </c>
      <c r="I697" s="18" t="str">
        <f>IFERROR(INDEX('Docs Signed Input'!C:C,MATCH('Nate''s Evolution'!B697,'Docs Signed Input'!E:E,0)),"N")</f>
        <v>N</v>
      </c>
      <c r="L697" t="s">
        <v>2258</v>
      </c>
      <c r="M697" t="s">
        <v>3926</v>
      </c>
      <c r="N697">
        <v>7.25</v>
      </c>
      <c r="O697">
        <v>7.25</v>
      </c>
      <c r="P697" s="6">
        <v>42035.818124999998</v>
      </c>
      <c r="Q697" t="s">
        <v>3896</v>
      </c>
      <c r="R697" t="s">
        <v>11563</v>
      </c>
      <c r="S697" t="s">
        <v>2591</v>
      </c>
      <c r="T697">
        <v>2</v>
      </c>
      <c r="X697" t="b">
        <v>1</v>
      </c>
      <c r="Y697" s="6">
        <v>42037.431944444441</v>
      </c>
    </row>
    <row r="698" spans="1:25" x14ac:dyDescent="0.25">
      <c r="A698" t="s">
        <v>13697</v>
      </c>
      <c r="B698" t="s">
        <v>13698</v>
      </c>
      <c r="C698">
        <v>6.76</v>
      </c>
      <c r="D698" t="s">
        <v>3893</v>
      </c>
      <c r="E698" t="s">
        <v>3941</v>
      </c>
      <c r="F698" s="18">
        <v>42005</v>
      </c>
      <c r="G698" s="18">
        <v>42032</v>
      </c>
      <c r="H698" s="18" t="str">
        <f>IFERROR(INDEX('Docs Signed Input'!B:B,MATCH('Nate''s Evolution'!$B698,'Docs Signed Input'!E:E,0)),"N")</f>
        <v>N</v>
      </c>
      <c r="I698" s="18" t="str">
        <f>IFERROR(INDEX('Docs Signed Input'!C:C,MATCH('Nate''s Evolution'!B698,'Docs Signed Input'!E:E,0)),"N")</f>
        <v>N</v>
      </c>
      <c r="L698" t="s">
        <v>2258</v>
      </c>
      <c r="M698" t="s">
        <v>4317</v>
      </c>
      <c r="N698">
        <v>6.76</v>
      </c>
      <c r="O698">
        <v>6.76</v>
      </c>
      <c r="P698" s="6">
        <v>42036.818182870367</v>
      </c>
      <c r="Q698" t="s">
        <v>3896</v>
      </c>
      <c r="R698" t="s">
        <v>11563</v>
      </c>
      <c r="S698" t="s">
        <v>12496</v>
      </c>
      <c r="T698">
        <v>1</v>
      </c>
      <c r="X698" t="b">
        <v>1</v>
      </c>
      <c r="Y698" s="6">
        <v>42037.431944444441</v>
      </c>
    </row>
    <row r="699" spans="1:25" x14ac:dyDescent="0.25">
      <c r="A699" t="s">
        <v>13709</v>
      </c>
      <c r="B699" t="s">
        <v>13710</v>
      </c>
      <c r="C699">
        <v>8.9250000000000007</v>
      </c>
      <c r="D699" t="s">
        <v>3893</v>
      </c>
      <c r="E699" t="s">
        <v>3989</v>
      </c>
      <c r="F699" s="18">
        <v>42005</v>
      </c>
      <c r="G699" s="18">
        <v>42032</v>
      </c>
      <c r="H699" s="18" t="str">
        <f>IFERROR(INDEX('Docs Signed Input'!B:B,MATCH('Nate''s Evolution'!$B699,'Docs Signed Input'!E:E,0)),"N")</f>
        <v>N</v>
      </c>
      <c r="I699" s="18" t="str">
        <f>IFERROR(INDEX('Docs Signed Input'!C:C,MATCH('Nate''s Evolution'!B699,'Docs Signed Input'!E:E,0)),"N")</f>
        <v>N</v>
      </c>
      <c r="L699" t="s">
        <v>2258</v>
      </c>
      <c r="M699" t="s">
        <v>3933</v>
      </c>
      <c r="N699">
        <v>8.9250000000000007</v>
      </c>
      <c r="O699">
        <v>8.9250000000000007</v>
      </c>
      <c r="P699" s="6">
        <v>42035.818124999998</v>
      </c>
      <c r="Q699" t="s">
        <v>3896</v>
      </c>
      <c r="R699" t="s">
        <v>11563</v>
      </c>
      <c r="S699" t="s">
        <v>11497</v>
      </c>
      <c r="T699">
        <v>2</v>
      </c>
      <c r="X699" t="b">
        <v>1</v>
      </c>
      <c r="Y699" s="6">
        <v>42037.431944444441</v>
      </c>
    </row>
    <row r="700" spans="1:25" x14ac:dyDescent="0.25">
      <c r="A700" t="s">
        <v>13718</v>
      </c>
      <c r="B700" t="s">
        <v>13719</v>
      </c>
      <c r="C700">
        <v>6.76</v>
      </c>
      <c r="D700" t="s">
        <v>3893</v>
      </c>
      <c r="E700" t="s">
        <v>3989</v>
      </c>
      <c r="F700" s="18">
        <v>42005</v>
      </c>
      <c r="G700" s="18">
        <v>42032</v>
      </c>
      <c r="H700" s="18" t="str">
        <f>IFERROR(INDEX('Docs Signed Input'!B:B,MATCH('Nate''s Evolution'!$B700,'Docs Signed Input'!E:E,0)),"N")</f>
        <v>N</v>
      </c>
      <c r="I700" s="18" t="str">
        <f>IFERROR(INDEX('Docs Signed Input'!C:C,MATCH('Nate''s Evolution'!B700,'Docs Signed Input'!E:E,0)),"N")</f>
        <v>N</v>
      </c>
      <c r="L700" t="s">
        <v>2258</v>
      </c>
      <c r="M700" t="s">
        <v>3948</v>
      </c>
      <c r="N700">
        <v>6.76</v>
      </c>
      <c r="O700">
        <v>6.76</v>
      </c>
      <c r="P700" s="6">
        <v>42035.818124999998</v>
      </c>
      <c r="Q700" t="s">
        <v>3896</v>
      </c>
      <c r="R700" t="s">
        <v>11563</v>
      </c>
      <c r="S700" t="s">
        <v>2251</v>
      </c>
      <c r="T700">
        <v>2</v>
      </c>
      <c r="X700" t="b">
        <v>1</v>
      </c>
      <c r="Y700" s="6">
        <v>42037.431944444441</v>
      </c>
    </row>
    <row r="701" spans="1:25" x14ac:dyDescent="0.25">
      <c r="A701" t="s">
        <v>13720</v>
      </c>
      <c r="B701" t="s">
        <v>13721</v>
      </c>
      <c r="C701">
        <v>13.5</v>
      </c>
      <c r="D701" t="s">
        <v>3893</v>
      </c>
      <c r="E701" t="s">
        <v>3989</v>
      </c>
      <c r="F701" s="18">
        <v>42005</v>
      </c>
      <c r="G701" s="18">
        <v>42032</v>
      </c>
      <c r="H701" s="18" t="str">
        <f>IFERROR(INDEX('Docs Signed Input'!B:B,MATCH('Nate''s Evolution'!$B701,'Docs Signed Input'!E:E,0)),"N")</f>
        <v>N</v>
      </c>
      <c r="I701" s="18" t="str">
        <f>IFERROR(INDEX('Docs Signed Input'!C:C,MATCH('Nate''s Evolution'!B701,'Docs Signed Input'!E:E,0)),"N")</f>
        <v>N</v>
      </c>
      <c r="L701" t="s">
        <v>2258</v>
      </c>
      <c r="M701" t="s">
        <v>3902</v>
      </c>
      <c r="N701">
        <v>13.5</v>
      </c>
      <c r="O701">
        <v>13.5</v>
      </c>
      <c r="P701" s="6">
        <v>42035.818124999998</v>
      </c>
      <c r="Q701" t="s">
        <v>3896</v>
      </c>
      <c r="R701" t="s">
        <v>11563</v>
      </c>
      <c r="S701" t="s">
        <v>2813</v>
      </c>
      <c r="T701">
        <v>2</v>
      </c>
      <c r="X701" t="b">
        <v>1</v>
      </c>
      <c r="Y701" s="6">
        <v>42037.431944444441</v>
      </c>
    </row>
    <row r="702" spans="1:25" x14ac:dyDescent="0.25">
      <c r="A702" t="s">
        <v>13733</v>
      </c>
      <c r="B702" t="s">
        <v>13734</v>
      </c>
      <c r="C702">
        <v>11</v>
      </c>
      <c r="D702" t="s">
        <v>3893</v>
      </c>
      <c r="E702" t="s">
        <v>3989</v>
      </c>
      <c r="F702" s="18">
        <v>42005</v>
      </c>
      <c r="G702" s="18">
        <v>42032</v>
      </c>
      <c r="H702" s="18" t="str">
        <f>IFERROR(INDEX('Docs Signed Input'!B:B,MATCH('Nate''s Evolution'!$B702,'Docs Signed Input'!E:E,0)),"N")</f>
        <v>N</v>
      </c>
      <c r="I702" s="18" t="str">
        <f>IFERROR(INDEX('Docs Signed Input'!C:C,MATCH('Nate''s Evolution'!B702,'Docs Signed Input'!E:E,0)),"N")</f>
        <v>N</v>
      </c>
      <c r="L702" t="s">
        <v>2258</v>
      </c>
      <c r="M702" t="s">
        <v>12976</v>
      </c>
      <c r="N702">
        <v>11</v>
      </c>
      <c r="O702">
        <v>11</v>
      </c>
      <c r="P702" s="6">
        <v>42035.818124999998</v>
      </c>
      <c r="Q702" t="s">
        <v>3896</v>
      </c>
      <c r="R702" t="s">
        <v>11563</v>
      </c>
      <c r="S702" t="s">
        <v>3943</v>
      </c>
      <c r="T702">
        <v>2</v>
      </c>
      <c r="X702" t="b">
        <v>1</v>
      </c>
      <c r="Y702" s="6">
        <v>42037.431944444441</v>
      </c>
    </row>
    <row r="703" spans="1:25" x14ac:dyDescent="0.25">
      <c r="A703" t="s">
        <v>13743</v>
      </c>
      <c r="B703" t="s">
        <v>13744</v>
      </c>
      <c r="C703">
        <v>5</v>
      </c>
      <c r="D703" t="s">
        <v>3893</v>
      </c>
      <c r="E703" t="s">
        <v>3989</v>
      </c>
      <c r="F703" s="18">
        <v>42005</v>
      </c>
      <c r="G703" s="18">
        <v>42032</v>
      </c>
      <c r="H703" s="18" t="str">
        <f>IFERROR(INDEX('Docs Signed Input'!B:B,MATCH('Nate''s Evolution'!$B703,'Docs Signed Input'!E:E,0)),"N")</f>
        <v>N</v>
      </c>
      <c r="I703" s="18" t="str">
        <f>IFERROR(INDEX('Docs Signed Input'!C:C,MATCH('Nate''s Evolution'!B703,'Docs Signed Input'!E:E,0)),"N")</f>
        <v>N</v>
      </c>
      <c r="L703" t="s">
        <v>2258</v>
      </c>
      <c r="M703" t="s">
        <v>3917</v>
      </c>
      <c r="N703">
        <v>5</v>
      </c>
      <c r="O703">
        <v>5</v>
      </c>
      <c r="P703" s="6">
        <v>42035.818124999998</v>
      </c>
      <c r="Q703" t="s">
        <v>3896</v>
      </c>
      <c r="R703" t="s">
        <v>11563</v>
      </c>
      <c r="S703" t="s">
        <v>2824</v>
      </c>
      <c r="T703">
        <v>2</v>
      </c>
      <c r="X703" t="b">
        <v>1</v>
      </c>
      <c r="Y703" s="6">
        <v>42037.431944444441</v>
      </c>
    </row>
    <row r="704" spans="1:25" x14ac:dyDescent="0.25">
      <c r="A704" t="s">
        <v>13745</v>
      </c>
      <c r="B704" t="s">
        <v>13746</v>
      </c>
      <c r="C704">
        <v>12.5</v>
      </c>
      <c r="D704" t="s">
        <v>3893</v>
      </c>
      <c r="E704" t="s">
        <v>3989</v>
      </c>
      <c r="F704" s="18">
        <v>42005</v>
      </c>
      <c r="G704" s="18">
        <v>42032</v>
      </c>
      <c r="H704" s="18" t="str">
        <f>IFERROR(INDEX('Docs Signed Input'!B:B,MATCH('Nate''s Evolution'!$B704,'Docs Signed Input'!E:E,0)),"N")</f>
        <v>N</v>
      </c>
      <c r="I704" s="18" t="str">
        <f>IFERROR(INDEX('Docs Signed Input'!C:C,MATCH('Nate''s Evolution'!B704,'Docs Signed Input'!E:E,0)),"N")</f>
        <v>N</v>
      </c>
      <c r="L704" t="s">
        <v>2258</v>
      </c>
      <c r="M704" t="s">
        <v>3895</v>
      </c>
      <c r="N704">
        <v>12.5</v>
      </c>
      <c r="O704">
        <v>12.5</v>
      </c>
      <c r="P704" s="6">
        <v>42035.818124999998</v>
      </c>
      <c r="Q704" t="s">
        <v>3896</v>
      </c>
      <c r="R704" t="s">
        <v>11563</v>
      </c>
      <c r="S704" t="s">
        <v>3254</v>
      </c>
      <c r="T704">
        <v>2</v>
      </c>
      <c r="X704" t="b">
        <v>1</v>
      </c>
      <c r="Y704" s="6">
        <v>42037.431944444441</v>
      </c>
    </row>
    <row r="705" spans="1:25" x14ac:dyDescent="0.25">
      <c r="A705" t="s">
        <v>13747</v>
      </c>
      <c r="B705" t="s">
        <v>13748</v>
      </c>
      <c r="C705">
        <v>8.67</v>
      </c>
      <c r="D705" t="s">
        <v>3893</v>
      </c>
      <c r="E705" t="s">
        <v>3989</v>
      </c>
      <c r="F705" s="18">
        <v>42005</v>
      </c>
      <c r="G705" s="18">
        <v>42032</v>
      </c>
      <c r="H705" s="18" t="str">
        <f>IFERROR(INDEX('Docs Signed Input'!B:B,MATCH('Nate''s Evolution'!$B705,'Docs Signed Input'!E:E,0)),"N")</f>
        <v>N</v>
      </c>
      <c r="I705" s="18" t="str">
        <f>IFERROR(INDEX('Docs Signed Input'!C:C,MATCH('Nate''s Evolution'!B705,'Docs Signed Input'!E:E,0)),"N")</f>
        <v>N</v>
      </c>
      <c r="L705" t="s">
        <v>2258</v>
      </c>
      <c r="M705" t="s">
        <v>3933</v>
      </c>
      <c r="N705">
        <v>8.67</v>
      </c>
      <c r="O705">
        <v>8.67</v>
      </c>
      <c r="P705" s="6">
        <v>42035.818124999998</v>
      </c>
      <c r="Q705" t="s">
        <v>3896</v>
      </c>
      <c r="R705" t="s">
        <v>3911</v>
      </c>
      <c r="S705" t="s">
        <v>13472</v>
      </c>
      <c r="T705">
        <v>2</v>
      </c>
      <c r="X705" t="b">
        <v>1</v>
      </c>
      <c r="Y705" s="6">
        <v>42037.431944444441</v>
      </c>
    </row>
    <row r="706" spans="1:25" x14ac:dyDescent="0.25">
      <c r="A706" t="s">
        <v>4105</v>
      </c>
      <c r="B706" t="s">
        <v>13619</v>
      </c>
      <c r="C706">
        <v>13.25</v>
      </c>
      <c r="D706" t="s">
        <v>3893</v>
      </c>
      <c r="E706" t="s">
        <v>3989</v>
      </c>
      <c r="F706" s="18">
        <v>42005</v>
      </c>
      <c r="G706" s="18">
        <v>42033</v>
      </c>
      <c r="H706" s="18" t="str">
        <f>IFERROR(INDEX('Docs Signed Input'!B:B,MATCH('Nate''s Evolution'!$B706,'Docs Signed Input'!E:E,0)),"N")</f>
        <v>N</v>
      </c>
      <c r="I706" s="18" t="str">
        <f>IFERROR(INDEX('Docs Signed Input'!C:C,MATCH('Nate''s Evolution'!B706,'Docs Signed Input'!E:E,0)),"N")</f>
        <v>N</v>
      </c>
      <c r="L706" t="s">
        <v>2258</v>
      </c>
      <c r="M706" t="s">
        <v>3902</v>
      </c>
      <c r="N706">
        <v>13.25</v>
      </c>
      <c r="O706">
        <v>13.25</v>
      </c>
      <c r="P706" s="6">
        <v>42035.818124999998</v>
      </c>
      <c r="Q706" t="s">
        <v>3896</v>
      </c>
      <c r="R706" t="s">
        <v>3911</v>
      </c>
      <c r="S706" t="s">
        <v>11811</v>
      </c>
      <c r="T706">
        <v>2</v>
      </c>
      <c r="X706" t="b">
        <v>1</v>
      </c>
      <c r="Y706" s="6">
        <v>42037.431944444441</v>
      </c>
    </row>
    <row r="707" spans="1:25" x14ac:dyDescent="0.25">
      <c r="A707" t="s">
        <v>13644</v>
      </c>
      <c r="B707" t="s">
        <v>13645</v>
      </c>
      <c r="C707">
        <v>4</v>
      </c>
      <c r="D707" t="s">
        <v>3893</v>
      </c>
      <c r="E707" t="s">
        <v>3989</v>
      </c>
      <c r="F707" s="18">
        <v>42005</v>
      </c>
      <c r="G707" s="18">
        <v>42033</v>
      </c>
      <c r="H707" s="18" t="str">
        <f>IFERROR(INDEX('Docs Signed Input'!B:B,MATCH('Nate''s Evolution'!$B707,'Docs Signed Input'!E:E,0)),"N")</f>
        <v>N</v>
      </c>
      <c r="I707" s="18" t="str">
        <f>IFERROR(INDEX('Docs Signed Input'!C:C,MATCH('Nate''s Evolution'!B707,'Docs Signed Input'!E:E,0)),"N")</f>
        <v>N</v>
      </c>
      <c r="L707" t="s">
        <v>2258</v>
      </c>
      <c r="M707" t="s">
        <v>3926</v>
      </c>
      <c r="N707">
        <v>4</v>
      </c>
      <c r="O707">
        <v>4</v>
      </c>
      <c r="P707" s="6">
        <v>42035.818124999998</v>
      </c>
      <c r="Q707" t="s">
        <v>3896</v>
      </c>
      <c r="R707" t="s">
        <v>3911</v>
      </c>
      <c r="S707" t="s">
        <v>3650</v>
      </c>
      <c r="T707">
        <v>2</v>
      </c>
      <c r="X707" t="b">
        <v>1</v>
      </c>
      <c r="Y707" s="6">
        <v>42037.431944444441</v>
      </c>
    </row>
    <row r="708" spans="1:25" x14ac:dyDescent="0.25">
      <c r="A708" t="s">
        <v>13646</v>
      </c>
      <c r="B708" t="s">
        <v>13647</v>
      </c>
      <c r="C708">
        <v>6.5</v>
      </c>
      <c r="D708" t="s">
        <v>3893</v>
      </c>
      <c r="E708" t="s">
        <v>3989</v>
      </c>
      <c r="F708" s="18">
        <v>42005</v>
      </c>
      <c r="G708" s="18">
        <v>42033</v>
      </c>
      <c r="H708" s="18" t="str">
        <f>IFERROR(INDEX('Docs Signed Input'!B:B,MATCH('Nate''s Evolution'!$B708,'Docs Signed Input'!E:E,0)),"N")</f>
        <v>N</v>
      </c>
      <c r="I708" s="18" t="str">
        <f>IFERROR(INDEX('Docs Signed Input'!C:C,MATCH('Nate''s Evolution'!B708,'Docs Signed Input'!E:E,0)),"N")</f>
        <v>N</v>
      </c>
      <c r="L708" t="s">
        <v>2258</v>
      </c>
      <c r="M708" t="s">
        <v>3902</v>
      </c>
      <c r="N708">
        <v>6.5</v>
      </c>
      <c r="O708">
        <v>6.5</v>
      </c>
      <c r="P708" s="6">
        <v>42035.818124999998</v>
      </c>
      <c r="Q708" t="s">
        <v>3896</v>
      </c>
      <c r="R708" t="s">
        <v>11563</v>
      </c>
      <c r="S708" t="s">
        <v>12275</v>
      </c>
      <c r="T708">
        <v>2</v>
      </c>
      <c r="X708" t="b">
        <v>1</v>
      </c>
      <c r="Y708" s="6">
        <v>42037.431944444441</v>
      </c>
    </row>
    <row r="709" spans="1:25" x14ac:dyDescent="0.25">
      <c r="A709" t="s">
        <v>13725</v>
      </c>
      <c r="B709" t="s">
        <v>13726</v>
      </c>
      <c r="C709">
        <v>3.75</v>
      </c>
      <c r="D709" t="s">
        <v>3893</v>
      </c>
      <c r="E709" t="s">
        <v>3916</v>
      </c>
      <c r="F709" s="18">
        <v>42005</v>
      </c>
      <c r="G709" s="18">
        <v>42033</v>
      </c>
      <c r="H709" s="18" t="str">
        <f>IFERROR(INDEX('Docs Signed Input'!B:B,MATCH('Nate''s Evolution'!$B709,'Docs Signed Input'!E:E,0)),"N")</f>
        <v>N</v>
      </c>
      <c r="I709" s="18" t="str">
        <f>IFERROR(INDEX('Docs Signed Input'!C:C,MATCH('Nate''s Evolution'!B709,'Docs Signed Input'!E:E,0)),"N")</f>
        <v>N</v>
      </c>
      <c r="L709" t="s">
        <v>2258</v>
      </c>
      <c r="M709" t="s">
        <v>12976</v>
      </c>
      <c r="N709">
        <v>3.75</v>
      </c>
      <c r="O709">
        <v>4</v>
      </c>
      <c r="P709" s="6">
        <v>42035.818124999998</v>
      </c>
      <c r="Q709" t="s">
        <v>3896</v>
      </c>
      <c r="R709" t="s">
        <v>11563</v>
      </c>
      <c r="S709" t="s">
        <v>3943</v>
      </c>
      <c r="T709">
        <v>2</v>
      </c>
      <c r="X709" t="b">
        <v>1</v>
      </c>
      <c r="Y709" s="6">
        <v>42037.431944444441</v>
      </c>
    </row>
    <row r="710" spans="1:25" x14ac:dyDescent="0.25">
      <c r="A710" t="s">
        <v>13772</v>
      </c>
      <c r="B710" t="s">
        <v>13773</v>
      </c>
      <c r="C710">
        <v>5.0999999999999996</v>
      </c>
      <c r="D710" t="s">
        <v>3893</v>
      </c>
      <c r="E710" t="s">
        <v>3989</v>
      </c>
      <c r="F710" s="18">
        <v>42005</v>
      </c>
      <c r="G710" s="18">
        <v>42033</v>
      </c>
      <c r="H710" s="18" t="str">
        <f>IFERROR(INDEX('Docs Signed Input'!B:B,MATCH('Nate''s Evolution'!$B710,'Docs Signed Input'!E:E,0)),"N")</f>
        <v>N</v>
      </c>
      <c r="I710" s="18" t="str">
        <f>IFERROR(INDEX('Docs Signed Input'!C:C,MATCH('Nate''s Evolution'!B710,'Docs Signed Input'!E:E,0)),"N")</f>
        <v>N</v>
      </c>
      <c r="L710" t="s">
        <v>2258</v>
      </c>
      <c r="M710" t="s">
        <v>12770</v>
      </c>
      <c r="N710">
        <v>5.0999999999999996</v>
      </c>
      <c r="O710">
        <v>5.0999999999999996</v>
      </c>
      <c r="P710" s="6">
        <v>42035.818124999998</v>
      </c>
      <c r="Q710" t="s">
        <v>3896</v>
      </c>
      <c r="R710" t="s">
        <v>11563</v>
      </c>
      <c r="S710" t="s">
        <v>12478</v>
      </c>
      <c r="T710">
        <v>2</v>
      </c>
      <c r="X710" t="b">
        <v>1</v>
      </c>
      <c r="Y710" s="6">
        <v>42037.431944444441</v>
      </c>
    </row>
    <row r="711" spans="1:25" x14ac:dyDescent="0.25">
      <c r="A711" t="s">
        <v>13777</v>
      </c>
      <c r="B711" t="s">
        <v>13778</v>
      </c>
      <c r="C711">
        <v>5.5</v>
      </c>
      <c r="D711" t="s">
        <v>3893</v>
      </c>
      <c r="E711" t="s">
        <v>3989</v>
      </c>
      <c r="F711" s="18">
        <v>42005</v>
      </c>
      <c r="G711" s="18">
        <v>42033</v>
      </c>
      <c r="H711" s="18" t="str">
        <f>IFERROR(INDEX('Docs Signed Input'!B:B,MATCH('Nate''s Evolution'!$B711,'Docs Signed Input'!E:E,0)),"N")</f>
        <v>N</v>
      </c>
      <c r="I711" s="18" t="str">
        <f>IFERROR(INDEX('Docs Signed Input'!C:C,MATCH('Nate''s Evolution'!B711,'Docs Signed Input'!E:E,0)),"N")</f>
        <v>N</v>
      </c>
      <c r="L711" t="s">
        <v>2258</v>
      </c>
      <c r="M711" t="s">
        <v>3926</v>
      </c>
      <c r="N711">
        <v>5.5</v>
      </c>
      <c r="O711">
        <v>5.5</v>
      </c>
      <c r="P711" s="6">
        <v>42035.818124999998</v>
      </c>
      <c r="Q711" t="s">
        <v>3896</v>
      </c>
      <c r="R711" t="s">
        <v>11563</v>
      </c>
      <c r="S711" t="s">
        <v>3650</v>
      </c>
      <c r="T711">
        <v>2</v>
      </c>
      <c r="X711" t="b">
        <v>1</v>
      </c>
      <c r="Y711" s="6">
        <v>42037.431944444441</v>
      </c>
    </row>
    <row r="712" spans="1:25" x14ac:dyDescent="0.25">
      <c r="A712" t="s">
        <v>13779</v>
      </c>
      <c r="B712" t="s">
        <v>13780</v>
      </c>
      <c r="C712">
        <v>7.25</v>
      </c>
      <c r="D712" t="s">
        <v>3893</v>
      </c>
      <c r="E712" t="s">
        <v>3989</v>
      </c>
      <c r="F712" s="18">
        <v>42005</v>
      </c>
      <c r="G712" s="18">
        <v>42033</v>
      </c>
      <c r="H712" s="18" t="str">
        <f>IFERROR(INDEX('Docs Signed Input'!B:B,MATCH('Nate''s Evolution'!$B712,'Docs Signed Input'!E:E,0)),"N")</f>
        <v>N</v>
      </c>
      <c r="I712" s="18" t="str">
        <f>IFERROR(INDEX('Docs Signed Input'!C:C,MATCH('Nate''s Evolution'!B712,'Docs Signed Input'!E:E,0)),"N")</f>
        <v>N</v>
      </c>
      <c r="L712" t="s">
        <v>2258</v>
      </c>
      <c r="M712" t="s">
        <v>3902</v>
      </c>
      <c r="N712">
        <v>7.25</v>
      </c>
      <c r="O712">
        <v>7.25</v>
      </c>
      <c r="P712" s="6">
        <v>42035.818124999998</v>
      </c>
      <c r="Q712" t="s">
        <v>3896</v>
      </c>
      <c r="R712" t="s">
        <v>11563</v>
      </c>
      <c r="S712" t="s">
        <v>4723</v>
      </c>
      <c r="T712">
        <v>2</v>
      </c>
      <c r="X712" t="b">
        <v>1</v>
      </c>
      <c r="Y712" s="6">
        <v>42037.431944444441</v>
      </c>
    </row>
    <row r="713" spans="1:25" x14ac:dyDescent="0.25">
      <c r="A713" t="s">
        <v>13620</v>
      </c>
      <c r="B713" t="s">
        <v>13621</v>
      </c>
      <c r="C713">
        <v>2.5499999999999998</v>
      </c>
      <c r="D713" t="s">
        <v>3893</v>
      </c>
      <c r="E713" t="s">
        <v>3989</v>
      </c>
      <c r="F713" s="18">
        <v>42005</v>
      </c>
      <c r="G713" s="18">
        <v>42034</v>
      </c>
      <c r="H713" s="18" t="str">
        <f>IFERROR(INDEX('Docs Signed Input'!B:B,MATCH('Nate''s Evolution'!$B713,'Docs Signed Input'!E:E,0)),"N")</f>
        <v>N</v>
      </c>
      <c r="I713" s="18" t="str">
        <f>IFERROR(INDEX('Docs Signed Input'!C:C,MATCH('Nate''s Evolution'!B713,'Docs Signed Input'!E:E,0)),"N")</f>
        <v>N</v>
      </c>
      <c r="L713" t="s">
        <v>2258</v>
      </c>
      <c r="M713" t="s">
        <v>3933</v>
      </c>
      <c r="N713">
        <v>2.5499999999999998</v>
      </c>
      <c r="O713">
        <v>2.5499999999999998</v>
      </c>
      <c r="P713" s="6">
        <v>42036.818182870367</v>
      </c>
      <c r="Q713" t="s">
        <v>3896</v>
      </c>
      <c r="R713" t="s">
        <v>11563</v>
      </c>
      <c r="S713" t="s">
        <v>12267</v>
      </c>
      <c r="T713">
        <v>1</v>
      </c>
      <c r="X713" t="b">
        <v>1</v>
      </c>
      <c r="Y713" s="6">
        <v>42037.431944444441</v>
      </c>
    </row>
    <row r="714" spans="1:25" x14ac:dyDescent="0.25">
      <c r="A714" t="s">
        <v>13625</v>
      </c>
      <c r="B714" t="s">
        <v>13626</v>
      </c>
      <c r="C714">
        <v>11</v>
      </c>
      <c r="D714" t="s">
        <v>3893</v>
      </c>
      <c r="E714" t="s">
        <v>3989</v>
      </c>
      <c r="F714" s="18">
        <v>42005</v>
      </c>
      <c r="G714" s="18">
        <v>42034</v>
      </c>
      <c r="H714" s="18" t="str">
        <f>IFERROR(INDEX('Docs Signed Input'!B:B,MATCH('Nate''s Evolution'!$B714,'Docs Signed Input'!E:E,0)),"N")</f>
        <v>N</v>
      </c>
      <c r="I714" s="18" t="str">
        <f>IFERROR(INDEX('Docs Signed Input'!C:C,MATCH('Nate''s Evolution'!B714,'Docs Signed Input'!E:E,0)),"N")</f>
        <v>N</v>
      </c>
      <c r="L714" t="s">
        <v>2258</v>
      </c>
      <c r="M714" t="s">
        <v>3930</v>
      </c>
      <c r="N714">
        <v>11</v>
      </c>
      <c r="O714">
        <v>11</v>
      </c>
      <c r="P714" s="6">
        <v>42035.818124999998</v>
      </c>
      <c r="Q714" t="s">
        <v>3896</v>
      </c>
      <c r="R714" t="s">
        <v>3911</v>
      </c>
      <c r="S714" t="s">
        <v>2618</v>
      </c>
      <c r="T714">
        <v>2</v>
      </c>
      <c r="X714" t="b">
        <v>1</v>
      </c>
      <c r="Y714" s="6">
        <v>42037.431944444441</v>
      </c>
    </row>
    <row r="715" spans="1:25" x14ac:dyDescent="0.25">
      <c r="A715" t="s">
        <v>13649</v>
      </c>
      <c r="B715" t="s">
        <v>13650</v>
      </c>
      <c r="C715">
        <v>8</v>
      </c>
      <c r="D715" t="s">
        <v>3893</v>
      </c>
      <c r="E715" t="s">
        <v>3941</v>
      </c>
      <c r="F715" s="18">
        <v>42005</v>
      </c>
      <c r="G715" s="18">
        <v>42034</v>
      </c>
      <c r="H715" s="18" t="str">
        <f>IFERROR(INDEX('Docs Signed Input'!B:B,MATCH('Nate''s Evolution'!$B715,'Docs Signed Input'!E:E,0)),"N")</f>
        <v>N</v>
      </c>
      <c r="I715" s="18" t="str">
        <f>IFERROR(INDEX('Docs Signed Input'!C:C,MATCH('Nate''s Evolution'!B715,'Docs Signed Input'!E:E,0)),"N")</f>
        <v>N</v>
      </c>
      <c r="L715" t="s">
        <v>2258</v>
      </c>
      <c r="M715" t="s">
        <v>3917</v>
      </c>
      <c r="N715">
        <v>8</v>
      </c>
      <c r="O715">
        <v>8</v>
      </c>
      <c r="P715" s="6">
        <v>42036.319479166668</v>
      </c>
      <c r="Q715" t="s">
        <v>3896</v>
      </c>
      <c r="R715" t="s">
        <v>4010</v>
      </c>
      <c r="S715" t="s">
        <v>2277</v>
      </c>
      <c r="T715">
        <v>1</v>
      </c>
      <c r="X715" t="b">
        <v>1</v>
      </c>
      <c r="Y715" s="6">
        <v>42037.431944444441</v>
      </c>
    </row>
    <row r="716" spans="1:25" x14ac:dyDescent="0.25">
      <c r="A716" t="s">
        <v>13651</v>
      </c>
      <c r="B716" t="s">
        <v>13652</v>
      </c>
      <c r="C716">
        <v>3.8250000000000002</v>
      </c>
      <c r="D716" t="s">
        <v>3893</v>
      </c>
      <c r="E716" t="s">
        <v>3989</v>
      </c>
      <c r="F716" s="18">
        <v>42005</v>
      </c>
      <c r="G716" s="18">
        <v>42034</v>
      </c>
      <c r="H716" s="18" t="str">
        <f>IFERROR(INDEX('Docs Signed Input'!B:B,MATCH('Nate''s Evolution'!$B716,'Docs Signed Input'!E:E,0)),"N")</f>
        <v>N</v>
      </c>
      <c r="I716" s="18" t="str">
        <f>IFERROR(INDEX('Docs Signed Input'!C:C,MATCH('Nate''s Evolution'!B716,'Docs Signed Input'!E:E,0)),"N")</f>
        <v>N</v>
      </c>
      <c r="L716" t="s">
        <v>2258</v>
      </c>
      <c r="M716" t="s">
        <v>3932</v>
      </c>
      <c r="N716">
        <v>3.8250000000000002</v>
      </c>
      <c r="O716">
        <v>3.8250000000000002</v>
      </c>
      <c r="P716" s="6">
        <v>42036.818182870367</v>
      </c>
      <c r="Q716" t="s">
        <v>3896</v>
      </c>
      <c r="R716" t="s">
        <v>5107</v>
      </c>
      <c r="S716" t="s">
        <v>3589</v>
      </c>
      <c r="T716">
        <v>1</v>
      </c>
      <c r="X716" t="b">
        <v>1</v>
      </c>
      <c r="Y716" s="6">
        <v>42037.431944444441</v>
      </c>
    </row>
    <row r="717" spans="1:25" x14ac:dyDescent="0.25">
      <c r="A717" t="s">
        <v>13666</v>
      </c>
      <c r="B717" t="s">
        <v>13667</v>
      </c>
      <c r="C717">
        <v>9.8800000000000008</v>
      </c>
      <c r="D717" t="s">
        <v>3893</v>
      </c>
      <c r="E717" t="s">
        <v>3989</v>
      </c>
      <c r="F717" s="18">
        <v>42005</v>
      </c>
      <c r="G717" s="18">
        <v>42034</v>
      </c>
      <c r="H717" s="18" t="str">
        <f>IFERROR(INDEX('Docs Signed Input'!B:B,MATCH('Nate''s Evolution'!$B717,'Docs Signed Input'!E:E,0)),"N")</f>
        <v>N</v>
      </c>
      <c r="I717" s="18" t="str">
        <f>IFERROR(INDEX('Docs Signed Input'!C:C,MATCH('Nate''s Evolution'!B717,'Docs Signed Input'!E:E,0)),"N")</f>
        <v>N</v>
      </c>
      <c r="L717" t="s">
        <v>2258</v>
      </c>
      <c r="M717" t="s">
        <v>4048</v>
      </c>
      <c r="N717">
        <v>9.8800000000000008</v>
      </c>
      <c r="O717">
        <v>9.8800000000000008</v>
      </c>
      <c r="P717" s="6">
        <v>42036.818182870367</v>
      </c>
      <c r="Q717" t="s">
        <v>3896</v>
      </c>
      <c r="R717" t="s">
        <v>11563</v>
      </c>
      <c r="S717" t="s">
        <v>2703</v>
      </c>
      <c r="T717">
        <v>1</v>
      </c>
      <c r="X717" t="b">
        <v>1</v>
      </c>
      <c r="Y717" s="6">
        <v>42037.431944444441</v>
      </c>
    </row>
    <row r="718" spans="1:25" x14ac:dyDescent="0.25">
      <c r="A718" t="s">
        <v>13711</v>
      </c>
      <c r="B718" t="s">
        <v>13712</v>
      </c>
      <c r="C718">
        <v>11.984999999999999</v>
      </c>
      <c r="D718" t="s">
        <v>3893</v>
      </c>
      <c r="E718" t="s">
        <v>3989</v>
      </c>
      <c r="F718" s="18">
        <v>42005</v>
      </c>
      <c r="G718" s="18">
        <v>42034</v>
      </c>
      <c r="H718" s="18" t="str">
        <f>IFERROR(INDEX('Docs Signed Input'!B:B,MATCH('Nate''s Evolution'!$B718,'Docs Signed Input'!E:E,0)),"N")</f>
        <v>N</v>
      </c>
      <c r="I718" s="18" t="str">
        <f>IFERROR(INDEX('Docs Signed Input'!C:C,MATCH('Nate''s Evolution'!B718,'Docs Signed Input'!E:E,0)),"N")</f>
        <v>N</v>
      </c>
      <c r="L718" t="s">
        <v>2258</v>
      </c>
      <c r="M718" t="s">
        <v>3933</v>
      </c>
      <c r="N718">
        <v>11.984999999999999</v>
      </c>
      <c r="O718">
        <v>11.984999999999999</v>
      </c>
      <c r="P718" s="6">
        <v>42035.818124999998</v>
      </c>
      <c r="Q718" t="s">
        <v>3896</v>
      </c>
      <c r="R718" t="s">
        <v>13713</v>
      </c>
      <c r="S718" t="s">
        <v>11503</v>
      </c>
      <c r="T718">
        <v>2</v>
      </c>
      <c r="X718" t="b">
        <v>1</v>
      </c>
      <c r="Y718" s="6">
        <v>42037.431944444441</v>
      </c>
    </row>
    <row r="719" spans="1:25" x14ac:dyDescent="0.25">
      <c r="A719" t="s">
        <v>13714</v>
      </c>
      <c r="B719" t="s">
        <v>13715</v>
      </c>
      <c r="C719">
        <v>8.84</v>
      </c>
      <c r="D719" t="s">
        <v>3893</v>
      </c>
      <c r="E719" t="s">
        <v>3989</v>
      </c>
      <c r="F719" s="18">
        <v>42005</v>
      </c>
      <c r="G719" s="18">
        <v>42034</v>
      </c>
      <c r="H719" s="18" t="str">
        <f>IFERROR(INDEX('Docs Signed Input'!B:B,MATCH('Nate''s Evolution'!$B719,'Docs Signed Input'!E:E,0)),"N")</f>
        <v>N</v>
      </c>
      <c r="I719" s="18" t="str">
        <f>IFERROR(INDEX('Docs Signed Input'!C:C,MATCH('Nate''s Evolution'!B719,'Docs Signed Input'!E:E,0)),"N")</f>
        <v>N</v>
      </c>
      <c r="L719" t="s">
        <v>2258</v>
      </c>
      <c r="M719" t="s">
        <v>4317</v>
      </c>
      <c r="N719">
        <v>8.84</v>
      </c>
      <c r="O719">
        <v>8.84</v>
      </c>
      <c r="P719" s="6">
        <v>42036.818182870367</v>
      </c>
      <c r="Q719" t="s">
        <v>3896</v>
      </c>
      <c r="R719" t="s">
        <v>4010</v>
      </c>
      <c r="S719" t="s">
        <v>12500</v>
      </c>
      <c r="T719">
        <v>1</v>
      </c>
      <c r="X719" t="b">
        <v>1</v>
      </c>
      <c r="Y719" s="6">
        <v>42037.431944444441</v>
      </c>
    </row>
    <row r="720" spans="1:25" x14ac:dyDescent="0.25">
      <c r="A720" t="s">
        <v>13716</v>
      </c>
      <c r="B720" t="s">
        <v>13717</v>
      </c>
      <c r="C720">
        <v>6.25</v>
      </c>
      <c r="D720" t="s">
        <v>3893</v>
      </c>
      <c r="E720" t="s">
        <v>3989</v>
      </c>
      <c r="F720" s="18">
        <v>42005</v>
      </c>
      <c r="G720" s="18">
        <v>42034</v>
      </c>
      <c r="H720" s="18" t="str">
        <f>IFERROR(INDEX('Docs Signed Input'!B:B,MATCH('Nate''s Evolution'!$B720,'Docs Signed Input'!E:E,0)),"N")</f>
        <v>N</v>
      </c>
      <c r="I720" s="18" t="str">
        <f>IFERROR(INDEX('Docs Signed Input'!C:C,MATCH('Nate''s Evolution'!B720,'Docs Signed Input'!E:E,0)),"N")</f>
        <v>N</v>
      </c>
      <c r="L720" t="s">
        <v>2258</v>
      </c>
      <c r="M720" t="s">
        <v>3902</v>
      </c>
      <c r="N720">
        <v>6.25</v>
      </c>
      <c r="O720">
        <v>6.25</v>
      </c>
      <c r="P720" s="6">
        <v>42035.818124999998</v>
      </c>
      <c r="Q720" t="s">
        <v>3896</v>
      </c>
      <c r="R720" t="s">
        <v>11563</v>
      </c>
      <c r="S720" t="s">
        <v>2813</v>
      </c>
      <c r="T720">
        <v>2</v>
      </c>
      <c r="X720" t="b">
        <v>1</v>
      </c>
      <c r="Y720" s="6">
        <v>42037.431944444441</v>
      </c>
    </row>
    <row r="721" spans="1:25" x14ac:dyDescent="0.25">
      <c r="A721" t="s">
        <v>13723</v>
      </c>
      <c r="B721" t="s">
        <v>13724</v>
      </c>
      <c r="C721">
        <v>7.25</v>
      </c>
      <c r="D721" t="s">
        <v>3893</v>
      </c>
      <c r="E721" t="s">
        <v>3989</v>
      </c>
      <c r="F721" s="18">
        <v>42005</v>
      </c>
      <c r="G721" s="18">
        <v>42034</v>
      </c>
      <c r="H721" s="18" t="str">
        <f>IFERROR(INDEX('Docs Signed Input'!B:B,MATCH('Nate''s Evolution'!$B721,'Docs Signed Input'!E:E,0)),"N")</f>
        <v>N</v>
      </c>
      <c r="I721" s="18" t="str">
        <f>IFERROR(INDEX('Docs Signed Input'!C:C,MATCH('Nate''s Evolution'!B721,'Docs Signed Input'!E:E,0)),"N")</f>
        <v>N</v>
      </c>
      <c r="L721" t="s">
        <v>2258</v>
      </c>
      <c r="M721" t="s">
        <v>3926</v>
      </c>
      <c r="N721">
        <v>7.25</v>
      </c>
      <c r="O721">
        <v>7.25</v>
      </c>
      <c r="P721" s="6">
        <v>42036.818182870367</v>
      </c>
      <c r="Q721" t="s">
        <v>3896</v>
      </c>
      <c r="R721" t="s">
        <v>4010</v>
      </c>
      <c r="S721" t="s">
        <v>2591</v>
      </c>
      <c r="T721">
        <v>1</v>
      </c>
      <c r="X721" t="b">
        <v>1</v>
      </c>
      <c r="Y721" s="6">
        <v>42037.431944444441</v>
      </c>
    </row>
    <row r="722" spans="1:25" x14ac:dyDescent="0.25">
      <c r="A722" t="s">
        <v>13735</v>
      </c>
      <c r="B722" t="s">
        <v>13736</v>
      </c>
      <c r="C722">
        <v>3.57</v>
      </c>
      <c r="D722" t="s">
        <v>3893</v>
      </c>
      <c r="E722" t="s">
        <v>3989</v>
      </c>
      <c r="F722" s="18">
        <v>42005</v>
      </c>
      <c r="G722" s="18">
        <v>42034</v>
      </c>
      <c r="H722" s="18" t="str">
        <f>IFERROR(INDEX('Docs Signed Input'!B:B,MATCH('Nate''s Evolution'!$B722,'Docs Signed Input'!E:E,0)),"N")</f>
        <v>N</v>
      </c>
      <c r="I722" s="18" t="str">
        <f>IFERROR(INDEX('Docs Signed Input'!C:C,MATCH('Nate''s Evolution'!B722,'Docs Signed Input'!E:E,0)),"N")</f>
        <v>N</v>
      </c>
      <c r="L722" t="s">
        <v>2258</v>
      </c>
      <c r="M722" t="s">
        <v>3933</v>
      </c>
      <c r="N722">
        <v>3.57</v>
      </c>
      <c r="O722">
        <v>3.57</v>
      </c>
      <c r="P722" s="6">
        <v>42036.818182870367</v>
      </c>
      <c r="Q722" t="s">
        <v>3896</v>
      </c>
      <c r="R722" t="s">
        <v>11563</v>
      </c>
      <c r="S722" t="s">
        <v>11497</v>
      </c>
      <c r="T722">
        <v>1</v>
      </c>
      <c r="X722" t="b">
        <v>1</v>
      </c>
      <c r="Y722" s="6">
        <v>42037.431944444441</v>
      </c>
    </row>
    <row r="723" spans="1:25" x14ac:dyDescent="0.25">
      <c r="A723" t="s">
        <v>13741</v>
      </c>
      <c r="B723" t="s">
        <v>13742</v>
      </c>
      <c r="C723">
        <v>8.9250000000000007</v>
      </c>
      <c r="D723" t="s">
        <v>3893</v>
      </c>
      <c r="E723" t="s">
        <v>3989</v>
      </c>
      <c r="F723" s="18">
        <v>42005</v>
      </c>
      <c r="G723" s="18">
        <v>42034</v>
      </c>
      <c r="H723" s="18" t="str">
        <f>IFERROR(INDEX('Docs Signed Input'!B:B,MATCH('Nate''s Evolution'!$B723,'Docs Signed Input'!E:E,0)),"N")</f>
        <v>N</v>
      </c>
      <c r="I723" s="18" t="str">
        <f>IFERROR(INDEX('Docs Signed Input'!C:C,MATCH('Nate''s Evolution'!B723,'Docs Signed Input'!E:E,0)),"N")</f>
        <v>N</v>
      </c>
      <c r="L723" t="s">
        <v>2258</v>
      </c>
      <c r="M723" t="s">
        <v>4032</v>
      </c>
      <c r="N723">
        <v>8.9250000000000007</v>
      </c>
      <c r="O723">
        <v>8.9250000000000007</v>
      </c>
      <c r="P723" s="6">
        <v>42036.818182870367</v>
      </c>
      <c r="Q723" t="s">
        <v>3896</v>
      </c>
      <c r="R723" t="s">
        <v>13035</v>
      </c>
      <c r="S723" t="s">
        <v>12506</v>
      </c>
      <c r="T723">
        <v>1</v>
      </c>
      <c r="X723" t="b">
        <v>1</v>
      </c>
      <c r="Y723" s="6">
        <v>42037.431944444441</v>
      </c>
    </row>
    <row r="724" spans="1:25" x14ac:dyDescent="0.25">
      <c r="A724" t="s">
        <v>13781</v>
      </c>
      <c r="B724" t="s">
        <v>13782</v>
      </c>
      <c r="C724">
        <v>8.84</v>
      </c>
      <c r="D724" t="s">
        <v>3893</v>
      </c>
      <c r="E724" t="s">
        <v>3989</v>
      </c>
      <c r="F724" s="18">
        <v>42005</v>
      </c>
      <c r="G724" s="18">
        <v>42034</v>
      </c>
      <c r="H724" s="18" t="str">
        <f>IFERROR(INDEX('Docs Signed Input'!B:B,MATCH('Nate''s Evolution'!$B724,'Docs Signed Input'!E:E,0)),"N")</f>
        <v>N</v>
      </c>
      <c r="I724" s="18" t="str">
        <f>IFERROR(INDEX('Docs Signed Input'!C:C,MATCH('Nate''s Evolution'!B724,'Docs Signed Input'!E:E,0)),"N")</f>
        <v>N</v>
      </c>
      <c r="L724" t="s">
        <v>2258</v>
      </c>
      <c r="M724" t="s">
        <v>3948</v>
      </c>
      <c r="N724">
        <v>8.84</v>
      </c>
      <c r="O724">
        <v>8.84</v>
      </c>
      <c r="P724" s="6">
        <v>42035.818124999998</v>
      </c>
      <c r="Q724" t="s">
        <v>3896</v>
      </c>
      <c r="R724" t="s">
        <v>11563</v>
      </c>
      <c r="S724" t="s">
        <v>2689</v>
      </c>
      <c r="T724">
        <v>2</v>
      </c>
      <c r="X724" t="b">
        <v>1</v>
      </c>
      <c r="Y724" s="6">
        <v>42037.431944444441</v>
      </c>
    </row>
    <row r="725" spans="1:25" x14ac:dyDescent="0.25">
      <c r="A725" t="s">
        <v>13783</v>
      </c>
      <c r="B725" t="s">
        <v>13784</v>
      </c>
      <c r="C725">
        <v>7.65</v>
      </c>
      <c r="D725" t="s">
        <v>3893</v>
      </c>
      <c r="E725" t="s">
        <v>3989</v>
      </c>
      <c r="F725" s="18">
        <v>42005</v>
      </c>
      <c r="G725" s="18">
        <v>42034</v>
      </c>
      <c r="H725" s="18" t="str">
        <f>IFERROR(INDEX('Docs Signed Input'!B:B,MATCH('Nate''s Evolution'!$B725,'Docs Signed Input'!E:E,0)),"N")</f>
        <v>N</v>
      </c>
      <c r="I725" s="18" t="str">
        <f>IFERROR(INDEX('Docs Signed Input'!C:C,MATCH('Nate''s Evolution'!B725,'Docs Signed Input'!E:E,0)),"N")</f>
        <v>N</v>
      </c>
      <c r="L725" t="s">
        <v>2258</v>
      </c>
      <c r="M725" t="s">
        <v>3933</v>
      </c>
      <c r="N725">
        <v>7.65</v>
      </c>
      <c r="O725">
        <v>7.65</v>
      </c>
      <c r="P725" s="6">
        <v>42035.818124999998</v>
      </c>
      <c r="Q725" t="s">
        <v>3896</v>
      </c>
      <c r="R725" t="s">
        <v>11563</v>
      </c>
      <c r="S725" t="s">
        <v>12205</v>
      </c>
      <c r="T725">
        <v>2</v>
      </c>
      <c r="X725" t="b">
        <v>1</v>
      </c>
      <c r="Y725" s="6">
        <v>42037.431944444441</v>
      </c>
    </row>
    <row r="726" spans="1:25" x14ac:dyDescent="0.25">
      <c r="A726" t="s">
        <v>13785</v>
      </c>
      <c r="B726" t="s">
        <v>13786</v>
      </c>
      <c r="C726">
        <v>8.75</v>
      </c>
      <c r="D726" t="s">
        <v>3893</v>
      </c>
      <c r="E726" t="s">
        <v>3989</v>
      </c>
      <c r="F726" s="18">
        <v>42005</v>
      </c>
      <c r="G726" s="18">
        <v>42034</v>
      </c>
      <c r="H726" s="18" t="str">
        <f>IFERROR(INDEX('Docs Signed Input'!B:B,MATCH('Nate''s Evolution'!$B726,'Docs Signed Input'!E:E,0)),"N")</f>
        <v>N</v>
      </c>
      <c r="I726" s="18" t="str">
        <f>IFERROR(INDEX('Docs Signed Input'!C:C,MATCH('Nate''s Evolution'!B726,'Docs Signed Input'!E:E,0)),"N")</f>
        <v>N</v>
      </c>
      <c r="L726" t="s">
        <v>2258</v>
      </c>
      <c r="M726" t="s">
        <v>12976</v>
      </c>
      <c r="N726">
        <v>8.75</v>
      </c>
      <c r="O726">
        <v>8.75</v>
      </c>
      <c r="P726" s="6">
        <v>42036.818182870367</v>
      </c>
      <c r="Q726" t="s">
        <v>3896</v>
      </c>
      <c r="R726" t="s">
        <v>8000</v>
      </c>
      <c r="S726" t="s">
        <v>3434</v>
      </c>
      <c r="T726">
        <v>1</v>
      </c>
      <c r="X726" t="b">
        <v>1</v>
      </c>
      <c r="Y726" s="6">
        <v>42037.431944444441</v>
      </c>
    </row>
    <row r="727" spans="1:25" x14ac:dyDescent="0.25">
      <c r="A727" t="s">
        <v>13790</v>
      </c>
      <c r="B727" t="s">
        <v>13791</v>
      </c>
      <c r="C727">
        <v>8.5</v>
      </c>
      <c r="D727" t="s">
        <v>3893</v>
      </c>
      <c r="E727" t="s">
        <v>3989</v>
      </c>
      <c r="F727" s="18">
        <v>42005</v>
      </c>
      <c r="G727" s="18">
        <v>42034</v>
      </c>
      <c r="H727" s="18" t="str">
        <f>IFERROR(INDEX('Docs Signed Input'!B:B,MATCH('Nate''s Evolution'!$B727,'Docs Signed Input'!E:E,0)),"N")</f>
        <v>N</v>
      </c>
      <c r="I727" s="18" t="str">
        <f>IFERROR(INDEX('Docs Signed Input'!C:C,MATCH('Nate''s Evolution'!B727,'Docs Signed Input'!E:E,0)),"N")</f>
        <v>N</v>
      </c>
      <c r="L727" t="s">
        <v>2258</v>
      </c>
      <c r="M727" t="s">
        <v>3926</v>
      </c>
      <c r="N727">
        <v>8.5</v>
      </c>
      <c r="O727">
        <v>8.5</v>
      </c>
      <c r="P727" s="6">
        <v>42035.818124999998</v>
      </c>
      <c r="Q727" t="s">
        <v>3896</v>
      </c>
      <c r="R727" t="s">
        <v>11563</v>
      </c>
      <c r="S727" t="s">
        <v>3650</v>
      </c>
      <c r="T727">
        <v>2</v>
      </c>
      <c r="X727" t="b">
        <v>1</v>
      </c>
      <c r="Y727" s="6">
        <v>42037.431944444441</v>
      </c>
    </row>
    <row r="728" spans="1:25" x14ac:dyDescent="0.25">
      <c r="A728" t="s">
        <v>13622</v>
      </c>
      <c r="B728" t="s">
        <v>13623</v>
      </c>
      <c r="C728">
        <v>3.12</v>
      </c>
      <c r="D728" t="s">
        <v>3893</v>
      </c>
      <c r="E728" t="s">
        <v>3989</v>
      </c>
      <c r="F728" s="18">
        <v>42005</v>
      </c>
      <c r="G728" s="18">
        <v>42035</v>
      </c>
      <c r="H728" s="18" t="str">
        <f>IFERROR(INDEX('Docs Signed Input'!B:B,MATCH('Nate''s Evolution'!$B728,'Docs Signed Input'!E:E,0)),"N")</f>
        <v>N</v>
      </c>
      <c r="I728" s="18" t="str">
        <f>IFERROR(INDEX('Docs Signed Input'!C:C,MATCH('Nate''s Evolution'!B728,'Docs Signed Input'!E:E,0)),"N")</f>
        <v>N</v>
      </c>
      <c r="L728" t="s">
        <v>2258</v>
      </c>
      <c r="M728" t="s">
        <v>4048</v>
      </c>
      <c r="N728">
        <v>3.12</v>
      </c>
      <c r="O728">
        <v>3.12</v>
      </c>
      <c r="P728" s="6">
        <v>42036.818182870367</v>
      </c>
      <c r="Q728" t="s">
        <v>3896</v>
      </c>
      <c r="R728" t="s">
        <v>10312</v>
      </c>
      <c r="S728" t="s">
        <v>2889</v>
      </c>
      <c r="T728">
        <v>1</v>
      </c>
      <c r="X728" t="b">
        <v>1</v>
      </c>
      <c r="Y728" s="6">
        <v>42037.431944444441</v>
      </c>
    </row>
    <row r="729" spans="1:25" x14ac:dyDescent="0.25">
      <c r="A729" t="s">
        <v>13629</v>
      </c>
      <c r="B729" t="s">
        <v>13630</v>
      </c>
      <c r="C729">
        <v>7.3949999999999996</v>
      </c>
      <c r="D729" t="s">
        <v>3893</v>
      </c>
      <c r="E729" t="s">
        <v>3989</v>
      </c>
      <c r="F729" s="18">
        <v>42005</v>
      </c>
      <c r="G729" s="18">
        <v>42035</v>
      </c>
      <c r="H729" s="18" t="str">
        <f>IFERROR(INDEX('Docs Signed Input'!B:B,MATCH('Nate''s Evolution'!$B729,'Docs Signed Input'!E:E,0)),"N")</f>
        <v>N</v>
      </c>
      <c r="I729" s="18" t="str">
        <f>IFERROR(INDEX('Docs Signed Input'!C:C,MATCH('Nate''s Evolution'!B729,'Docs Signed Input'!E:E,0)),"N")</f>
        <v>N</v>
      </c>
      <c r="L729" t="s">
        <v>2258</v>
      </c>
      <c r="M729" t="s">
        <v>4179</v>
      </c>
      <c r="N729">
        <v>7.3949999999999996</v>
      </c>
      <c r="O729">
        <v>7.3949999999999996</v>
      </c>
      <c r="P729" s="6">
        <v>42036.818182870367</v>
      </c>
      <c r="Q729" t="s">
        <v>3896</v>
      </c>
      <c r="R729" t="s">
        <v>4010</v>
      </c>
      <c r="S729" t="s">
        <v>12821</v>
      </c>
      <c r="T729">
        <v>1</v>
      </c>
      <c r="X729" t="b">
        <v>1</v>
      </c>
      <c r="Y729" s="6">
        <v>42037.431944444441</v>
      </c>
    </row>
    <row r="730" spans="1:25" x14ac:dyDescent="0.25">
      <c r="A730" t="s">
        <v>13634</v>
      </c>
      <c r="B730" t="s">
        <v>13635</v>
      </c>
      <c r="C730">
        <v>5.8650000000000002</v>
      </c>
      <c r="D730" t="s">
        <v>3893</v>
      </c>
      <c r="E730" t="s">
        <v>3989</v>
      </c>
      <c r="F730" s="18">
        <v>42005</v>
      </c>
      <c r="G730" s="18">
        <v>42035</v>
      </c>
      <c r="H730" s="18" t="str">
        <f>IFERROR(INDEX('Docs Signed Input'!B:B,MATCH('Nate''s Evolution'!$B730,'Docs Signed Input'!E:E,0)),"N")</f>
        <v>N</v>
      </c>
      <c r="I730" s="18" t="str">
        <f>IFERROR(INDEX('Docs Signed Input'!C:C,MATCH('Nate''s Evolution'!B730,'Docs Signed Input'!E:E,0)),"N")</f>
        <v>N</v>
      </c>
      <c r="L730" t="s">
        <v>2258</v>
      </c>
      <c r="M730" t="s">
        <v>3933</v>
      </c>
      <c r="N730">
        <v>5.8650000000000002</v>
      </c>
      <c r="O730">
        <v>5.8650000000000002</v>
      </c>
      <c r="P730" s="6">
        <v>42036.818182870367</v>
      </c>
      <c r="Q730" t="s">
        <v>3896</v>
      </c>
      <c r="R730" t="s">
        <v>3911</v>
      </c>
      <c r="S730" t="s">
        <v>11497</v>
      </c>
      <c r="T730">
        <v>1</v>
      </c>
      <c r="X730" t="b">
        <v>1</v>
      </c>
      <c r="Y730" s="6">
        <v>42037.431944444441</v>
      </c>
    </row>
    <row r="731" spans="1:25" x14ac:dyDescent="0.25">
      <c r="A731" t="s">
        <v>13655</v>
      </c>
      <c r="B731" t="s">
        <v>13656</v>
      </c>
      <c r="C731">
        <v>13</v>
      </c>
      <c r="D731" t="s">
        <v>3893</v>
      </c>
      <c r="E731" t="s">
        <v>3989</v>
      </c>
      <c r="F731" s="18">
        <v>42005</v>
      </c>
      <c r="G731" s="18">
        <v>42035</v>
      </c>
      <c r="H731" s="18" t="str">
        <f>IFERROR(INDEX('Docs Signed Input'!B:B,MATCH('Nate''s Evolution'!$B731,'Docs Signed Input'!E:E,0)),"N")</f>
        <v>N</v>
      </c>
      <c r="I731" s="18" t="str">
        <f>IFERROR(INDEX('Docs Signed Input'!C:C,MATCH('Nate''s Evolution'!B731,'Docs Signed Input'!E:E,0)),"N")</f>
        <v>N</v>
      </c>
      <c r="L731" t="s">
        <v>2258</v>
      </c>
      <c r="M731" t="s">
        <v>3926</v>
      </c>
      <c r="N731">
        <v>13</v>
      </c>
      <c r="O731">
        <v>13</v>
      </c>
      <c r="P731" s="6">
        <v>42036.818182870367</v>
      </c>
      <c r="Q731" t="s">
        <v>3896</v>
      </c>
      <c r="R731" t="s">
        <v>4010</v>
      </c>
      <c r="S731" t="s">
        <v>2591</v>
      </c>
      <c r="T731">
        <v>1</v>
      </c>
      <c r="X731" t="b">
        <v>1</v>
      </c>
      <c r="Y731" s="6">
        <v>42037.431944444441</v>
      </c>
    </row>
    <row r="732" spans="1:25" x14ac:dyDescent="0.25">
      <c r="A732" t="s">
        <v>13679</v>
      </c>
      <c r="B732" t="s">
        <v>13680</v>
      </c>
      <c r="C732">
        <v>5.72</v>
      </c>
      <c r="D732" t="s">
        <v>3893</v>
      </c>
      <c r="E732" t="s">
        <v>3989</v>
      </c>
      <c r="F732" s="18">
        <v>42005</v>
      </c>
      <c r="G732" s="18">
        <v>42035</v>
      </c>
      <c r="H732" s="18" t="str">
        <f>IFERROR(INDEX('Docs Signed Input'!B:B,MATCH('Nate''s Evolution'!$B732,'Docs Signed Input'!E:E,0)),"N")</f>
        <v>N</v>
      </c>
      <c r="I732" s="18" t="str">
        <f>IFERROR(INDEX('Docs Signed Input'!C:C,MATCH('Nate''s Evolution'!B732,'Docs Signed Input'!E:E,0)),"N")</f>
        <v>N</v>
      </c>
      <c r="L732" t="s">
        <v>2258</v>
      </c>
      <c r="M732" t="s">
        <v>3948</v>
      </c>
      <c r="N732">
        <v>5.72</v>
      </c>
      <c r="O732">
        <v>5.72</v>
      </c>
      <c r="P732" s="6">
        <v>42036.818182870367</v>
      </c>
      <c r="Q732" t="s">
        <v>3896</v>
      </c>
      <c r="R732" t="s">
        <v>4010</v>
      </c>
      <c r="S732" t="s">
        <v>2689</v>
      </c>
      <c r="T732">
        <v>1</v>
      </c>
      <c r="X732" t="b">
        <v>1</v>
      </c>
      <c r="Y732" s="6">
        <v>42037.431944444441</v>
      </c>
    </row>
    <row r="733" spans="1:25" x14ac:dyDescent="0.25">
      <c r="A733" t="s">
        <v>13684</v>
      </c>
      <c r="B733" t="s">
        <v>13685</v>
      </c>
      <c r="C733">
        <v>5.61</v>
      </c>
      <c r="D733" t="s">
        <v>3893</v>
      </c>
      <c r="E733" t="s">
        <v>3989</v>
      </c>
      <c r="F733" s="18">
        <v>42005</v>
      </c>
      <c r="G733" s="18">
        <v>42035</v>
      </c>
      <c r="H733" s="18" t="str">
        <f>IFERROR(INDEX('Docs Signed Input'!B:B,MATCH('Nate''s Evolution'!$B733,'Docs Signed Input'!E:E,0)),"N")</f>
        <v>N</v>
      </c>
      <c r="I733" s="18" t="str">
        <f>IFERROR(INDEX('Docs Signed Input'!C:C,MATCH('Nate''s Evolution'!B733,'Docs Signed Input'!E:E,0)),"N")</f>
        <v>N</v>
      </c>
      <c r="L733" t="s">
        <v>2258</v>
      </c>
      <c r="M733" t="s">
        <v>3933</v>
      </c>
      <c r="N733">
        <v>5.61</v>
      </c>
      <c r="O733">
        <v>5.61</v>
      </c>
      <c r="P733" s="6">
        <v>42036.818182870367</v>
      </c>
      <c r="Q733" t="s">
        <v>3896</v>
      </c>
      <c r="R733" t="s">
        <v>4010</v>
      </c>
      <c r="S733" t="s">
        <v>12205</v>
      </c>
      <c r="T733">
        <v>1</v>
      </c>
      <c r="X733" t="b">
        <v>1</v>
      </c>
      <c r="Y733" s="6">
        <v>42037.431944444441</v>
      </c>
    </row>
    <row r="734" spans="1:25" x14ac:dyDescent="0.25">
      <c r="A734" t="s">
        <v>13686</v>
      </c>
      <c r="B734" t="s">
        <v>13687</v>
      </c>
      <c r="C734">
        <v>4.5</v>
      </c>
      <c r="D734" t="s">
        <v>3893</v>
      </c>
      <c r="E734" t="s">
        <v>3989</v>
      </c>
      <c r="F734" s="18">
        <v>42005</v>
      </c>
      <c r="G734" s="18">
        <v>42035</v>
      </c>
      <c r="H734" s="18" t="str">
        <f>IFERROR(INDEX('Docs Signed Input'!B:B,MATCH('Nate''s Evolution'!$B734,'Docs Signed Input'!E:E,0)),"N")</f>
        <v>N</v>
      </c>
      <c r="I734" s="18" t="str">
        <f>IFERROR(INDEX('Docs Signed Input'!C:C,MATCH('Nate''s Evolution'!B734,'Docs Signed Input'!E:E,0)),"N")</f>
        <v>N</v>
      </c>
      <c r="L734" t="s">
        <v>2258</v>
      </c>
      <c r="M734" t="s">
        <v>3917</v>
      </c>
      <c r="N734">
        <v>4.5</v>
      </c>
      <c r="O734">
        <v>4.5</v>
      </c>
      <c r="P734" s="6">
        <v>42035.909849537034</v>
      </c>
      <c r="Q734" t="s">
        <v>3896</v>
      </c>
      <c r="R734" t="s">
        <v>4010</v>
      </c>
      <c r="S734" t="s">
        <v>2670</v>
      </c>
      <c r="T734">
        <v>2</v>
      </c>
      <c r="X734" t="b">
        <v>1</v>
      </c>
      <c r="Y734" s="6">
        <v>42037.431944444441</v>
      </c>
    </row>
    <row r="735" spans="1:25" x14ac:dyDescent="0.25">
      <c r="A735" t="s">
        <v>13688</v>
      </c>
      <c r="B735" t="s">
        <v>13689</v>
      </c>
      <c r="C735">
        <v>10.25</v>
      </c>
      <c r="D735" t="s">
        <v>3893</v>
      </c>
      <c r="E735" t="s">
        <v>3989</v>
      </c>
      <c r="F735" s="18">
        <v>42005</v>
      </c>
      <c r="G735" s="18">
        <v>42035</v>
      </c>
      <c r="H735" s="18" t="str">
        <f>IFERROR(INDEX('Docs Signed Input'!B:B,MATCH('Nate''s Evolution'!$B735,'Docs Signed Input'!E:E,0)),"N")</f>
        <v>N</v>
      </c>
      <c r="I735" s="18" t="str">
        <f>IFERROR(INDEX('Docs Signed Input'!C:C,MATCH('Nate''s Evolution'!B735,'Docs Signed Input'!E:E,0)),"N")</f>
        <v>N</v>
      </c>
      <c r="L735" t="s">
        <v>2258</v>
      </c>
      <c r="M735" t="s">
        <v>3902</v>
      </c>
      <c r="N735">
        <v>10.25</v>
      </c>
      <c r="O735">
        <v>10.25</v>
      </c>
      <c r="P735" s="6">
        <v>42036.818182870367</v>
      </c>
      <c r="Q735" t="s">
        <v>3896</v>
      </c>
      <c r="R735" t="s">
        <v>4010</v>
      </c>
      <c r="S735" t="s">
        <v>4723</v>
      </c>
      <c r="T735">
        <v>1</v>
      </c>
      <c r="X735" t="b">
        <v>1</v>
      </c>
      <c r="Y735" s="6">
        <v>42037.431944444441</v>
      </c>
    </row>
    <row r="736" spans="1:25" x14ac:dyDescent="0.25">
      <c r="A736" t="s">
        <v>13693</v>
      </c>
      <c r="B736" t="s">
        <v>13694</v>
      </c>
      <c r="C736">
        <v>5.98</v>
      </c>
      <c r="D736" t="s">
        <v>3893</v>
      </c>
      <c r="E736" t="s">
        <v>3989</v>
      </c>
      <c r="F736" s="18">
        <v>42005</v>
      </c>
      <c r="G736" s="18">
        <v>42035</v>
      </c>
      <c r="H736" s="18" t="str">
        <f>IFERROR(INDEX('Docs Signed Input'!B:B,MATCH('Nate''s Evolution'!$B736,'Docs Signed Input'!E:E,0)),"N")</f>
        <v>N</v>
      </c>
      <c r="I736" s="18" t="str">
        <f>IFERROR(INDEX('Docs Signed Input'!C:C,MATCH('Nate''s Evolution'!B736,'Docs Signed Input'!E:E,0)),"N")</f>
        <v>N</v>
      </c>
      <c r="L736" t="s">
        <v>2258</v>
      </c>
      <c r="M736" t="s">
        <v>4317</v>
      </c>
      <c r="N736">
        <v>5.98</v>
      </c>
      <c r="O736">
        <v>5.98</v>
      </c>
      <c r="P736" s="6">
        <v>42036.818182870367</v>
      </c>
      <c r="Q736" t="s">
        <v>3896</v>
      </c>
      <c r="R736" t="s">
        <v>4010</v>
      </c>
      <c r="S736" t="s">
        <v>12496</v>
      </c>
      <c r="T736">
        <v>1</v>
      </c>
      <c r="X736" t="b">
        <v>1</v>
      </c>
      <c r="Y736" s="6">
        <v>42037.431944444441</v>
      </c>
    </row>
    <row r="737" spans="1:25" x14ac:dyDescent="0.25">
      <c r="A737" t="s">
        <v>13695</v>
      </c>
      <c r="B737" t="s">
        <v>13696</v>
      </c>
      <c r="C737">
        <v>7.5</v>
      </c>
      <c r="D737" t="s">
        <v>3893</v>
      </c>
      <c r="E737" t="s">
        <v>3989</v>
      </c>
      <c r="F737" s="18">
        <v>42005</v>
      </c>
      <c r="G737" s="18">
        <v>42035</v>
      </c>
      <c r="H737" s="18" t="str">
        <f>IFERROR(INDEX('Docs Signed Input'!B:B,MATCH('Nate''s Evolution'!$B737,'Docs Signed Input'!E:E,0)),"N")</f>
        <v>N</v>
      </c>
      <c r="I737" s="18" t="str">
        <f>IFERROR(INDEX('Docs Signed Input'!C:C,MATCH('Nate''s Evolution'!B737,'Docs Signed Input'!E:E,0)),"N")</f>
        <v>N</v>
      </c>
      <c r="L737" t="s">
        <v>2258</v>
      </c>
      <c r="M737" t="s">
        <v>3926</v>
      </c>
      <c r="N737">
        <v>7.5</v>
      </c>
      <c r="O737">
        <v>7.5</v>
      </c>
      <c r="P737" s="6">
        <v>42036.818182870367</v>
      </c>
      <c r="Q737" t="s">
        <v>3896</v>
      </c>
      <c r="R737" t="s">
        <v>4010</v>
      </c>
      <c r="S737" t="s">
        <v>3650</v>
      </c>
      <c r="T737">
        <v>1</v>
      </c>
      <c r="X737" t="b">
        <v>1</v>
      </c>
      <c r="Y737" s="6">
        <v>42037.431944444441</v>
      </c>
    </row>
    <row r="738" spans="1:25" x14ac:dyDescent="0.25">
      <c r="A738" t="s">
        <v>13701</v>
      </c>
      <c r="B738" t="s">
        <v>13702</v>
      </c>
      <c r="C738">
        <v>12</v>
      </c>
      <c r="D738" t="s">
        <v>3893</v>
      </c>
      <c r="E738" t="s">
        <v>3989</v>
      </c>
      <c r="F738" s="18">
        <v>42005</v>
      </c>
      <c r="G738" s="18">
        <v>42035</v>
      </c>
      <c r="H738" s="18" t="str">
        <f>IFERROR(INDEX('Docs Signed Input'!B:B,MATCH('Nate''s Evolution'!$B738,'Docs Signed Input'!E:E,0)),"N")</f>
        <v>N</v>
      </c>
      <c r="I738" s="18" t="str">
        <f>IFERROR(INDEX('Docs Signed Input'!C:C,MATCH('Nate''s Evolution'!B738,'Docs Signed Input'!E:E,0)),"N")</f>
        <v>N</v>
      </c>
      <c r="L738" t="s">
        <v>2258</v>
      </c>
      <c r="M738" t="s">
        <v>3902</v>
      </c>
      <c r="N738">
        <v>12</v>
      </c>
      <c r="O738">
        <v>12</v>
      </c>
      <c r="P738" s="6">
        <v>42036.818182870367</v>
      </c>
      <c r="Q738" t="s">
        <v>3896</v>
      </c>
      <c r="R738" t="s">
        <v>4010</v>
      </c>
      <c r="S738" t="s">
        <v>3650</v>
      </c>
      <c r="T738">
        <v>1</v>
      </c>
      <c r="X738" t="b">
        <v>1</v>
      </c>
      <c r="Y738" s="6">
        <v>42037.431944444441</v>
      </c>
    </row>
    <row r="739" spans="1:25" x14ac:dyDescent="0.25">
      <c r="A739" t="s">
        <v>13707</v>
      </c>
      <c r="B739" t="s">
        <v>13708</v>
      </c>
      <c r="C739">
        <v>5.46</v>
      </c>
      <c r="D739" t="s">
        <v>3893</v>
      </c>
      <c r="E739" t="s">
        <v>3989</v>
      </c>
      <c r="F739" s="18">
        <v>42005</v>
      </c>
      <c r="G739" s="18">
        <v>42035</v>
      </c>
      <c r="H739" s="18" t="str">
        <f>IFERROR(INDEX('Docs Signed Input'!B:B,MATCH('Nate''s Evolution'!$B739,'Docs Signed Input'!E:E,0)),"N")</f>
        <v>N</v>
      </c>
      <c r="I739" s="18" t="str">
        <f>IFERROR(INDEX('Docs Signed Input'!C:C,MATCH('Nate''s Evolution'!B739,'Docs Signed Input'!E:E,0)),"N")</f>
        <v>N</v>
      </c>
      <c r="L739" t="s">
        <v>2258</v>
      </c>
      <c r="M739" t="s">
        <v>10253</v>
      </c>
      <c r="N739">
        <v>5.46</v>
      </c>
      <c r="O739">
        <v>5.46</v>
      </c>
      <c r="P739" s="6">
        <v>42036.820115740738</v>
      </c>
      <c r="Q739" t="s">
        <v>3896</v>
      </c>
      <c r="R739" t="s">
        <v>3911</v>
      </c>
      <c r="S739" t="s">
        <v>11505</v>
      </c>
      <c r="T739">
        <v>1</v>
      </c>
      <c r="X739" t="b">
        <v>1</v>
      </c>
      <c r="Y739" s="6">
        <v>42037.431944444441</v>
      </c>
    </row>
    <row r="740" spans="1:25" x14ac:dyDescent="0.25">
      <c r="A740" t="s">
        <v>13731</v>
      </c>
      <c r="B740" t="s">
        <v>13732</v>
      </c>
      <c r="C740">
        <v>2.5</v>
      </c>
      <c r="D740" t="s">
        <v>3893</v>
      </c>
      <c r="E740" t="s">
        <v>3989</v>
      </c>
      <c r="F740" s="18">
        <v>42005</v>
      </c>
      <c r="G740" s="18">
        <v>42035</v>
      </c>
      <c r="H740" s="18" t="str">
        <f>IFERROR(INDEX('Docs Signed Input'!B:B,MATCH('Nate''s Evolution'!$B740,'Docs Signed Input'!E:E,0)),"N")</f>
        <v>N</v>
      </c>
      <c r="I740" s="18" t="str">
        <f>IFERROR(INDEX('Docs Signed Input'!C:C,MATCH('Nate''s Evolution'!B740,'Docs Signed Input'!E:E,0)),"N")</f>
        <v>N</v>
      </c>
      <c r="L740" t="s">
        <v>2258</v>
      </c>
      <c r="M740" t="s">
        <v>4000</v>
      </c>
      <c r="N740">
        <v>2.5</v>
      </c>
      <c r="O740">
        <v>2.5</v>
      </c>
      <c r="P740" s="6">
        <v>42036.818182870367</v>
      </c>
      <c r="Q740" t="s">
        <v>3896</v>
      </c>
      <c r="R740" t="s">
        <v>4010</v>
      </c>
      <c r="S740" t="s">
        <v>12236</v>
      </c>
      <c r="T740">
        <v>1</v>
      </c>
      <c r="X740" t="b">
        <v>1</v>
      </c>
      <c r="Y740" s="6">
        <v>42037.431944444441</v>
      </c>
    </row>
    <row r="741" spans="1:25" x14ac:dyDescent="0.25">
      <c r="A741" t="s">
        <v>13756</v>
      </c>
      <c r="B741" t="s">
        <v>13757</v>
      </c>
      <c r="C741">
        <v>6.5</v>
      </c>
      <c r="D741" t="s">
        <v>3893</v>
      </c>
      <c r="E741" t="s">
        <v>3989</v>
      </c>
      <c r="F741" s="18">
        <v>42005</v>
      </c>
      <c r="G741" s="18">
        <v>42035</v>
      </c>
      <c r="H741" s="18" t="str">
        <f>IFERROR(INDEX('Docs Signed Input'!B:B,MATCH('Nate''s Evolution'!$B741,'Docs Signed Input'!E:E,0)),"N")</f>
        <v>N</v>
      </c>
      <c r="I741" s="18" t="str">
        <f>IFERROR(INDEX('Docs Signed Input'!C:C,MATCH('Nate''s Evolution'!B741,'Docs Signed Input'!E:E,0)),"N")</f>
        <v>N</v>
      </c>
      <c r="L741" t="s">
        <v>2258</v>
      </c>
      <c r="M741" t="s">
        <v>3926</v>
      </c>
      <c r="N741">
        <v>6.5</v>
      </c>
      <c r="O741">
        <v>6.5</v>
      </c>
      <c r="P741" s="6">
        <v>42036.818182870367</v>
      </c>
      <c r="Q741" t="s">
        <v>3896</v>
      </c>
      <c r="R741" t="s">
        <v>4010</v>
      </c>
      <c r="S741" t="s">
        <v>2591</v>
      </c>
      <c r="T741">
        <v>1</v>
      </c>
      <c r="X741" t="b">
        <v>1</v>
      </c>
      <c r="Y741" s="6">
        <v>42037.431944444441</v>
      </c>
    </row>
    <row r="742" spans="1:25" x14ac:dyDescent="0.25">
      <c r="A742" t="s">
        <v>13758</v>
      </c>
      <c r="B742" t="s">
        <v>13759</v>
      </c>
      <c r="C742">
        <v>6.12</v>
      </c>
      <c r="D742" t="s">
        <v>3893</v>
      </c>
      <c r="E742" t="s">
        <v>3989</v>
      </c>
      <c r="F742" s="18">
        <v>42005</v>
      </c>
      <c r="G742" s="18">
        <v>42035</v>
      </c>
      <c r="H742" s="18" t="str">
        <f>IFERROR(INDEX('Docs Signed Input'!B:B,MATCH('Nate''s Evolution'!$B742,'Docs Signed Input'!E:E,0)),"N")</f>
        <v>N</v>
      </c>
      <c r="I742" s="18" t="str">
        <f>IFERROR(INDEX('Docs Signed Input'!C:C,MATCH('Nate''s Evolution'!B742,'Docs Signed Input'!E:E,0)),"N")</f>
        <v>N</v>
      </c>
      <c r="L742" t="s">
        <v>2258</v>
      </c>
      <c r="M742" t="s">
        <v>3933</v>
      </c>
      <c r="N742">
        <v>6.12</v>
      </c>
      <c r="O742">
        <v>6.12</v>
      </c>
      <c r="P742" s="6">
        <v>42036.818182870367</v>
      </c>
      <c r="Q742" t="s">
        <v>3896</v>
      </c>
      <c r="R742" t="s">
        <v>4010</v>
      </c>
      <c r="S742" t="s">
        <v>13472</v>
      </c>
      <c r="T742">
        <v>1</v>
      </c>
      <c r="X742" t="b">
        <v>1</v>
      </c>
      <c r="Y742" s="6">
        <v>42037.431944444441</v>
      </c>
    </row>
    <row r="743" spans="1:25" x14ac:dyDescent="0.25">
      <c r="A743" t="s">
        <v>13761</v>
      </c>
      <c r="B743" t="s">
        <v>13762</v>
      </c>
      <c r="C743">
        <v>4.5</v>
      </c>
      <c r="D743" t="s">
        <v>3893</v>
      </c>
      <c r="E743" t="s">
        <v>3989</v>
      </c>
      <c r="F743" s="18">
        <v>42005</v>
      </c>
      <c r="G743" s="18">
        <v>42035</v>
      </c>
      <c r="H743" s="18" t="str">
        <f>IFERROR(INDEX('Docs Signed Input'!B:B,MATCH('Nate''s Evolution'!$B743,'Docs Signed Input'!E:E,0)),"N")</f>
        <v>N</v>
      </c>
      <c r="I743" s="18" t="str">
        <f>IFERROR(INDEX('Docs Signed Input'!C:C,MATCH('Nate''s Evolution'!B743,'Docs Signed Input'!E:E,0)),"N")</f>
        <v>N</v>
      </c>
      <c r="L743" t="s">
        <v>2258</v>
      </c>
      <c r="M743" t="s">
        <v>12976</v>
      </c>
      <c r="N743">
        <v>4.5</v>
      </c>
      <c r="O743">
        <v>4.5</v>
      </c>
      <c r="P743" s="6">
        <v>42036.818182870367</v>
      </c>
      <c r="Q743" t="s">
        <v>3896</v>
      </c>
      <c r="R743" t="s">
        <v>4010</v>
      </c>
      <c r="S743" t="s">
        <v>12283</v>
      </c>
      <c r="T743">
        <v>1</v>
      </c>
      <c r="X743" t="b">
        <v>1</v>
      </c>
      <c r="Y743" s="6">
        <v>42037.431944444441</v>
      </c>
    </row>
    <row r="744" spans="1:25" x14ac:dyDescent="0.25">
      <c r="A744" t="s">
        <v>327</v>
      </c>
      <c r="B744" t="s">
        <v>13787</v>
      </c>
      <c r="C744">
        <v>8.25</v>
      </c>
      <c r="D744" t="s">
        <v>3893</v>
      </c>
      <c r="E744" t="s">
        <v>4117</v>
      </c>
      <c r="F744" s="18">
        <v>42005</v>
      </c>
      <c r="G744" s="18">
        <v>42035</v>
      </c>
      <c r="H744" s="18" t="str">
        <f>IFERROR(INDEX('Docs Signed Input'!B:B,MATCH('Nate''s Evolution'!$B744,'Docs Signed Input'!E:E,0)),"N")</f>
        <v>N</v>
      </c>
      <c r="I744" s="18" t="str">
        <f>IFERROR(INDEX('Docs Signed Input'!C:C,MATCH('Nate''s Evolution'!B744,'Docs Signed Input'!E:E,0)),"N")</f>
        <v>N</v>
      </c>
      <c r="L744" t="s">
        <v>2258</v>
      </c>
      <c r="M744" t="s">
        <v>3930</v>
      </c>
      <c r="N744">
        <v>8.25</v>
      </c>
      <c r="O744">
        <v>8.25</v>
      </c>
      <c r="P744" s="6">
        <v>42036.818182870367</v>
      </c>
      <c r="Q744" t="s">
        <v>3896</v>
      </c>
      <c r="R744" t="s">
        <v>4010</v>
      </c>
      <c r="S744" t="s">
        <v>3172</v>
      </c>
      <c r="T744">
        <v>1</v>
      </c>
      <c r="X744" t="b">
        <v>1</v>
      </c>
      <c r="Y744" s="6">
        <v>42037.431944444441</v>
      </c>
    </row>
    <row r="745" spans="1:25" x14ac:dyDescent="0.25">
      <c r="A745" t="s">
        <v>13793</v>
      </c>
      <c r="B745" t="s">
        <v>13794</v>
      </c>
      <c r="C745">
        <v>11</v>
      </c>
      <c r="D745" t="s">
        <v>3893</v>
      </c>
      <c r="E745" t="s">
        <v>3989</v>
      </c>
      <c r="F745" s="18">
        <v>42005</v>
      </c>
      <c r="G745" s="18">
        <v>42035</v>
      </c>
      <c r="H745" s="18" t="str">
        <f>IFERROR(INDEX('Docs Signed Input'!B:B,MATCH('Nate''s Evolution'!$B745,'Docs Signed Input'!E:E,0)),"N")</f>
        <v>N</v>
      </c>
      <c r="I745" s="18" t="str">
        <f>IFERROR(INDEX('Docs Signed Input'!C:C,MATCH('Nate''s Evolution'!B745,'Docs Signed Input'!E:E,0)),"N")</f>
        <v>N</v>
      </c>
      <c r="L745" t="s">
        <v>2258</v>
      </c>
      <c r="M745" t="s">
        <v>12976</v>
      </c>
      <c r="N745">
        <v>11</v>
      </c>
      <c r="O745">
        <v>11</v>
      </c>
      <c r="P745" s="6">
        <v>42036.818182870367</v>
      </c>
      <c r="Q745" t="s">
        <v>3896</v>
      </c>
      <c r="R745" t="s">
        <v>5160</v>
      </c>
      <c r="S745" t="s">
        <v>12283</v>
      </c>
      <c r="T745">
        <v>1</v>
      </c>
      <c r="X745" t="b">
        <v>1</v>
      </c>
      <c r="Y745" s="6">
        <v>42037.431944444441</v>
      </c>
    </row>
    <row r="746" spans="1:25" x14ac:dyDescent="0.25">
      <c r="A746" t="s">
        <v>13795</v>
      </c>
      <c r="B746" t="s">
        <v>13796</v>
      </c>
      <c r="C746">
        <v>10.92</v>
      </c>
      <c r="D746" t="s">
        <v>3893</v>
      </c>
      <c r="E746" t="s">
        <v>3989</v>
      </c>
      <c r="F746" s="18">
        <v>42005</v>
      </c>
      <c r="G746" s="18">
        <v>42035</v>
      </c>
      <c r="H746" s="18" t="str">
        <f>IFERROR(INDEX('Docs Signed Input'!B:B,MATCH('Nate''s Evolution'!$B746,'Docs Signed Input'!E:E,0)),"N")</f>
        <v>N</v>
      </c>
      <c r="I746" s="18" t="str">
        <f>IFERROR(INDEX('Docs Signed Input'!C:C,MATCH('Nate''s Evolution'!B746,'Docs Signed Input'!E:E,0)),"N")</f>
        <v>N</v>
      </c>
      <c r="L746" t="s">
        <v>2258</v>
      </c>
      <c r="M746" t="s">
        <v>4317</v>
      </c>
      <c r="N746">
        <v>10.92</v>
      </c>
      <c r="O746">
        <v>10.92</v>
      </c>
      <c r="P746" s="6">
        <v>42036.818182870367</v>
      </c>
      <c r="Q746" t="s">
        <v>3896</v>
      </c>
      <c r="R746" t="s">
        <v>4010</v>
      </c>
      <c r="S746" t="s">
        <v>2263</v>
      </c>
      <c r="T746">
        <v>1</v>
      </c>
      <c r="X746" t="b">
        <v>1</v>
      </c>
      <c r="Y746" s="6">
        <v>42037.431944444441</v>
      </c>
    </row>
    <row r="747" spans="1:25" x14ac:dyDescent="0.25">
      <c r="A747" t="s">
        <v>13655</v>
      </c>
      <c r="B747" t="s">
        <v>13657</v>
      </c>
      <c r="C747">
        <v>9.75</v>
      </c>
      <c r="D747" t="s">
        <v>3893</v>
      </c>
      <c r="E747" t="s">
        <v>3989</v>
      </c>
      <c r="F747" s="18">
        <v>42036</v>
      </c>
      <c r="G747" s="18">
        <v>42036</v>
      </c>
      <c r="H747" s="18" t="str">
        <f>IFERROR(INDEX('Docs Signed Input'!B:B,MATCH('Nate''s Evolution'!$B747,'Docs Signed Input'!E:E,0)),"N")</f>
        <v>N</v>
      </c>
      <c r="I747" s="18" t="str">
        <f>IFERROR(INDEX('Docs Signed Input'!C:C,MATCH('Nate''s Evolution'!B747,'Docs Signed Input'!E:E,0)),"N")</f>
        <v>N</v>
      </c>
      <c r="L747" t="s">
        <v>2258</v>
      </c>
      <c r="M747" t="s">
        <v>3926</v>
      </c>
      <c r="N747">
        <v>9.75</v>
      </c>
      <c r="O747">
        <v>9.75</v>
      </c>
      <c r="P747" s="6">
        <v>42036.818182870367</v>
      </c>
      <c r="Q747" t="s">
        <v>3896</v>
      </c>
      <c r="R747" t="s">
        <v>4010</v>
      </c>
      <c r="S747" t="s">
        <v>2591</v>
      </c>
      <c r="T747">
        <v>1</v>
      </c>
      <c r="X747" t="b">
        <v>1</v>
      </c>
      <c r="Y747" s="6">
        <v>42037.431944444441</v>
      </c>
    </row>
    <row r="748" spans="1:25" x14ac:dyDescent="0.25">
      <c r="A748" t="s">
        <v>13660</v>
      </c>
      <c r="B748" t="s">
        <v>13661</v>
      </c>
      <c r="C748">
        <v>4.08</v>
      </c>
      <c r="D748" t="s">
        <v>3893</v>
      </c>
      <c r="E748" t="s">
        <v>12374</v>
      </c>
      <c r="F748" s="18">
        <v>42036</v>
      </c>
      <c r="G748" s="18">
        <v>42036</v>
      </c>
      <c r="H748" s="18" t="str">
        <f>IFERROR(INDEX('Docs Signed Input'!B:B,MATCH('Nate''s Evolution'!$B748,'Docs Signed Input'!E:E,0)),"N")</f>
        <v>N</v>
      </c>
      <c r="I748" s="18" t="str">
        <f>IFERROR(INDEX('Docs Signed Input'!C:C,MATCH('Nate''s Evolution'!B748,'Docs Signed Input'!E:E,0)),"N")</f>
        <v>N</v>
      </c>
      <c r="L748" t="s">
        <v>2258</v>
      </c>
      <c r="M748" t="s">
        <v>3932</v>
      </c>
      <c r="N748">
        <v>4.08</v>
      </c>
      <c r="O748">
        <v>4.08</v>
      </c>
      <c r="P748" s="6">
        <v>42036.993206018517</v>
      </c>
      <c r="Q748" t="s">
        <v>3896</v>
      </c>
      <c r="R748" t="s">
        <v>4010</v>
      </c>
      <c r="S748" t="s">
        <v>3589</v>
      </c>
      <c r="T748">
        <v>1</v>
      </c>
      <c r="X748" t="b">
        <v>1</v>
      </c>
      <c r="Y748" s="6">
        <v>42037.431944444441</v>
      </c>
    </row>
  </sheetData>
  <autoFilter ref="A1:Y748">
    <sortState ref="A2:Y5458">
      <sortCondition ref="G1:G5458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F659"/>
  <sheetViews>
    <sheetView workbookViewId="0">
      <selection activeCell="E1" sqref="E1"/>
    </sheetView>
  </sheetViews>
  <sheetFormatPr defaultRowHeight="15" x14ac:dyDescent="0.25"/>
  <cols>
    <col min="1" max="1" width="18.140625" style="26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5" t="s">
        <v>0</v>
      </c>
      <c r="B1" s="29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35">
        <v>41973</v>
      </c>
      <c r="B2" s="36" t="s">
        <v>7</v>
      </c>
      <c r="C2" s="36" t="s">
        <v>7</v>
      </c>
      <c r="D2" s="37">
        <v>10</v>
      </c>
      <c r="E2" s="38" t="s">
        <v>370</v>
      </c>
      <c r="F2" s="37" t="s">
        <v>371</v>
      </c>
    </row>
    <row r="3" spans="1:6" ht="15.75" thickBot="1" x14ac:dyDescent="0.3">
      <c r="A3" s="35">
        <v>41973</v>
      </c>
      <c r="B3" s="36" t="s">
        <v>6</v>
      </c>
      <c r="C3" s="36" t="s">
        <v>6</v>
      </c>
      <c r="D3" s="37">
        <v>7</v>
      </c>
      <c r="E3" s="38" t="s">
        <v>372</v>
      </c>
      <c r="F3" s="37" t="s">
        <v>373</v>
      </c>
    </row>
    <row r="4" spans="1:6" ht="15.75" thickBot="1" x14ac:dyDescent="0.3">
      <c r="A4" s="35">
        <v>41974</v>
      </c>
      <c r="B4" s="36" t="s">
        <v>6</v>
      </c>
      <c r="C4" s="36" t="s">
        <v>7</v>
      </c>
      <c r="D4" s="37">
        <v>4.5</v>
      </c>
      <c r="E4" s="38" t="s">
        <v>6336</v>
      </c>
      <c r="F4" s="37" t="s">
        <v>6335</v>
      </c>
    </row>
    <row r="5" spans="1:6" ht="15.75" thickBot="1" x14ac:dyDescent="0.3">
      <c r="A5" s="35">
        <v>41974</v>
      </c>
      <c r="B5" s="36" t="s">
        <v>6</v>
      </c>
      <c r="C5" s="36" t="s">
        <v>6</v>
      </c>
      <c r="D5" s="37">
        <v>7.25</v>
      </c>
      <c r="E5" s="38" t="s">
        <v>4755</v>
      </c>
      <c r="F5" s="37" t="s">
        <v>4754</v>
      </c>
    </row>
    <row r="6" spans="1:6" ht="15.75" thickBot="1" x14ac:dyDescent="0.3">
      <c r="A6" s="35">
        <v>41974</v>
      </c>
      <c r="B6" s="36" t="s">
        <v>6</v>
      </c>
      <c r="C6" s="36" t="s">
        <v>6</v>
      </c>
      <c r="D6" s="37">
        <v>8.5</v>
      </c>
      <c r="E6" s="38" t="s">
        <v>4116</v>
      </c>
      <c r="F6" s="37" t="s">
        <v>4115</v>
      </c>
    </row>
    <row r="7" spans="1:6" ht="15.75" thickBot="1" x14ac:dyDescent="0.3">
      <c r="A7" s="35">
        <v>41974</v>
      </c>
      <c r="B7" s="36" t="s">
        <v>7</v>
      </c>
      <c r="C7" s="36" t="s">
        <v>7</v>
      </c>
      <c r="D7" s="37">
        <v>11.75</v>
      </c>
      <c r="E7" s="38" t="s">
        <v>9159</v>
      </c>
      <c r="F7" s="37" t="s">
        <v>9158</v>
      </c>
    </row>
    <row r="8" spans="1:6" ht="15.75" thickBot="1" x14ac:dyDescent="0.3">
      <c r="A8" s="35">
        <v>41974</v>
      </c>
      <c r="B8" s="36" t="s">
        <v>6</v>
      </c>
      <c r="C8" s="36" t="s">
        <v>6</v>
      </c>
      <c r="D8" s="37">
        <v>7.5</v>
      </c>
      <c r="E8" s="38" t="s">
        <v>374</v>
      </c>
      <c r="F8" s="37" t="s">
        <v>375</v>
      </c>
    </row>
    <row r="9" spans="1:6" ht="15.75" thickBot="1" x14ac:dyDescent="0.3">
      <c r="A9" s="35">
        <v>41974</v>
      </c>
      <c r="B9" s="36" t="s">
        <v>6</v>
      </c>
      <c r="C9" s="36" t="s">
        <v>6</v>
      </c>
      <c r="D9" s="37">
        <v>5.75</v>
      </c>
      <c r="E9" s="38" t="s">
        <v>4493</v>
      </c>
      <c r="F9" s="37" t="s">
        <v>4492</v>
      </c>
    </row>
    <row r="10" spans="1:6" ht="15.75" thickBot="1" x14ac:dyDescent="0.3">
      <c r="A10" s="35">
        <v>41974</v>
      </c>
      <c r="B10" s="36" t="s">
        <v>6</v>
      </c>
      <c r="C10" s="36" t="s">
        <v>7</v>
      </c>
      <c r="D10" s="37">
        <v>12</v>
      </c>
      <c r="E10" s="38" t="s">
        <v>3988</v>
      </c>
      <c r="F10" s="37" t="s">
        <v>3987</v>
      </c>
    </row>
    <row r="11" spans="1:6" ht="15.75" thickBot="1" x14ac:dyDescent="0.3">
      <c r="A11" s="31">
        <v>41974</v>
      </c>
      <c r="B11" s="36" t="s">
        <v>6</v>
      </c>
      <c r="C11" s="36" t="s">
        <v>6</v>
      </c>
      <c r="D11" s="36">
        <v>23.25</v>
      </c>
      <c r="E11" s="38" t="s">
        <v>2210</v>
      </c>
      <c r="F11" s="39" t="s">
        <v>2211</v>
      </c>
    </row>
    <row r="12" spans="1:6" ht="15.75" thickBot="1" x14ac:dyDescent="0.3">
      <c r="A12" s="31">
        <v>41974</v>
      </c>
      <c r="B12" s="36" t="s">
        <v>7</v>
      </c>
      <c r="C12" s="36" t="s">
        <v>7</v>
      </c>
      <c r="D12" s="36">
        <v>6.75</v>
      </c>
      <c r="E12" s="38" t="s">
        <v>2208</v>
      </c>
      <c r="F12" s="39" t="s">
        <v>2209</v>
      </c>
    </row>
    <row r="13" spans="1:6" ht="15.75" thickBot="1" x14ac:dyDescent="0.3">
      <c r="A13" s="31">
        <v>41975</v>
      </c>
      <c r="B13" s="36" t="s">
        <v>6</v>
      </c>
      <c r="C13" s="36" t="s">
        <v>6</v>
      </c>
      <c r="D13" s="36">
        <v>4.335</v>
      </c>
      <c r="E13" s="38" t="s">
        <v>4875</v>
      </c>
      <c r="F13" s="37" t="s">
        <v>12060</v>
      </c>
    </row>
    <row r="14" spans="1:6" ht="15.75" thickBot="1" x14ac:dyDescent="0.3">
      <c r="A14" s="35">
        <v>41975</v>
      </c>
      <c r="B14" s="36" t="s">
        <v>7</v>
      </c>
      <c r="C14" s="36" t="s">
        <v>6</v>
      </c>
      <c r="D14" s="37">
        <v>5.5</v>
      </c>
      <c r="E14" s="38" t="s">
        <v>6161</v>
      </c>
      <c r="F14" s="37" t="s">
        <v>12063</v>
      </c>
    </row>
    <row r="15" spans="1:6" ht="15.75" thickBot="1" x14ac:dyDescent="0.3">
      <c r="A15" s="35">
        <v>41975</v>
      </c>
      <c r="B15" s="36" t="s">
        <v>6</v>
      </c>
      <c r="C15" s="36" t="s">
        <v>6</v>
      </c>
      <c r="D15" s="37">
        <v>20.5</v>
      </c>
      <c r="E15" s="38" t="s">
        <v>8906</v>
      </c>
      <c r="F15" s="37" t="s">
        <v>8905</v>
      </c>
    </row>
    <row r="16" spans="1:6" ht="15.75" thickBot="1" x14ac:dyDescent="0.3">
      <c r="A16" s="31">
        <v>41975</v>
      </c>
      <c r="B16" s="36" t="s">
        <v>7</v>
      </c>
      <c r="C16" s="36" t="s">
        <v>6</v>
      </c>
      <c r="D16" s="36">
        <v>2.75</v>
      </c>
      <c r="E16" s="38" t="s">
        <v>1469</v>
      </c>
      <c r="F16" s="36" t="s">
        <v>4939</v>
      </c>
    </row>
    <row r="17" spans="1:6" ht="15.75" thickBot="1" x14ac:dyDescent="0.3">
      <c r="A17" s="31">
        <v>41975</v>
      </c>
      <c r="B17" s="36" t="s">
        <v>7</v>
      </c>
      <c r="C17" s="36" t="s">
        <v>7</v>
      </c>
      <c r="D17" s="36">
        <v>11.75</v>
      </c>
      <c r="E17" s="38" t="s">
        <v>1236</v>
      </c>
      <c r="F17" s="36" t="s">
        <v>1237</v>
      </c>
    </row>
    <row r="18" spans="1:6" ht="15.75" thickBot="1" x14ac:dyDescent="0.3">
      <c r="A18" s="31">
        <v>41975</v>
      </c>
      <c r="B18" s="36" t="s">
        <v>7</v>
      </c>
      <c r="C18" s="36" t="s">
        <v>7</v>
      </c>
      <c r="D18" s="36">
        <v>19.25</v>
      </c>
      <c r="E18" s="38" t="s">
        <v>1080</v>
      </c>
      <c r="F18" s="36" t="s">
        <v>1081</v>
      </c>
    </row>
    <row r="19" spans="1:6" ht="15.75" thickBot="1" x14ac:dyDescent="0.3">
      <c r="A19" s="31">
        <v>41975</v>
      </c>
      <c r="B19" s="36" t="s">
        <v>7</v>
      </c>
      <c r="C19" s="36" t="s">
        <v>7</v>
      </c>
      <c r="D19" s="36">
        <v>8.25</v>
      </c>
      <c r="E19" s="38" t="s">
        <v>2212</v>
      </c>
      <c r="F19" s="36" t="s">
        <v>2213</v>
      </c>
    </row>
    <row r="20" spans="1:6" ht="15.75" thickBot="1" x14ac:dyDescent="0.3">
      <c r="A20" s="31">
        <v>41975</v>
      </c>
      <c r="B20" s="36" t="s">
        <v>7</v>
      </c>
      <c r="C20" s="36" t="s">
        <v>7</v>
      </c>
      <c r="D20" s="36">
        <v>4.3499999999999996</v>
      </c>
      <c r="E20" s="38" t="s">
        <v>2214</v>
      </c>
      <c r="F20" s="36" t="s">
        <v>2215</v>
      </c>
    </row>
    <row r="21" spans="1:6" ht="15.75" thickBot="1" x14ac:dyDescent="0.3">
      <c r="A21" s="31">
        <v>41975</v>
      </c>
      <c r="B21" s="36" t="s">
        <v>6</v>
      </c>
      <c r="C21" s="36" t="s">
        <v>6</v>
      </c>
      <c r="D21" s="36">
        <v>6.25</v>
      </c>
      <c r="E21" s="38" t="s">
        <v>2216</v>
      </c>
      <c r="F21" s="36" t="s">
        <v>1541</v>
      </c>
    </row>
    <row r="22" spans="1:6" ht="15.75" thickBot="1" x14ac:dyDescent="0.3">
      <c r="A22" s="31">
        <v>41976</v>
      </c>
      <c r="B22" s="36" t="s">
        <v>7</v>
      </c>
      <c r="C22" s="36" t="s">
        <v>7</v>
      </c>
      <c r="D22" s="36">
        <v>13.5</v>
      </c>
      <c r="E22" s="38" t="s">
        <v>12474</v>
      </c>
      <c r="F22" s="36" t="s">
        <v>11818</v>
      </c>
    </row>
    <row r="23" spans="1:6" ht="15.75" thickBot="1" x14ac:dyDescent="0.3">
      <c r="A23" s="31">
        <v>41976</v>
      </c>
      <c r="B23" s="36" t="s">
        <v>7</v>
      </c>
      <c r="C23" s="36" t="s">
        <v>7</v>
      </c>
      <c r="D23" s="36">
        <v>9</v>
      </c>
      <c r="E23" s="38" t="s">
        <v>4308</v>
      </c>
      <c r="F23" s="39" t="s">
        <v>12038</v>
      </c>
    </row>
    <row r="24" spans="1:6" ht="15.75" thickBot="1" x14ac:dyDescent="0.3">
      <c r="A24" s="31">
        <v>41976</v>
      </c>
      <c r="B24" s="36" t="s">
        <v>6</v>
      </c>
      <c r="C24" s="36" t="s">
        <v>6</v>
      </c>
      <c r="D24" s="36">
        <v>3.38</v>
      </c>
      <c r="E24" s="38" t="s">
        <v>6396</v>
      </c>
      <c r="F24" s="36" t="s">
        <v>11898</v>
      </c>
    </row>
    <row r="25" spans="1:6" ht="15.75" thickBot="1" x14ac:dyDescent="0.3">
      <c r="A25" s="35">
        <v>41976</v>
      </c>
      <c r="B25" s="36" t="s">
        <v>6</v>
      </c>
      <c r="C25" s="36" t="s">
        <v>6</v>
      </c>
      <c r="D25" s="37">
        <v>3.38</v>
      </c>
      <c r="E25" s="38" t="s">
        <v>9770</v>
      </c>
      <c r="F25" s="37" t="s">
        <v>9769</v>
      </c>
    </row>
    <row r="26" spans="1:6" ht="15.75" thickBot="1" x14ac:dyDescent="0.3">
      <c r="A26" s="31">
        <v>41976</v>
      </c>
      <c r="B26" s="36" t="s">
        <v>6</v>
      </c>
      <c r="C26" s="36" t="s">
        <v>6</v>
      </c>
      <c r="D26" s="36">
        <v>6.25</v>
      </c>
      <c r="E26" s="38" t="s">
        <v>927</v>
      </c>
      <c r="F26" s="36" t="s">
        <v>928</v>
      </c>
    </row>
    <row r="27" spans="1:6" ht="15.75" thickBot="1" x14ac:dyDescent="0.3">
      <c r="A27" s="31">
        <v>41976</v>
      </c>
      <c r="B27" s="36" t="s">
        <v>7</v>
      </c>
      <c r="C27" s="36" t="s">
        <v>6</v>
      </c>
      <c r="D27" s="36">
        <v>5.46</v>
      </c>
      <c r="E27" s="38" t="s">
        <v>8020</v>
      </c>
      <c r="F27" s="36" t="s">
        <v>12049</v>
      </c>
    </row>
    <row r="28" spans="1:6" ht="15.75" thickBot="1" x14ac:dyDescent="0.3">
      <c r="A28" s="35">
        <v>41976</v>
      </c>
      <c r="B28" s="36" t="s">
        <v>6</v>
      </c>
      <c r="C28" s="36" t="s">
        <v>7</v>
      </c>
      <c r="D28" s="37">
        <v>7.75</v>
      </c>
      <c r="E28" s="38" t="s">
        <v>10475</v>
      </c>
      <c r="F28" s="37" t="s">
        <v>10474</v>
      </c>
    </row>
    <row r="29" spans="1:6" ht="15.75" thickBot="1" x14ac:dyDescent="0.3">
      <c r="A29" s="35">
        <v>41976</v>
      </c>
      <c r="B29" s="36" t="s">
        <v>7</v>
      </c>
      <c r="C29" s="36" t="s">
        <v>7</v>
      </c>
      <c r="D29" s="37">
        <v>10.75</v>
      </c>
      <c r="E29" s="38" t="s">
        <v>9630</v>
      </c>
      <c r="F29" s="37" t="s">
        <v>12055</v>
      </c>
    </row>
    <row r="30" spans="1:6" ht="15.75" thickBot="1" x14ac:dyDescent="0.3">
      <c r="A30" s="35">
        <v>41976</v>
      </c>
      <c r="B30" s="36" t="s">
        <v>7</v>
      </c>
      <c r="C30" s="36" t="s">
        <v>7</v>
      </c>
      <c r="D30" s="37">
        <v>7.75</v>
      </c>
      <c r="E30" s="38" t="s">
        <v>7913</v>
      </c>
      <c r="F30" s="37" t="s">
        <v>7912</v>
      </c>
    </row>
    <row r="31" spans="1:6" ht="15.75" thickBot="1" x14ac:dyDescent="0.3">
      <c r="A31" s="35">
        <v>41976</v>
      </c>
      <c r="B31" s="36" t="s">
        <v>7</v>
      </c>
      <c r="C31" s="36" t="s">
        <v>7</v>
      </c>
      <c r="D31" s="37">
        <v>19.5</v>
      </c>
      <c r="E31" s="38" t="s">
        <v>8929</v>
      </c>
      <c r="F31" s="37" t="s">
        <v>8928</v>
      </c>
    </row>
    <row r="32" spans="1:6" ht="15.75" thickBot="1" x14ac:dyDescent="0.3">
      <c r="A32" s="35">
        <v>41976</v>
      </c>
      <c r="B32" s="36" t="s">
        <v>7</v>
      </c>
      <c r="C32" s="36" t="s">
        <v>6</v>
      </c>
      <c r="D32" s="37">
        <v>8</v>
      </c>
      <c r="E32" s="38" t="s">
        <v>6829</v>
      </c>
      <c r="F32" s="37" t="s">
        <v>6828</v>
      </c>
    </row>
    <row r="33" spans="1:6" ht="15.75" thickBot="1" x14ac:dyDescent="0.3">
      <c r="A33" s="35">
        <v>41976</v>
      </c>
      <c r="B33" s="36" t="s">
        <v>6</v>
      </c>
      <c r="C33" s="36" t="s">
        <v>6</v>
      </c>
      <c r="D33" s="37">
        <v>13.5</v>
      </c>
      <c r="E33" s="38" t="s">
        <v>6833</v>
      </c>
      <c r="F33" s="37" t="s">
        <v>6832</v>
      </c>
    </row>
    <row r="34" spans="1:6" ht="15.75" thickBot="1" x14ac:dyDescent="0.3">
      <c r="A34" s="35">
        <v>41976</v>
      </c>
      <c r="B34" s="36" t="s">
        <v>7</v>
      </c>
      <c r="C34" s="36" t="s">
        <v>6</v>
      </c>
      <c r="D34" s="37">
        <v>7.75</v>
      </c>
      <c r="E34" s="38" t="s">
        <v>9488</v>
      </c>
      <c r="F34" s="37" t="s">
        <v>9487</v>
      </c>
    </row>
    <row r="35" spans="1:6" ht="15.75" thickBot="1" x14ac:dyDescent="0.3">
      <c r="A35" s="35">
        <v>41976</v>
      </c>
      <c r="B35" s="36" t="s">
        <v>6</v>
      </c>
      <c r="C35" s="36" t="s">
        <v>7</v>
      </c>
      <c r="D35" s="37">
        <v>8</v>
      </c>
      <c r="E35" s="38" t="s">
        <v>5280</v>
      </c>
      <c r="F35" s="37" t="s">
        <v>5279</v>
      </c>
    </row>
    <row r="36" spans="1:6" ht="15.75" thickBot="1" x14ac:dyDescent="0.3">
      <c r="A36" s="35">
        <v>41976</v>
      </c>
      <c r="B36" s="36" t="s">
        <v>6</v>
      </c>
      <c r="C36" s="36" t="s">
        <v>7</v>
      </c>
      <c r="D36" s="37">
        <v>6.25</v>
      </c>
      <c r="E36" s="38" t="s">
        <v>5898</v>
      </c>
      <c r="F36" s="37" t="s">
        <v>13797</v>
      </c>
    </row>
    <row r="37" spans="1:6" ht="15.75" thickBot="1" x14ac:dyDescent="0.3">
      <c r="A37" s="35">
        <v>41976</v>
      </c>
      <c r="B37" s="36" t="s">
        <v>6</v>
      </c>
      <c r="C37" s="36" t="s">
        <v>6</v>
      </c>
      <c r="D37" s="37">
        <v>12.25</v>
      </c>
      <c r="E37" s="38" t="s">
        <v>9687</v>
      </c>
      <c r="F37" s="37" t="s">
        <v>9686</v>
      </c>
    </row>
    <row r="38" spans="1:6" ht="15.75" thickBot="1" x14ac:dyDescent="0.3">
      <c r="A38" s="35">
        <v>41976</v>
      </c>
      <c r="B38" s="36" t="s">
        <v>7</v>
      </c>
      <c r="C38" s="36" t="s">
        <v>6</v>
      </c>
      <c r="D38" s="37">
        <v>4.16</v>
      </c>
      <c r="E38" s="38" t="s">
        <v>8584</v>
      </c>
      <c r="F38" s="37" t="s">
        <v>8583</v>
      </c>
    </row>
    <row r="39" spans="1:6" ht="15.75" thickBot="1" x14ac:dyDescent="0.3">
      <c r="A39" s="31">
        <v>41976</v>
      </c>
      <c r="B39" s="36" t="s">
        <v>7</v>
      </c>
      <c r="C39" s="36" t="s">
        <v>6</v>
      </c>
      <c r="D39" s="36">
        <v>6.5</v>
      </c>
      <c r="E39" s="38" t="s">
        <v>1471</v>
      </c>
      <c r="F39" s="36" t="s">
        <v>7038</v>
      </c>
    </row>
    <row r="40" spans="1:6" ht="15.75" thickBot="1" x14ac:dyDescent="0.3">
      <c r="A40" s="31">
        <v>41976</v>
      </c>
      <c r="B40" s="36" t="s">
        <v>7</v>
      </c>
      <c r="C40" s="36" t="s">
        <v>7</v>
      </c>
      <c r="D40" s="36">
        <v>11.25</v>
      </c>
      <c r="E40" s="38" t="s">
        <v>2217</v>
      </c>
      <c r="F40" s="36" t="s">
        <v>2218</v>
      </c>
    </row>
    <row r="41" spans="1:6" ht="15.75" thickBot="1" x14ac:dyDescent="0.3">
      <c r="A41" s="31">
        <v>41977</v>
      </c>
      <c r="B41" s="36" t="s">
        <v>6</v>
      </c>
      <c r="C41" s="36" t="s">
        <v>6</v>
      </c>
      <c r="D41" s="36">
        <v>5.3550000000000004</v>
      </c>
      <c r="E41" s="38" t="s">
        <v>8111</v>
      </c>
      <c r="F41" s="36" t="s">
        <v>666</v>
      </c>
    </row>
    <row r="42" spans="1:6" ht="15.75" thickBot="1" x14ac:dyDescent="0.3">
      <c r="A42" s="31">
        <v>41977</v>
      </c>
      <c r="B42" s="36" t="s">
        <v>7</v>
      </c>
      <c r="C42" s="36" t="s">
        <v>6</v>
      </c>
      <c r="D42" s="36">
        <v>5.5</v>
      </c>
      <c r="E42" s="38" t="s">
        <v>11276</v>
      </c>
      <c r="F42" s="36" t="s">
        <v>11819</v>
      </c>
    </row>
    <row r="43" spans="1:6" ht="15.75" thickBot="1" x14ac:dyDescent="0.3">
      <c r="A43" s="31">
        <v>41977</v>
      </c>
      <c r="B43" s="36" t="s">
        <v>7</v>
      </c>
      <c r="C43" s="36" t="s">
        <v>7</v>
      </c>
      <c r="D43" s="36">
        <v>7</v>
      </c>
      <c r="E43" s="38" t="s">
        <v>10222</v>
      </c>
      <c r="F43" s="36" t="s">
        <v>11820</v>
      </c>
    </row>
    <row r="44" spans="1:6" ht="15.75" thickBot="1" x14ac:dyDescent="0.3">
      <c r="A44" s="31">
        <v>41977</v>
      </c>
      <c r="B44" s="36" t="s">
        <v>7</v>
      </c>
      <c r="C44" s="36" t="s">
        <v>7</v>
      </c>
      <c r="D44" s="36">
        <v>7.5</v>
      </c>
      <c r="E44" s="38" t="s">
        <v>5828</v>
      </c>
      <c r="F44" s="36" t="s">
        <v>11821</v>
      </c>
    </row>
    <row r="45" spans="1:6" ht="15.75" thickBot="1" x14ac:dyDescent="0.3">
      <c r="A45" s="31">
        <v>41977</v>
      </c>
      <c r="B45" s="36" t="s">
        <v>7</v>
      </c>
      <c r="C45" s="36" t="s">
        <v>7</v>
      </c>
      <c r="D45" s="36">
        <v>3.06</v>
      </c>
      <c r="E45" s="38" t="s">
        <v>5944</v>
      </c>
      <c r="F45" s="36" t="s">
        <v>11822</v>
      </c>
    </row>
    <row r="46" spans="1:6" ht="15.75" thickBot="1" x14ac:dyDescent="0.3">
      <c r="A46" s="31">
        <v>41977</v>
      </c>
      <c r="B46" s="36" t="s">
        <v>7</v>
      </c>
      <c r="C46" s="36" t="s">
        <v>7</v>
      </c>
      <c r="D46" s="36">
        <v>18.25</v>
      </c>
      <c r="E46" s="38" t="s">
        <v>6429</v>
      </c>
      <c r="F46" s="36" t="s">
        <v>11823</v>
      </c>
    </row>
    <row r="47" spans="1:6" ht="15.75" thickBot="1" x14ac:dyDescent="0.3">
      <c r="A47" s="35">
        <v>41977</v>
      </c>
      <c r="B47" s="36" t="s">
        <v>6</v>
      </c>
      <c r="C47" s="36" t="s">
        <v>7</v>
      </c>
      <c r="D47" s="37">
        <v>8.5</v>
      </c>
      <c r="E47" s="38" t="s">
        <v>9213</v>
      </c>
      <c r="F47" s="37" t="s">
        <v>9212</v>
      </c>
    </row>
    <row r="48" spans="1:6" ht="15.75" thickBot="1" x14ac:dyDescent="0.3">
      <c r="A48" s="35">
        <v>41977</v>
      </c>
      <c r="B48" s="36" t="s">
        <v>6</v>
      </c>
      <c r="C48" s="36" t="s">
        <v>7</v>
      </c>
      <c r="D48" s="37">
        <v>3.5</v>
      </c>
      <c r="E48" s="38" t="s">
        <v>5101</v>
      </c>
      <c r="F48" s="37" t="s">
        <v>5100</v>
      </c>
    </row>
    <row r="49" spans="1:6" ht="15.75" thickBot="1" x14ac:dyDescent="0.3">
      <c r="A49" s="35">
        <v>41977</v>
      </c>
      <c r="B49" s="36" t="s">
        <v>6</v>
      </c>
      <c r="C49" s="36" t="s">
        <v>6</v>
      </c>
      <c r="D49" s="37">
        <v>8.5</v>
      </c>
      <c r="E49" s="38" t="s">
        <v>8017</v>
      </c>
      <c r="F49" s="37" t="s">
        <v>8016</v>
      </c>
    </row>
    <row r="50" spans="1:6" ht="15.75" thickBot="1" x14ac:dyDescent="0.3">
      <c r="A50" s="35">
        <v>41977</v>
      </c>
      <c r="B50" s="36" t="s">
        <v>7</v>
      </c>
      <c r="C50" s="36" t="s">
        <v>7</v>
      </c>
      <c r="D50" s="36">
        <v>4.75</v>
      </c>
      <c r="E50" s="38" t="s">
        <v>5102</v>
      </c>
      <c r="F50" s="36" t="s">
        <v>12023</v>
      </c>
    </row>
    <row r="51" spans="1:6" ht="15.75" thickBot="1" x14ac:dyDescent="0.3">
      <c r="A51" s="35">
        <v>41977</v>
      </c>
      <c r="B51" s="36" t="s">
        <v>6</v>
      </c>
      <c r="C51" s="36" t="s">
        <v>6</v>
      </c>
      <c r="D51" s="37">
        <v>10.75</v>
      </c>
      <c r="E51" s="38" t="s">
        <v>7466</v>
      </c>
      <c r="F51" s="37" t="s">
        <v>7465</v>
      </c>
    </row>
    <row r="52" spans="1:6" ht="15.75" thickBot="1" x14ac:dyDescent="0.3">
      <c r="A52" s="35">
        <v>41977</v>
      </c>
      <c r="B52" s="36" t="s">
        <v>6</v>
      </c>
      <c r="C52" s="36" t="s">
        <v>7</v>
      </c>
      <c r="D52" s="37">
        <v>2.75</v>
      </c>
      <c r="E52" s="38" t="s">
        <v>8229</v>
      </c>
      <c r="F52" s="37" t="s">
        <v>8228</v>
      </c>
    </row>
    <row r="53" spans="1:6" ht="15.75" thickBot="1" x14ac:dyDescent="0.3">
      <c r="A53" s="35">
        <v>41977</v>
      </c>
      <c r="B53" s="36" t="s">
        <v>7</v>
      </c>
      <c r="C53" s="36" t="s">
        <v>7</v>
      </c>
      <c r="D53" s="37">
        <v>8.25</v>
      </c>
      <c r="E53" s="38" t="s">
        <v>4572</v>
      </c>
      <c r="F53" s="37" t="s">
        <v>4571</v>
      </c>
    </row>
    <row r="54" spans="1:6" ht="15.75" thickBot="1" x14ac:dyDescent="0.3">
      <c r="A54" s="35">
        <v>41977</v>
      </c>
      <c r="B54" s="36" t="s">
        <v>6</v>
      </c>
      <c r="C54" s="36" t="s">
        <v>7</v>
      </c>
      <c r="D54" s="37">
        <v>13.5</v>
      </c>
      <c r="E54" s="38" t="s">
        <v>5066</v>
      </c>
      <c r="F54" s="37" t="s">
        <v>5065</v>
      </c>
    </row>
    <row r="55" spans="1:6" ht="15.75" thickBot="1" x14ac:dyDescent="0.3">
      <c r="A55" s="35">
        <v>41977</v>
      </c>
      <c r="B55" s="36" t="s">
        <v>7</v>
      </c>
      <c r="C55" s="36" t="s">
        <v>7</v>
      </c>
      <c r="D55" s="37">
        <v>8</v>
      </c>
      <c r="E55" s="38" t="s">
        <v>4126</v>
      </c>
      <c r="F55" s="37" t="s">
        <v>4125</v>
      </c>
    </row>
    <row r="56" spans="1:6" ht="15.75" thickBot="1" x14ac:dyDescent="0.3">
      <c r="A56" s="35">
        <v>41977</v>
      </c>
      <c r="B56" s="36" t="s">
        <v>6</v>
      </c>
      <c r="C56" s="36" t="s">
        <v>6</v>
      </c>
      <c r="D56" s="37">
        <v>5.25</v>
      </c>
      <c r="E56" s="38" t="s">
        <v>10236</v>
      </c>
      <c r="F56" s="37" t="s">
        <v>10235</v>
      </c>
    </row>
    <row r="57" spans="1:6" ht="15.75" thickBot="1" x14ac:dyDescent="0.3">
      <c r="A57" s="35">
        <v>41977</v>
      </c>
      <c r="B57" s="36" t="s">
        <v>6</v>
      </c>
      <c r="C57" s="36" t="s">
        <v>6</v>
      </c>
      <c r="D57" s="37">
        <v>7.25</v>
      </c>
      <c r="E57" s="38" t="s">
        <v>4464</v>
      </c>
      <c r="F57" s="37" t="s">
        <v>4463</v>
      </c>
    </row>
    <row r="58" spans="1:6" ht="15.75" thickBot="1" x14ac:dyDescent="0.3">
      <c r="A58" s="35">
        <v>41977</v>
      </c>
      <c r="B58" s="36" t="s">
        <v>6</v>
      </c>
      <c r="C58" s="36" t="s">
        <v>6</v>
      </c>
      <c r="D58" s="37">
        <v>11.25</v>
      </c>
      <c r="E58" s="38" t="s">
        <v>10720</v>
      </c>
      <c r="F58" s="37" t="s">
        <v>10719</v>
      </c>
    </row>
    <row r="59" spans="1:6" ht="15.75" thickBot="1" x14ac:dyDescent="0.3">
      <c r="A59" s="35">
        <v>41977</v>
      </c>
      <c r="B59" s="36" t="s">
        <v>6</v>
      </c>
      <c r="C59" s="36" t="s">
        <v>7</v>
      </c>
      <c r="D59" s="37">
        <v>7</v>
      </c>
      <c r="E59" s="38" t="s">
        <v>6684</v>
      </c>
      <c r="F59" s="37" t="s">
        <v>6683</v>
      </c>
    </row>
    <row r="60" spans="1:6" ht="15.75" thickBot="1" x14ac:dyDescent="0.3">
      <c r="A60" s="35">
        <v>41977</v>
      </c>
      <c r="B60" s="36" t="s">
        <v>6</v>
      </c>
      <c r="C60" s="36" t="s">
        <v>7</v>
      </c>
      <c r="D60" s="37">
        <v>8.75</v>
      </c>
      <c r="E60" s="38" t="s">
        <v>7947</v>
      </c>
      <c r="F60" s="37" t="s">
        <v>7946</v>
      </c>
    </row>
    <row r="61" spans="1:6" ht="15.75" thickBot="1" x14ac:dyDescent="0.3">
      <c r="A61" s="35">
        <v>41977</v>
      </c>
      <c r="B61" s="36" t="s">
        <v>7</v>
      </c>
      <c r="C61" s="36" t="s">
        <v>7</v>
      </c>
      <c r="D61" s="37">
        <v>3.5</v>
      </c>
      <c r="E61" s="38" t="s">
        <v>8147</v>
      </c>
      <c r="F61" s="37" t="s">
        <v>8146</v>
      </c>
    </row>
    <row r="62" spans="1:6" ht="15.75" thickBot="1" x14ac:dyDescent="0.3">
      <c r="A62" s="31">
        <v>41977</v>
      </c>
      <c r="B62" s="36" t="s">
        <v>7</v>
      </c>
      <c r="C62" s="36" t="s">
        <v>7</v>
      </c>
      <c r="D62" s="36">
        <v>8.75</v>
      </c>
      <c r="E62" s="38" t="s">
        <v>1077</v>
      </c>
      <c r="F62" s="36" t="s">
        <v>1078</v>
      </c>
    </row>
    <row r="63" spans="1:6" ht="15.75" thickBot="1" x14ac:dyDescent="0.3">
      <c r="A63" s="31">
        <v>41977</v>
      </c>
      <c r="B63" s="36" t="s">
        <v>7</v>
      </c>
      <c r="C63" s="36" t="s">
        <v>7</v>
      </c>
      <c r="D63" s="36">
        <v>9.5</v>
      </c>
      <c r="E63" s="38" t="s">
        <v>2219</v>
      </c>
      <c r="F63" s="36" t="s">
        <v>2220</v>
      </c>
    </row>
    <row r="64" spans="1:6" ht="15.75" thickBot="1" x14ac:dyDescent="0.3">
      <c r="A64" s="31">
        <v>41978</v>
      </c>
      <c r="B64" s="36" t="s">
        <v>7</v>
      </c>
      <c r="C64" s="36" t="s">
        <v>6</v>
      </c>
      <c r="D64" s="36">
        <v>5.0999999999999996</v>
      </c>
      <c r="E64" s="38" t="s">
        <v>10698</v>
      </c>
      <c r="F64" s="36" t="s">
        <v>1010</v>
      </c>
    </row>
    <row r="65" spans="1:6" ht="15.75" thickBot="1" x14ac:dyDescent="0.3">
      <c r="A65" s="31">
        <v>41978</v>
      </c>
      <c r="B65" s="36" t="s">
        <v>7</v>
      </c>
      <c r="C65" s="36" t="s">
        <v>7</v>
      </c>
      <c r="D65" s="36">
        <v>6.375</v>
      </c>
      <c r="E65" s="38" t="s">
        <v>6599</v>
      </c>
      <c r="F65" s="36" t="s">
        <v>11824</v>
      </c>
    </row>
    <row r="66" spans="1:6" ht="15.75" thickBot="1" x14ac:dyDescent="0.3">
      <c r="A66" s="31">
        <v>41978</v>
      </c>
      <c r="B66" s="36" t="s">
        <v>7</v>
      </c>
      <c r="C66" s="36" t="s">
        <v>7</v>
      </c>
      <c r="D66" s="36">
        <v>6</v>
      </c>
      <c r="E66" s="38" t="s">
        <v>8218</v>
      </c>
      <c r="F66" s="36" t="s">
        <v>11825</v>
      </c>
    </row>
    <row r="67" spans="1:6" ht="15.75" thickBot="1" x14ac:dyDescent="0.3">
      <c r="A67" s="31">
        <v>41978</v>
      </c>
      <c r="B67" s="36" t="s">
        <v>7</v>
      </c>
      <c r="C67" s="36" t="s">
        <v>7</v>
      </c>
      <c r="D67" s="36">
        <v>3.5</v>
      </c>
      <c r="E67" s="38" t="s">
        <v>7171</v>
      </c>
      <c r="F67" s="36" t="s">
        <v>11826</v>
      </c>
    </row>
    <row r="68" spans="1:6" ht="15.75" thickBot="1" x14ac:dyDescent="0.3">
      <c r="A68" s="31">
        <v>41978</v>
      </c>
      <c r="B68" s="36" t="s">
        <v>7</v>
      </c>
      <c r="C68" s="36" t="s">
        <v>7</v>
      </c>
      <c r="D68" s="36">
        <v>6.75</v>
      </c>
      <c r="E68" s="38" t="s">
        <v>9772</v>
      </c>
      <c r="F68" s="37" t="s">
        <v>12013</v>
      </c>
    </row>
    <row r="69" spans="1:6" ht="15.75" thickBot="1" x14ac:dyDescent="0.3">
      <c r="A69" s="35">
        <v>41978</v>
      </c>
      <c r="B69" s="36" t="s">
        <v>6</v>
      </c>
      <c r="C69" s="36" t="s">
        <v>6</v>
      </c>
      <c r="D69" s="37">
        <v>5.25</v>
      </c>
      <c r="E69" s="38" t="s">
        <v>9668</v>
      </c>
      <c r="F69" s="37" t="s">
        <v>9667</v>
      </c>
    </row>
    <row r="70" spans="1:6" ht="15.75" thickBot="1" x14ac:dyDescent="0.3">
      <c r="A70" s="35">
        <v>41978</v>
      </c>
      <c r="B70" s="36" t="s">
        <v>6</v>
      </c>
      <c r="C70" s="36" t="s">
        <v>6</v>
      </c>
      <c r="D70" s="37">
        <v>6.75</v>
      </c>
      <c r="E70" s="38" t="s">
        <v>10956</v>
      </c>
      <c r="F70" s="37" t="s">
        <v>10955</v>
      </c>
    </row>
    <row r="71" spans="1:6" ht="15.75" thickBot="1" x14ac:dyDescent="0.3">
      <c r="A71" s="35">
        <v>41978</v>
      </c>
      <c r="B71" s="36" t="s">
        <v>6</v>
      </c>
      <c r="C71" s="36" t="s">
        <v>7</v>
      </c>
      <c r="D71" s="37">
        <v>10.5</v>
      </c>
      <c r="E71" s="38" t="s">
        <v>10604</v>
      </c>
      <c r="F71" s="37" t="s">
        <v>10603</v>
      </c>
    </row>
    <row r="72" spans="1:6" ht="15.75" thickBot="1" x14ac:dyDescent="0.3">
      <c r="A72" s="35">
        <v>41978</v>
      </c>
      <c r="B72" s="36" t="s">
        <v>6</v>
      </c>
      <c r="C72" s="36" t="s">
        <v>6</v>
      </c>
      <c r="D72" s="37">
        <v>6.5</v>
      </c>
      <c r="E72" s="38" t="s">
        <v>10571</v>
      </c>
      <c r="F72" s="37" t="s">
        <v>10570</v>
      </c>
    </row>
    <row r="73" spans="1:6" ht="15.75" thickBot="1" x14ac:dyDescent="0.3">
      <c r="A73" s="35">
        <v>41978</v>
      </c>
      <c r="B73" s="36" t="s">
        <v>7</v>
      </c>
      <c r="C73" s="36" t="s">
        <v>7</v>
      </c>
      <c r="D73" s="37">
        <v>11.5</v>
      </c>
      <c r="E73" s="38" t="s">
        <v>5786</v>
      </c>
      <c r="F73" s="37" t="s">
        <v>5785</v>
      </c>
    </row>
    <row r="74" spans="1:6" ht="15.75" thickBot="1" x14ac:dyDescent="0.3">
      <c r="A74" s="35">
        <v>41978</v>
      </c>
      <c r="B74" s="36" t="s">
        <v>6</v>
      </c>
      <c r="C74" s="36" t="s">
        <v>6</v>
      </c>
      <c r="D74" s="37">
        <v>13</v>
      </c>
      <c r="E74" s="38" t="s">
        <v>5109</v>
      </c>
      <c r="F74" s="37" t="s">
        <v>5108</v>
      </c>
    </row>
    <row r="75" spans="1:6" ht="15.75" thickBot="1" x14ac:dyDescent="0.3">
      <c r="A75" s="35">
        <v>41978</v>
      </c>
      <c r="B75" s="36" t="s">
        <v>6</v>
      </c>
      <c r="C75" s="36" t="s">
        <v>6</v>
      </c>
      <c r="D75" s="37">
        <v>12.75</v>
      </c>
      <c r="E75" s="38" t="s">
        <v>9821</v>
      </c>
      <c r="F75" s="37" t="s">
        <v>9820</v>
      </c>
    </row>
    <row r="76" spans="1:6" ht="15.75" thickBot="1" x14ac:dyDescent="0.3">
      <c r="A76" s="31">
        <v>41978</v>
      </c>
      <c r="B76" s="36" t="s">
        <v>7</v>
      </c>
      <c r="C76" s="36" t="s">
        <v>6</v>
      </c>
      <c r="D76" s="36">
        <v>2.75</v>
      </c>
      <c r="E76" s="38" t="s">
        <v>6370</v>
      </c>
      <c r="F76" s="36" t="s">
        <v>6369</v>
      </c>
    </row>
    <row r="77" spans="1:6" ht="15.75" thickBot="1" x14ac:dyDescent="0.3">
      <c r="A77" s="31">
        <v>41978</v>
      </c>
      <c r="B77" s="36" t="s">
        <v>7</v>
      </c>
      <c r="C77" s="36" t="s">
        <v>7</v>
      </c>
      <c r="D77" s="36">
        <v>8.75</v>
      </c>
      <c r="E77" s="38" t="s">
        <v>5159</v>
      </c>
      <c r="F77" s="36" t="s">
        <v>5158</v>
      </c>
    </row>
    <row r="78" spans="1:6" ht="15.75" thickBot="1" x14ac:dyDescent="0.3">
      <c r="A78" s="31">
        <v>41979</v>
      </c>
      <c r="B78" s="36" t="s">
        <v>7</v>
      </c>
      <c r="C78" s="36" t="s">
        <v>6</v>
      </c>
      <c r="D78" s="36">
        <v>8.25</v>
      </c>
      <c r="E78" s="38" t="s">
        <v>9528</v>
      </c>
      <c r="F78" s="36" t="s">
        <v>11827</v>
      </c>
    </row>
    <row r="79" spans="1:6" ht="15.75" thickBot="1" x14ac:dyDescent="0.3">
      <c r="A79" s="31">
        <v>41979</v>
      </c>
      <c r="B79" s="36" t="s">
        <v>7</v>
      </c>
      <c r="C79" s="36" t="s">
        <v>7</v>
      </c>
      <c r="D79" s="36">
        <v>8.75</v>
      </c>
      <c r="E79" s="38" t="s">
        <v>8978</v>
      </c>
      <c r="F79" s="36" t="s">
        <v>11828</v>
      </c>
    </row>
    <row r="80" spans="1:6" ht="15.75" thickBot="1" x14ac:dyDescent="0.3">
      <c r="A80" s="31">
        <v>41979</v>
      </c>
      <c r="B80" s="36" t="s">
        <v>7</v>
      </c>
      <c r="C80" s="36" t="s">
        <v>7</v>
      </c>
      <c r="D80" s="36">
        <v>7.25</v>
      </c>
      <c r="E80" s="38" t="s">
        <v>9282</v>
      </c>
      <c r="F80" s="36" t="s">
        <v>11829</v>
      </c>
    </row>
    <row r="81" spans="1:6" ht="15.75" thickBot="1" x14ac:dyDescent="0.3">
      <c r="A81" s="31">
        <v>41979</v>
      </c>
      <c r="B81" s="36" t="s">
        <v>7</v>
      </c>
      <c r="C81" s="36" t="s">
        <v>7</v>
      </c>
      <c r="D81" s="36">
        <v>10.25</v>
      </c>
      <c r="E81" s="38" t="s">
        <v>12473</v>
      </c>
      <c r="F81" s="39" t="s">
        <v>11830</v>
      </c>
    </row>
    <row r="82" spans="1:6" ht="15.75" thickBot="1" x14ac:dyDescent="0.3">
      <c r="A82" s="31">
        <v>41979</v>
      </c>
      <c r="B82" s="36" t="s">
        <v>7</v>
      </c>
      <c r="C82" s="36" t="s">
        <v>6</v>
      </c>
      <c r="D82" s="36">
        <v>3.83</v>
      </c>
      <c r="E82" s="38" t="s">
        <v>9257</v>
      </c>
      <c r="F82" s="36" t="s">
        <v>11998</v>
      </c>
    </row>
    <row r="83" spans="1:6" ht="15.75" thickBot="1" x14ac:dyDescent="0.3">
      <c r="A83" s="31">
        <v>41979</v>
      </c>
      <c r="B83" s="36" t="s">
        <v>6</v>
      </c>
      <c r="C83" s="36" t="s">
        <v>6</v>
      </c>
      <c r="D83" s="36">
        <v>8.32</v>
      </c>
      <c r="E83" s="38" t="s">
        <v>6285</v>
      </c>
      <c r="F83" s="37" t="s">
        <v>6284</v>
      </c>
    </row>
    <row r="84" spans="1:6" ht="15.75" thickBot="1" x14ac:dyDescent="0.3">
      <c r="A84" s="31">
        <v>41979</v>
      </c>
      <c r="B84" s="36" t="s">
        <v>7</v>
      </c>
      <c r="C84" s="36" t="s">
        <v>7</v>
      </c>
      <c r="D84" s="36">
        <v>5.5</v>
      </c>
      <c r="E84" s="38" t="s">
        <v>8865</v>
      </c>
      <c r="F84" s="36" t="s">
        <v>11831</v>
      </c>
    </row>
    <row r="85" spans="1:6" ht="15.75" thickBot="1" x14ac:dyDescent="0.3">
      <c r="A85" s="31">
        <v>41979</v>
      </c>
      <c r="B85" s="36" t="s">
        <v>7</v>
      </c>
      <c r="C85" s="36" t="s">
        <v>6</v>
      </c>
      <c r="D85" s="36">
        <v>6.375</v>
      </c>
      <c r="E85" s="38" t="s">
        <v>9875</v>
      </c>
      <c r="F85" s="36" t="s">
        <v>11832</v>
      </c>
    </row>
    <row r="86" spans="1:6" ht="15.75" thickBot="1" x14ac:dyDescent="0.3">
      <c r="A86" s="31">
        <v>41979</v>
      </c>
      <c r="B86" s="36" t="s">
        <v>7</v>
      </c>
      <c r="C86" s="36" t="s">
        <v>6</v>
      </c>
      <c r="D86" s="36">
        <v>6.12</v>
      </c>
      <c r="E86" s="38" t="s">
        <v>11408</v>
      </c>
      <c r="F86" s="36" t="s">
        <v>11833</v>
      </c>
    </row>
    <row r="87" spans="1:6" ht="15.75" thickBot="1" x14ac:dyDescent="0.3">
      <c r="A87" s="31">
        <v>41979</v>
      </c>
      <c r="B87" s="36" t="s">
        <v>6</v>
      </c>
      <c r="C87" s="36" t="s">
        <v>7</v>
      </c>
      <c r="D87" s="36">
        <v>6.75</v>
      </c>
      <c r="E87" s="38" t="s">
        <v>7872</v>
      </c>
      <c r="F87" s="36" t="s">
        <v>11992</v>
      </c>
    </row>
    <row r="88" spans="1:6" ht="15.75" thickBot="1" x14ac:dyDescent="0.3">
      <c r="A88" s="35">
        <v>41979</v>
      </c>
      <c r="B88" s="36" t="s">
        <v>6</v>
      </c>
      <c r="C88" s="36" t="s">
        <v>6</v>
      </c>
      <c r="D88" s="37">
        <v>5.25</v>
      </c>
      <c r="E88" s="38" t="s">
        <v>6516</v>
      </c>
      <c r="F88" s="37" t="s">
        <v>6515</v>
      </c>
    </row>
    <row r="89" spans="1:6" ht="15.75" thickBot="1" x14ac:dyDescent="0.3">
      <c r="A89" s="35">
        <v>41979</v>
      </c>
      <c r="B89" s="36" t="s">
        <v>7</v>
      </c>
      <c r="C89" s="36" t="s">
        <v>7</v>
      </c>
      <c r="D89" s="37">
        <v>7.75</v>
      </c>
      <c r="E89" s="38" t="s">
        <v>4656</v>
      </c>
      <c r="F89" s="37" t="s">
        <v>4655</v>
      </c>
    </row>
    <row r="90" spans="1:6" ht="15.75" thickBot="1" x14ac:dyDescent="0.3">
      <c r="A90" s="35">
        <v>41979</v>
      </c>
      <c r="B90" s="36" t="s">
        <v>6</v>
      </c>
      <c r="C90" s="36" t="s">
        <v>6</v>
      </c>
      <c r="D90" s="37">
        <v>4.5</v>
      </c>
      <c r="E90" s="38" t="s">
        <v>8701</v>
      </c>
      <c r="F90" s="37" t="s">
        <v>8700</v>
      </c>
    </row>
    <row r="91" spans="1:6" ht="15.75" thickBot="1" x14ac:dyDescent="0.3">
      <c r="A91" s="35">
        <v>41979</v>
      </c>
      <c r="B91" s="36" t="s">
        <v>6</v>
      </c>
      <c r="C91" s="36" t="s">
        <v>7</v>
      </c>
      <c r="D91" s="37">
        <v>8.75</v>
      </c>
      <c r="E91" s="38" t="s">
        <v>6074</v>
      </c>
      <c r="F91" s="37" t="s">
        <v>6073</v>
      </c>
    </row>
    <row r="92" spans="1:6" ht="15.75" thickBot="1" x14ac:dyDescent="0.3">
      <c r="A92" s="35">
        <v>41979</v>
      </c>
      <c r="B92" s="36" t="s">
        <v>6</v>
      </c>
      <c r="C92" s="36" t="s">
        <v>6</v>
      </c>
      <c r="D92" s="37">
        <v>8.5</v>
      </c>
      <c r="E92" s="38" t="s">
        <v>7464</v>
      </c>
      <c r="F92" s="37" t="s">
        <v>7463</v>
      </c>
    </row>
    <row r="93" spans="1:6" ht="15.75" thickBot="1" x14ac:dyDescent="0.3">
      <c r="A93" s="35">
        <v>41979</v>
      </c>
      <c r="B93" s="36" t="s">
        <v>6</v>
      </c>
      <c r="C93" s="36" t="s">
        <v>7</v>
      </c>
      <c r="D93" s="37">
        <v>14</v>
      </c>
      <c r="E93" s="38" t="s">
        <v>8252</v>
      </c>
      <c r="F93" s="37" t="s">
        <v>8251</v>
      </c>
    </row>
    <row r="94" spans="1:6" ht="15.75" thickBot="1" x14ac:dyDescent="0.3">
      <c r="A94" s="35">
        <v>41979</v>
      </c>
      <c r="B94" s="36" t="s">
        <v>7</v>
      </c>
      <c r="C94" s="36" t="s">
        <v>7</v>
      </c>
      <c r="D94" s="37">
        <v>6.5</v>
      </c>
      <c r="E94" s="38" t="s">
        <v>7544</v>
      </c>
      <c r="F94" s="37" t="s">
        <v>7543</v>
      </c>
    </row>
    <row r="95" spans="1:6" ht="15.75" thickBot="1" x14ac:dyDescent="0.3">
      <c r="A95" s="35">
        <v>41979</v>
      </c>
      <c r="B95" s="36" t="s">
        <v>6</v>
      </c>
      <c r="C95" s="36" t="s">
        <v>7</v>
      </c>
      <c r="D95" s="37">
        <v>7</v>
      </c>
      <c r="E95" s="38" t="s">
        <v>6410</v>
      </c>
      <c r="F95" s="37" t="s">
        <v>6409</v>
      </c>
    </row>
    <row r="96" spans="1:6" ht="15.75" thickBot="1" x14ac:dyDescent="0.3">
      <c r="A96" s="35">
        <v>41979</v>
      </c>
      <c r="B96" s="36" t="s">
        <v>6</v>
      </c>
      <c r="C96" s="36" t="s">
        <v>6</v>
      </c>
      <c r="D96" s="37">
        <v>5.5</v>
      </c>
      <c r="E96" s="38" t="s">
        <v>5745</v>
      </c>
      <c r="F96" s="37" t="s">
        <v>5744</v>
      </c>
    </row>
    <row r="97" spans="1:6" ht="15.75" thickBot="1" x14ac:dyDescent="0.3">
      <c r="A97" s="35">
        <v>41979</v>
      </c>
      <c r="B97" s="36" t="s">
        <v>6</v>
      </c>
      <c r="C97" s="36" t="s">
        <v>6</v>
      </c>
      <c r="D97" s="37">
        <v>13.25</v>
      </c>
      <c r="E97" s="38" t="s">
        <v>4768</v>
      </c>
      <c r="F97" s="37" t="s">
        <v>4767</v>
      </c>
    </row>
    <row r="98" spans="1:6" ht="15.75" thickBot="1" x14ac:dyDescent="0.3">
      <c r="A98" s="35">
        <v>41979</v>
      </c>
      <c r="B98" s="36" t="s">
        <v>6</v>
      </c>
      <c r="C98" s="36" t="s">
        <v>7</v>
      </c>
      <c r="D98" s="37">
        <v>14.25</v>
      </c>
      <c r="E98" s="38" t="s">
        <v>8956</v>
      </c>
      <c r="F98" s="37" t="s">
        <v>8955</v>
      </c>
    </row>
    <row r="99" spans="1:6" ht="15.75" thickBot="1" x14ac:dyDescent="0.3">
      <c r="A99" s="35">
        <v>41979</v>
      </c>
      <c r="B99" s="36" t="s">
        <v>6</v>
      </c>
      <c r="C99" s="36" t="s">
        <v>7</v>
      </c>
      <c r="D99" s="37">
        <v>15.75</v>
      </c>
      <c r="E99" s="38" t="s">
        <v>8877</v>
      </c>
      <c r="F99" s="37" t="s">
        <v>8876</v>
      </c>
    </row>
    <row r="100" spans="1:6" ht="15.75" thickBot="1" x14ac:dyDescent="0.3">
      <c r="A100" s="35">
        <v>41979</v>
      </c>
      <c r="B100" s="36" t="s">
        <v>6</v>
      </c>
      <c r="C100" s="36" t="s">
        <v>7</v>
      </c>
      <c r="D100" s="37">
        <v>19.25</v>
      </c>
      <c r="E100" s="38" t="s">
        <v>5074</v>
      </c>
      <c r="F100" s="37" t="s">
        <v>5073</v>
      </c>
    </row>
    <row r="101" spans="1:6" ht="15.75" thickBot="1" x14ac:dyDescent="0.3">
      <c r="A101" s="35">
        <v>41979</v>
      </c>
      <c r="B101" s="36" t="s">
        <v>6</v>
      </c>
      <c r="C101" s="36" t="s">
        <v>6</v>
      </c>
      <c r="D101" s="37">
        <v>10</v>
      </c>
      <c r="E101" s="38" t="s">
        <v>4594</v>
      </c>
      <c r="F101" s="37" t="s">
        <v>4593</v>
      </c>
    </row>
    <row r="102" spans="1:6" ht="15.75" thickBot="1" x14ac:dyDescent="0.3">
      <c r="A102" s="35">
        <v>41979</v>
      </c>
      <c r="B102" s="36" t="s">
        <v>6</v>
      </c>
      <c r="C102" s="36" t="s">
        <v>6</v>
      </c>
      <c r="D102" s="37">
        <v>13.5</v>
      </c>
      <c r="E102" s="38" t="s">
        <v>7755</v>
      </c>
      <c r="F102" s="37" t="s">
        <v>7754</v>
      </c>
    </row>
    <row r="103" spans="1:6" ht="15.75" thickBot="1" x14ac:dyDescent="0.3">
      <c r="A103" s="35">
        <v>41979</v>
      </c>
      <c r="B103" s="36" t="s">
        <v>6</v>
      </c>
      <c r="C103" s="36" t="s">
        <v>6</v>
      </c>
      <c r="D103" s="37">
        <v>9.75</v>
      </c>
      <c r="E103" s="38" t="s">
        <v>4166</v>
      </c>
      <c r="F103" s="37" t="s">
        <v>4165</v>
      </c>
    </row>
    <row r="104" spans="1:6" ht="15.75" thickBot="1" x14ac:dyDescent="0.3">
      <c r="A104" s="35">
        <v>41979</v>
      </c>
      <c r="B104" s="36" t="s">
        <v>6</v>
      </c>
      <c r="C104" s="36" t="s">
        <v>7</v>
      </c>
      <c r="D104" s="37">
        <v>8.5</v>
      </c>
      <c r="E104" s="38" t="s">
        <v>6477</v>
      </c>
      <c r="F104" s="37" t="s">
        <v>6476</v>
      </c>
    </row>
    <row r="105" spans="1:6" ht="15.75" thickBot="1" x14ac:dyDescent="0.3">
      <c r="A105" s="35">
        <v>41979</v>
      </c>
      <c r="B105" s="36" t="s">
        <v>6</v>
      </c>
      <c r="C105" s="36" t="s">
        <v>7</v>
      </c>
      <c r="D105" s="37">
        <v>4.9400000000000004</v>
      </c>
      <c r="E105" s="38" t="s">
        <v>10647</v>
      </c>
      <c r="F105" s="37" t="s">
        <v>10646</v>
      </c>
    </row>
    <row r="106" spans="1:6" ht="15.75" thickBot="1" x14ac:dyDescent="0.3">
      <c r="A106" s="31">
        <v>41979</v>
      </c>
      <c r="B106" s="36" t="s">
        <v>6</v>
      </c>
      <c r="C106" s="36" t="s">
        <v>6</v>
      </c>
      <c r="D106" s="36">
        <v>4.75</v>
      </c>
      <c r="E106" s="38" t="s">
        <v>4008</v>
      </c>
      <c r="F106" s="36" t="s">
        <v>11836</v>
      </c>
    </row>
    <row r="107" spans="1:6" ht="15.75" thickBot="1" x14ac:dyDescent="0.3">
      <c r="A107" s="31">
        <v>41979</v>
      </c>
      <c r="B107" s="36" t="s">
        <v>7</v>
      </c>
      <c r="C107" s="36" t="s">
        <v>7</v>
      </c>
      <c r="D107" s="36">
        <v>5</v>
      </c>
      <c r="E107" s="38" t="s">
        <v>6053</v>
      </c>
      <c r="F107" s="36" t="s">
        <v>11834</v>
      </c>
    </row>
    <row r="108" spans="1:6" ht="15.75" thickBot="1" x14ac:dyDescent="0.3">
      <c r="A108" s="31">
        <v>41979</v>
      </c>
      <c r="B108" s="36" t="s">
        <v>7</v>
      </c>
      <c r="C108" s="36" t="s">
        <v>7</v>
      </c>
      <c r="D108" s="36">
        <v>6.5</v>
      </c>
      <c r="E108" s="38" t="s">
        <v>5838</v>
      </c>
      <c r="F108" s="37" t="s">
        <v>11835</v>
      </c>
    </row>
    <row r="109" spans="1:6" ht="15.75" thickBot="1" x14ac:dyDescent="0.3">
      <c r="A109" s="31">
        <v>41979</v>
      </c>
      <c r="B109" s="36" t="s">
        <v>7</v>
      </c>
      <c r="C109" s="36" t="s">
        <v>6</v>
      </c>
      <c r="D109" s="36">
        <v>5</v>
      </c>
      <c r="E109" s="38" t="s">
        <v>9319</v>
      </c>
      <c r="F109" s="36" t="s">
        <v>9318</v>
      </c>
    </row>
    <row r="110" spans="1:6" ht="15.75" thickBot="1" x14ac:dyDescent="0.3">
      <c r="A110" s="31">
        <v>41979</v>
      </c>
      <c r="B110" s="36" t="s">
        <v>7</v>
      </c>
      <c r="C110" s="36" t="s">
        <v>6</v>
      </c>
      <c r="D110" s="36">
        <v>3.75</v>
      </c>
      <c r="E110" s="38" t="s">
        <v>9257</v>
      </c>
      <c r="F110" s="36" t="s">
        <v>9256</v>
      </c>
    </row>
    <row r="111" spans="1:6" ht="15.75" thickBot="1" x14ac:dyDescent="0.3">
      <c r="A111" s="31">
        <v>41979</v>
      </c>
      <c r="B111" s="36" t="s">
        <v>7</v>
      </c>
      <c r="C111" s="36" t="s">
        <v>7</v>
      </c>
      <c r="D111" s="36">
        <v>8.75</v>
      </c>
      <c r="E111" s="38" t="s">
        <v>9317</v>
      </c>
      <c r="F111" s="36" t="s">
        <v>9316</v>
      </c>
    </row>
    <row r="112" spans="1:6" ht="15.75" thickBot="1" x14ac:dyDescent="0.3">
      <c r="A112" s="35">
        <v>41980</v>
      </c>
      <c r="B112" s="36" t="s">
        <v>6</v>
      </c>
      <c r="C112" s="36" t="s">
        <v>7</v>
      </c>
      <c r="D112" s="37">
        <v>7</v>
      </c>
      <c r="E112" s="38" t="s">
        <v>9644</v>
      </c>
      <c r="F112" s="37" t="s">
        <v>9643</v>
      </c>
    </row>
    <row r="113" spans="1:6" ht="15.75" thickBot="1" x14ac:dyDescent="0.3">
      <c r="A113" s="35">
        <v>41980</v>
      </c>
      <c r="B113" s="36" t="s">
        <v>6</v>
      </c>
      <c r="C113" s="36" t="s">
        <v>6</v>
      </c>
      <c r="D113" s="37">
        <v>8.5</v>
      </c>
      <c r="E113" s="38" t="s">
        <v>10197</v>
      </c>
      <c r="F113" s="37" t="s">
        <v>10196</v>
      </c>
    </row>
    <row r="114" spans="1:6" ht="15.75" thickBot="1" x14ac:dyDescent="0.3">
      <c r="A114" s="35">
        <v>41980</v>
      </c>
      <c r="B114" s="36" t="s">
        <v>6</v>
      </c>
      <c r="C114" s="36" t="s">
        <v>6</v>
      </c>
      <c r="D114" s="37">
        <v>4</v>
      </c>
      <c r="E114" s="38" t="s">
        <v>4188</v>
      </c>
      <c r="F114" s="37" t="s">
        <v>4187</v>
      </c>
    </row>
    <row r="115" spans="1:6" ht="15.75" thickBot="1" x14ac:dyDescent="0.3">
      <c r="A115" s="35">
        <v>41980</v>
      </c>
      <c r="B115" s="36" t="s">
        <v>6</v>
      </c>
      <c r="C115" s="36" t="s">
        <v>7</v>
      </c>
      <c r="D115" s="37">
        <v>12</v>
      </c>
      <c r="E115" s="38" t="s">
        <v>5255</v>
      </c>
      <c r="F115" s="37" t="s">
        <v>5254</v>
      </c>
    </row>
    <row r="116" spans="1:6" ht="15.75" thickBot="1" x14ac:dyDescent="0.3">
      <c r="A116" s="31">
        <v>41981</v>
      </c>
      <c r="B116" s="36" t="s">
        <v>7</v>
      </c>
      <c r="C116" s="36" t="s">
        <v>7</v>
      </c>
      <c r="D116" s="36">
        <v>3.75</v>
      </c>
      <c r="E116" s="38" t="s">
        <v>11721</v>
      </c>
      <c r="F116" s="36" t="s">
        <v>11837</v>
      </c>
    </row>
    <row r="117" spans="1:6" ht="15.75" thickBot="1" x14ac:dyDescent="0.3">
      <c r="A117" s="31">
        <v>41981</v>
      </c>
      <c r="B117" s="36" t="s">
        <v>7</v>
      </c>
      <c r="C117" s="36" t="s">
        <v>7</v>
      </c>
      <c r="D117" s="36">
        <v>4.335</v>
      </c>
      <c r="E117" s="38" t="s">
        <v>11578</v>
      </c>
      <c r="F117" s="36" t="s">
        <v>11838</v>
      </c>
    </row>
    <row r="118" spans="1:6" ht="15.75" thickBot="1" x14ac:dyDescent="0.3">
      <c r="A118" s="31">
        <v>41981</v>
      </c>
      <c r="B118" s="36" t="s">
        <v>6</v>
      </c>
      <c r="C118" s="36" t="s">
        <v>6</v>
      </c>
      <c r="D118" s="36">
        <v>6.12</v>
      </c>
      <c r="E118" s="38" t="s">
        <v>11538</v>
      </c>
      <c r="F118" s="36" t="s">
        <v>11537</v>
      </c>
    </row>
    <row r="119" spans="1:6" ht="15.75" thickBot="1" x14ac:dyDescent="0.3">
      <c r="A119" s="31">
        <v>41981</v>
      </c>
      <c r="B119" s="36" t="s">
        <v>7</v>
      </c>
      <c r="C119" s="36" t="s">
        <v>7</v>
      </c>
      <c r="D119" s="36">
        <v>7.25</v>
      </c>
      <c r="E119" s="38" t="s">
        <v>11686</v>
      </c>
      <c r="F119" s="39" t="s">
        <v>11843</v>
      </c>
    </row>
    <row r="120" spans="1:6" ht="15.75" thickBot="1" x14ac:dyDescent="0.3">
      <c r="A120" s="31">
        <v>41981</v>
      </c>
      <c r="B120" s="36" t="s">
        <v>6</v>
      </c>
      <c r="C120" s="36" t="s">
        <v>6</v>
      </c>
      <c r="D120" s="36">
        <v>5.3550000000000004</v>
      </c>
      <c r="E120" s="38" t="s">
        <v>11710</v>
      </c>
      <c r="F120" s="39" t="s">
        <v>11844</v>
      </c>
    </row>
    <row r="121" spans="1:6" ht="15.75" thickBot="1" x14ac:dyDescent="0.3">
      <c r="A121" s="31">
        <v>41981</v>
      </c>
      <c r="B121" s="36" t="s">
        <v>7</v>
      </c>
      <c r="C121" s="36" t="s">
        <v>7</v>
      </c>
      <c r="D121" s="36">
        <v>4.75</v>
      </c>
      <c r="E121" s="38" t="s">
        <v>11653</v>
      </c>
      <c r="F121" s="36" t="s">
        <v>11845</v>
      </c>
    </row>
    <row r="122" spans="1:6" ht="15.75" thickBot="1" x14ac:dyDescent="0.3">
      <c r="A122" s="31">
        <v>41981</v>
      </c>
      <c r="B122" s="36" t="s">
        <v>6</v>
      </c>
      <c r="C122" s="36" t="s">
        <v>6</v>
      </c>
      <c r="D122" s="36">
        <v>4.75</v>
      </c>
      <c r="E122" s="38" t="s">
        <v>11751</v>
      </c>
      <c r="F122" s="36" t="s">
        <v>11970</v>
      </c>
    </row>
    <row r="123" spans="1:6" ht="15.75" thickBot="1" x14ac:dyDescent="0.3">
      <c r="A123" s="35">
        <v>41981</v>
      </c>
      <c r="B123" s="36" t="s">
        <v>7</v>
      </c>
      <c r="C123" s="36" t="s">
        <v>6</v>
      </c>
      <c r="D123" s="36">
        <v>8.5</v>
      </c>
      <c r="E123" s="38" t="s">
        <v>11739</v>
      </c>
      <c r="F123" s="36" t="s">
        <v>11839</v>
      </c>
    </row>
    <row r="124" spans="1:6" ht="15.75" thickBot="1" x14ac:dyDescent="0.3">
      <c r="A124" s="35">
        <v>41981</v>
      </c>
      <c r="B124" s="36" t="s">
        <v>7</v>
      </c>
      <c r="C124" s="36" t="s">
        <v>7</v>
      </c>
      <c r="D124" s="36">
        <v>3.75</v>
      </c>
      <c r="E124" s="38" t="s">
        <v>11548</v>
      </c>
      <c r="F124" s="36" t="s">
        <v>11840</v>
      </c>
    </row>
    <row r="125" spans="1:6" ht="15.75" thickBot="1" x14ac:dyDescent="0.3">
      <c r="A125" s="35">
        <v>41981</v>
      </c>
      <c r="B125" s="36" t="s">
        <v>7</v>
      </c>
      <c r="C125" s="36" t="s">
        <v>7</v>
      </c>
      <c r="D125" s="36">
        <v>6</v>
      </c>
      <c r="E125" s="38" t="s">
        <v>11803</v>
      </c>
      <c r="F125" s="36" t="s">
        <v>11841</v>
      </c>
    </row>
    <row r="126" spans="1:6" ht="15.75" thickBot="1" x14ac:dyDescent="0.3">
      <c r="A126" s="35">
        <v>41981</v>
      </c>
      <c r="B126" s="36" t="s">
        <v>7</v>
      </c>
      <c r="C126" s="36" t="s">
        <v>6</v>
      </c>
      <c r="D126" s="36">
        <v>7.25</v>
      </c>
      <c r="E126" s="38" t="s">
        <v>11540</v>
      </c>
      <c r="F126" s="36" t="s">
        <v>11966</v>
      </c>
    </row>
    <row r="127" spans="1:6" ht="15.75" thickBot="1" x14ac:dyDescent="0.3">
      <c r="A127" s="31">
        <v>41981</v>
      </c>
      <c r="B127" s="36" t="s">
        <v>7</v>
      </c>
      <c r="C127" s="36" t="s">
        <v>7</v>
      </c>
      <c r="D127" s="36">
        <v>4</v>
      </c>
      <c r="E127" s="38" t="s">
        <v>11607</v>
      </c>
      <c r="F127" s="36" t="s">
        <v>11846</v>
      </c>
    </row>
    <row r="128" spans="1:6" ht="15.75" thickBot="1" x14ac:dyDescent="0.3">
      <c r="A128" s="31">
        <v>41981</v>
      </c>
      <c r="B128" s="36" t="s">
        <v>7</v>
      </c>
      <c r="C128" s="36" t="s">
        <v>7</v>
      </c>
      <c r="D128" s="36">
        <v>11.25</v>
      </c>
      <c r="E128" s="38" t="s">
        <v>11552</v>
      </c>
      <c r="F128" s="36" t="s">
        <v>11551</v>
      </c>
    </row>
    <row r="129" spans="1:6" ht="15.75" thickBot="1" x14ac:dyDescent="0.3">
      <c r="A129" s="31">
        <v>41982</v>
      </c>
      <c r="B129" s="36" t="s">
        <v>7</v>
      </c>
      <c r="C129" s="36" t="s">
        <v>7</v>
      </c>
      <c r="D129" s="36">
        <v>6</v>
      </c>
      <c r="E129" s="38" t="s">
        <v>11614</v>
      </c>
      <c r="F129" s="36" t="s">
        <v>11847</v>
      </c>
    </row>
    <row r="130" spans="1:6" ht="15.75" thickBot="1" x14ac:dyDescent="0.3">
      <c r="A130" s="31">
        <v>41982</v>
      </c>
      <c r="B130" s="36" t="s">
        <v>7</v>
      </c>
      <c r="C130" s="36" t="s">
        <v>6</v>
      </c>
      <c r="D130" s="36">
        <v>10.75</v>
      </c>
      <c r="E130" s="38" t="s">
        <v>11809</v>
      </c>
      <c r="F130" s="36" t="s">
        <v>11851</v>
      </c>
    </row>
    <row r="131" spans="1:6" ht="15.75" thickBot="1" x14ac:dyDescent="0.3">
      <c r="A131" s="35">
        <v>41982</v>
      </c>
      <c r="B131" s="36" t="s">
        <v>7</v>
      </c>
      <c r="C131" s="36" t="s">
        <v>7</v>
      </c>
      <c r="D131" s="36">
        <v>2.5</v>
      </c>
      <c r="E131" s="38" t="s">
        <v>11591</v>
      </c>
      <c r="F131" s="36" t="s">
        <v>11590</v>
      </c>
    </row>
    <row r="132" spans="1:6" ht="15.75" thickBot="1" x14ac:dyDescent="0.3">
      <c r="A132" s="35">
        <v>41982</v>
      </c>
      <c r="B132" s="36" t="s">
        <v>7</v>
      </c>
      <c r="C132" s="36" t="s">
        <v>7</v>
      </c>
      <c r="D132" s="36">
        <v>9</v>
      </c>
      <c r="E132" s="38" t="s">
        <v>11641</v>
      </c>
      <c r="F132" s="36" t="s">
        <v>11849</v>
      </c>
    </row>
    <row r="133" spans="1:6" ht="15.75" thickBot="1" x14ac:dyDescent="0.3">
      <c r="A133" s="35">
        <v>41982</v>
      </c>
      <c r="B133" s="36" t="s">
        <v>7</v>
      </c>
      <c r="C133" s="36" t="s">
        <v>7</v>
      </c>
      <c r="D133" s="36">
        <v>2.75</v>
      </c>
      <c r="E133" s="38" t="s">
        <v>11635</v>
      </c>
      <c r="F133" s="36" t="s">
        <v>11848</v>
      </c>
    </row>
    <row r="134" spans="1:6" ht="15.75" thickBot="1" x14ac:dyDescent="0.3">
      <c r="A134" s="31">
        <v>41982</v>
      </c>
      <c r="B134" s="36" t="s">
        <v>7</v>
      </c>
      <c r="C134" s="36" t="s">
        <v>7</v>
      </c>
      <c r="D134" s="36">
        <v>5.5</v>
      </c>
      <c r="E134" s="38" t="s">
        <v>11645</v>
      </c>
      <c r="F134" s="36" t="s">
        <v>11644</v>
      </c>
    </row>
    <row r="135" spans="1:6" ht="15.75" thickBot="1" x14ac:dyDescent="0.3">
      <c r="A135" s="31">
        <v>41982</v>
      </c>
      <c r="B135" s="36" t="s">
        <v>6</v>
      </c>
      <c r="C135" s="36" t="s">
        <v>6</v>
      </c>
      <c r="D135" s="36">
        <v>5.5</v>
      </c>
      <c r="E135" s="38" t="s">
        <v>11587</v>
      </c>
      <c r="F135" s="36" t="s">
        <v>11852</v>
      </c>
    </row>
    <row r="136" spans="1:6" ht="15.75" thickBot="1" x14ac:dyDescent="0.3">
      <c r="A136" s="31">
        <v>41982</v>
      </c>
      <c r="B136" s="36" t="s">
        <v>6</v>
      </c>
      <c r="C136" s="36" t="s">
        <v>6</v>
      </c>
      <c r="D136" s="36">
        <v>5</v>
      </c>
      <c r="E136" s="38" t="s">
        <v>11731</v>
      </c>
      <c r="F136" s="36" t="s">
        <v>11853</v>
      </c>
    </row>
    <row r="137" spans="1:6" ht="15.75" thickBot="1" x14ac:dyDescent="0.3">
      <c r="A137" s="31">
        <v>41983</v>
      </c>
      <c r="B137" s="36" t="s">
        <v>7</v>
      </c>
      <c r="C137" s="36" t="s">
        <v>7</v>
      </c>
      <c r="D137" s="36">
        <v>9</v>
      </c>
      <c r="E137" s="38" t="s">
        <v>11791</v>
      </c>
      <c r="F137" s="36" t="s">
        <v>11854</v>
      </c>
    </row>
    <row r="138" spans="1:6" ht="15.75" thickBot="1" x14ac:dyDescent="0.3">
      <c r="A138" s="31">
        <v>41983</v>
      </c>
      <c r="B138" s="36" t="s">
        <v>7</v>
      </c>
      <c r="C138" s="36" t="s">
        <v>7</v>
      </c>
      <c r="D138" s="36">
        <v>11</v>
      </c>
      <c r="E138" s="38" t="s">
        <v>11697</v>
      </c>
      <c r="F138" s="36" t="s">
        <v>11860</v>
      </c>
    </row>
    <row r="139" spans="1:6" ht="15.75" thickBot="1" x14ac:dyDescent="0.3">
      <c r="A139" s="31">
        <v>41983</v>
      </c>
      <c r="B139" s="36" t="s">
        <v>7</v>
      </c>
      <c r="C139" s="36" t="s">
        <v>6</v>
      </c>
      <c r="D139" s="36">
        <v>8.5</v>
      </c>
      <c r="E139" s="38" t="s">
        <v>11671</v>
      </c>
      <c r="F139" s="36" t="s">
        <v>11862</v>
      </c>
    </row>
    <row r="140" spans="1:6" ht="15.75" thickBot="1" x14ac:dyDescent="0.3">
      <c r="A140" s="31">
        <v>41983</v>
      </c>
      <c r="B140" s="36" t="s">
        <v>6</v>
      </c>
      <c r="C140" s="36" t="s">
        <v>6</v>
      </c>
      <c r="D140" s="36">
        <v>9.5</v>
      </c>
      <c r="E140" s="38" t="s">
        <v>11643</v>
      </c>
      <c r="F140" s="36" t="s">
        <v>11863</v>
      </c>
    </row>
    <row r="141" spans="1:6" ht="15.75" thickBot="1" x14ac:dyDescent="0.3">
      <c r="A141" s="35">
        <v>41983</v>
      </c>
      <c r="B141" s="36" t="s">
        <v>7</v>
      </c>
      <c r="C141" s="36" t="s">
        <v>7</v>
      </c>
      <c r="D141" s="36">
        <v>3.36</v>
      </c>
      <c r="E141" s="38" t="s">
        <v>11660</v>
      </c>
      <c r="F141" s="36" t="s">
        <v>11858</v>
      </c>
    </row>
    <row r="142" spans="1:6" ht="15.75" thickBot="1" x14ac:dyDescent="0.3">
      <c r="A142" s="35">
        <v>41983</v>
      </c>
      <c r="B142" s="36" t="s">
        <v>7</v>
      </c>
      <c r="C142" s="36" t="s">
        <v>6</v>
      </c>
      <c r="D142" s="37">
        <v>5.25</v>
      </c>
      <c r="E142" s="38" t="s">
        <v>11747</v>
      </c>
      <c r="F142" s="37" t="s">
        <v>11746</v>
      </c>
    </row>
    <row r="143" spans="1:6" ht="15.75" thickBot="1" x14ac:dyDescent="0.3">
      <c r="A143" s="35">
        <v>41983</v>
      </c>
      <c r="B143" s="36" t="s">
        <v>7</v>
      </c>
      <c r="C143" s="36" t="s">
        <v>6</v>
      </c>
      <c r="D143" s="36">
        <v>4.25</v>
      </c>
      <c r="E143" s="38" t="s">
        <v>11785</v>
      </c>
      <c r="F143" s="37" t="s">
        <v>11784</v>
      </c>
    </row>
    <row r="144" spans="1:6" ht="15.75" thickBot="1" x14ac:dyDescent="0.3">
      <c r="A144" s="35">
        <v>41983</v>
      </c>
      <c r="B144" s="36" t="s">
        <v>6</v>
      </c>
      <c r="C144" s="36" t="s">
        <v>7</v>
      </c>
      <c r="D144" s="37">
        <v>6.25</v>
      </c>
      <c r="E144" s="38" t="s">
        <v>11735</v>
      </c>
      <c r="F144" s="37" t="s">
        <v>11734</v>
      </c>
    </row>
    <row r="145" spans="1:6" ht="15.75" thickBot="1" x14ac:dyDescent="0.3">
      <c r="A145" s="35">
        <v>41983</v>
      </c>
      <c r="B145" s="36" t="s">
        <v>6</v>
      </c>
      <c r="C145" s="36" t="s">
        <v>6</v>
      </c>
      <c r="D145" s="37">
        <v>7.5</v>
      </c>
      <c r="E145" s="38" t="s">
        <v>11616</v>
      </c>
      <c r="F145" s="37" t="s">
        <v>11615</v>
      </c>
    </row>
    <row r="146" spans="1:6" ht="15.75" thickBot="1" x14ac:dyDescent="0.3">
      <c r="A146" s="35">
        <v>41983</v>
      </c>
      <c r="B146" s="36" t="s">
        <v>7</v>
      </c>
      <c r="C146" s="36" t="s">
        <v>7</v>
      </c>
      <c r="D146" s="36">
        <v>8</v>
      </c>
      <c r="E146" s="38" t="s">
        <v>11617</v>
      </c>
      <c r="F146" s="36" t="s">
        <v>11857</v>
      </c>
    </row>
    <row r="147" spans="1:6" ht="15.75" thickBot="1" x14ac:dyDescent="0.3">
      <c r="A147" s="31">
        <v>41983</v>
      </c>
      <c r="B147" s="36" t="s">
        <v>7</v>
      </c>
      <c r="C147" s="36" t="s">
        <v>7</v>
      </c>
      <c r="D147" s="36">
        <v>11</v>
      </c>
      <c r="E147" s="38" t="s">
        <v>11767</v>
      </c>
      <c r="F147" s="36" t="s">
        <v>11864</v>
      </c>
    </row>
    <row r="148" spans="1:6" ht="15.75" thickBot="1" x14ac:dyDescent="0.3">
      <c r="A148" s="31">
        <v>41983</v>
      </c>
      <c r="B148" s="36" t="s">
        <v>7</v>
      </c>
      <c r="C148" s="36" t="s">
        <v>7</v>
      </c>
      <c r="D148" s="36">
        <v>8.25</v>
      </c>
      <c r="E148" s="38" t="s">
        <v>11554</v>
      </c>
      <c r="F148" s="36" t="s">
        <v>11553</v>
      </c>
    </row>
    <row r="149" spans="1:6" ht="15.75" thickBot="1" x14ac:dyDescent="0.3">
      <c r="A149" s="31">
        <v>41983</v>
      </c>
      <c r="B149" s="36" t="s">
        <v>7</v>
      </c>
      <c r="C149" s="36" t="s">
        <v>7</v>
      </c>
      <c r="D149" s="36">
        <v>8</v>
      </c>
      <c r="E149" s="38" t="s">
        <v>11603</v>
      </c>
      <c r="F149" s="36" t="s">
        <v>11602</v>
      </c>
    </row>
    <row r="150" spans="1:6" ht="15.75" thickBot="1" x14ac:dyDescent="0.3">
      <c r="A150" s="31">
        <v>41984</v>
      </c>
      <c r="B150" s="36" t="s">
        <v>7</v>
      </c>
      <c r="C150" s="36" t="s">
        <v>7</v>
      </c>
      <c r="D150" s="36">
        <v>14.25</v>
      </c>
      <c r="E150" s="38" t="s">
        <v>11572</v>
      </c>
      <c r="F150" s="36" t="s">
        <v>11866</v>
      </c>
    </row>
    <row r="151" spans="1:6" ht="15.75" thickBot="1" x14ac:dyDescent="0.3">
      <c r="A151" s="31">
        <v>41984</v>
      </c>
      <c r="B151" s="36" t="s">
        <v>7</v>
      </c>
      <c r="C151" s="36" t="s">
        <v>7</v>
      </c>
      <c r="D151" s="36">
        <v>2.04</v>
      </c>
      <c r="E151" s="38" t="s">
        <v>11702</v>
      </c>
      <c r="F151" s="37" t="s">
        <v>11952</v>
      </c>
    </row>
    <row r="152" spans="1:6" ht="15.75" thickBot="1" x14ac:dyDescent="0.3">
      <c r="A152" s="35">
        <v>41984</v>
      </c>
      <c r="B152" s="36" t="s">
        <v>6</v>
      </c>
      <c r="C152" s="36" t="s">
        <v>6</v>
      </c>
      <c r="D152" s="37">
        <v>12.5</v>
      </c>
      <c r="E152" s="38" t="s">
        <v>11781</v>
      </c>
      <c r="F152" s="37" t="s">
        <v>11780</v>
      </c>
    </row>
    <row r="153" spans="1:6" ht="15.75" thickBot="1" x14ac:dyDescent="0.3">
      <c r="A153" s="31">
        <v>41984</v>
      </c>
      <c r="B153" s="36" t="s">
        <v>7</v>
      </c>
      <c r="C153" s="36" t="s">
        <v>6</v>
      </c>
      <c r="D153" s="36">
        <v>3</v>
      </c>
      <c r="E153" s="38" t="s">
        <v>11706</v>
      </c>
      <c r="F153" s="36" t="s">
        <v>11705</v>
      </c>
    </row>
    <row r="154" spans="1:6" ht="15.75" thickBot="1" x14ac:dyDescent="0.3">
      <c r="A154" s="31">
        <v>41984</v>
      </c>
      <c r="B154" s="36" t="s">
        <v>7</v>
      </c>
      <c r="C154" s="36" t="s">
        <v>7</v>
      </c>
      <c r="D154" s="37">
        <v>4</v>
      </c>
      <c r="E154" s="38" t="s">
        <v>11589</v>
      </c>
      <c r="F154" s="36" t="s">
        <v>11588</v>
      </c>
    </row>
    <row r="155" spans="1:6" ht="15.75" thickBot="1" x14ac:dyDescent="0.3">
      <c r="A155" s="31">
        <v>41984</v>
      </c>
      <c r="B155" s="36" t="s">
        <v>7</v>
      </c>
      <c r="C155" s="36" t="s">
        <v>7</v>
      </c>
      <c r="D155" s="37">
        <v>6</v>
      </c>
      <c r="E155" s="38" t="s">
        <v>11783</v>
      </c>
      <c r="F155" s="36" t="s">
        <v>11782</v>
      </c>
    </row>
    <row r="156" spans="1:6" ht="15.75" thickBot="1" x14ac:dyDescent="0.3">
      <c r="A156" s="31">
        <v>41984</v>
      </c>
      <c r="B156" s="36" t="s">
        <v>7</v>
      </c>
      <c r="C156" s="36" t="s">
        <v>7</v>
      </c>
      <c r="D156" s="37">
        <v>2.75</v>
      </c>
      <c r="E156" s="38" t="s">
        <v>11684</v>
      </c>
      <c r="F156" s="36" t="s">
        <v>11683</v>
      </c>
    </row>
    <row r="157" spans="1:6" ht="15.75" thickBot="1" x14ac:dyDescent="0.3">
      <c r="A157" s="31">
        <v>41984</v>
      </c>
      <c r="B157" s="36" t="s">
        <v>6</v>
      </c>
      <c r="C157" s="36" t="s">
        <v>6</v>
      </c>
      <c r="D157" s="36">
        <v>8.5</v>
      </c>
      <c r="E157" s="38" t="s">
        <v>11779</v>
      </c>
      <c r="F157" s="36" t="s">
        <v>11778</v>
      </c>
    </row>
    <row r="158" spans="1:6" ht="15.75" thickBot="1" x14ac:dyDescent="0.3">
      <c r="A158" s="31">
        <v>41985</v>
      </c>
      <c r="B158" s="36" t="s">
        <v>7</v>
      </c>
      <c r="C158" s="36" t="s">
        <v>6</v>
      </c>
      <c r="D158" s="36">
        <v>13</v>
      </c>
      <c r="E158" s="38" t="s">
        <v>11667</v>
      </c>
      <c r="F158" s="39" t="s">
        <v>11867</v>
      </c>
    </row>
    <row r="159" spans="1:6" ht="15.75" thickBot="1" x14ac:dyDescent="0.3">
      <c r="A159" s="31">
        <v>41985</v>
      </c>
      <c r="B159" s="36" t="s">
        <v>6</v>
      </c>
      <c r="C159" s="36" t="s">
        <v>6</v>
      </c>
      <c r="D159" s="36">
        <v>2.86</v>
      </c>
      <c r="E159" s="38" t="s">
        <v>11799</v>
      </c>
      <c r="F159" s="36" t="s">
        <v>11949</v>
      </c>
    </row>
    <row r="160" spans="1:6" ht="15.75" thickBot="1" x14ac:dyDescent="0.3">
      <c r="A160" s="31">
        <v>41985</v>
      </c>
      <c r="B160" s="36" t="s">
        <v>7</v>
      </c>
      <c r="C160" s="36" t="s">
        <v>7</v>
      </c>
      <c r="D160" s="36">
        <v>6.5</v>
      </c>
      <c r="E160" s="38" t="s">
        <v>11562</v>
      </c>
      <c r="F160" s="36" t="s">
        <v>11868</v>
      </c>
    </row>
    <row r="161" spans="1:6" ht="15.75" thickBot="1" x14ac:dyDescent="0.3">
      <c r="A161" s="31">
        <v>41985</v>
      </c>
      <c r="B161" s="36" t="s">
        <v>6</v>
      </c>
      <c r="C161" s="36" t="s">
        <v>6</v>
      </c>
      <c r="D161" s="36">
        <v>10.5</v>
      </c>
      <c r="E161" s="38" t="s">
        <v>11755</v>
      </c>
      <c r="F161" s="36" t="s">
        <v>11869</v>
      </c>
    </row>
    <row r="162" spans="1:6" ht="15.75" thickBot="1" x14ac:dyDescent="0.3">
      <c r="A162" s="31">
        <v>41985</v>
      </c>
      <c r="B162" s="36" t="s">
        <v>7</v>
      </c>
      <c r="C162" s="36" t="s">
        <v>6</v>
      </c>
      <c r="D162" s="36">
        <v>6.8849999999999998</v>
      </c>
      <c r="E162" s="38" t="s">
        <v>11637</v>
      </c>
      <c r="F162" s="36" t="s">
        <v>11870</v>
      </c>
    </row>
    <row r="163" spans="1:6" ht="15.75" thickBot="1" x14ac:dyDescent="0.3">
      <c r="A163" s="31">
        <v>41985</v>
      </c>
      <c r="B163" s="36" t="s">
        <v>7</v>
      </c>
      <c r="C163" s="36" t="s">
        <v>7</v>
      </c>
      <c r="D163" s="36">
        <v>7.5</v>
      </c>
      <c r="E163" s="38" t="s">
        <v>11585</v>
      </c>
      <c r="F163" s="36" t="s">
        <v>11871</v>
      </c>
    </row>
    <row r="164" spans="1:6" ht="15.75" thickBot="1" x14ac:dyDescent="0.3">
      <c r="A164" s="35">
        <v>41985</v>
      </c>
      <c r="B164" s="36" t="s">
        <v>6</v>
      </c>
      <c r="C164" s="36" t="s">
        <v>6</v>
      </c>
      <c r="D164" s="37">
        <v>7</v>
      </c>
      <c r="E164" s="38" t="s">
        <v>11789</v>
      </c>
      <c r="F164" s="37" t="s">
        <v>11788</v>
      </c>
    </row>
    <row r="165" spans="1:6" ht="15.75" thickBot="1" x14ac:dyDescent="0.3">
      <c r="A165" s="31">
        <v>41985</v>
      </c>
      <c r="B165" s="36" t="s">
        <v>7</v>
      </c>
      <c r="C165" s="36" t="s">
        <v>7</v>
      </c>
      <c r="D165" s="36">
        <v>4.5</v>
      </c>
      <c r="E165" s="38" t="s">
        <v>11595</v>
      </c>
      <c r="F165" s="36" t="s">
        <v>11594</v>
      </c>
    </row>
    <row r="166" spans="1:6" ht="15.75" thickBot="1" x14ac:dyDescent="0.3">
      <c r="A166" s="31">
        <v>41985</v>
      </c>
      <c r="B166" s="36" t="s">
        <v>6</v>
      </c>
      <c r="C166" s="36" t="s">
        <v>6</v>
      </c>
      <c r="D166" s="36">
        <v>6.5</v>
      </c>
      <c r="E166" s="38" t="s">
        <v>11797</v>
      </c>
      <c r="F166" s="36" t="s">
        <v>11796</v>
      </c>
    </row>
    <row r="167" spans="1:6" ht="15.75" thickBot="1" x14ac:dyDescent="0.3">
      <c r="A167" s="31">
        <v>41985</v>
      </c>
      <c r="B167" s="36" t="s">
        <v>6</v>
      </c>
      <c r="C167" s="36" t="s">
        <v>6</v>
      </c>
      <c r="D167" s="36">
        <v>9.75</v>
      </c>
      <c r="E167" s="38" t="s">
        <v>11723</v>
      </c>
      <c r="F167" s="36" t="s">
        <v>11872</v>
      </c>
    </row>
    <row r="168" spans="1:6" ht="15.75" thickBot="1" x14ac:dyDescent="0.3">
      <c r="A168" s="31">
        <v>41985</v>
      </c>
      <c r="B168" s="36" t="s">
        <v>7</v>
      </c>
      <c r="C168" s="36" t="s">
        <v>6</v>
      </c>
      <c r="D168" s="36">
        <v>3.25</v>
      </c>
      <c r="E168" s="38" t="s">
        <v>11536</v>
      </c>
      <c r="F168" s="36" t="s">
        <v>11535</v>
      </c>
    </row>
    <row r="169" spans="1:6" ht="15.75" thickBot="1" x14ac:dyDescent="0.3">
      <c r="A169" s="31">
        <v>41986</v>
      </c>
      <c r="B169" s="36" t="s">
        <v>7</v>
      </c>
      <c r="C169" s="36" t="s">
        <v>7</v>
      </c>
      <c r="D169" s="36">
        <v>3.5</v>
      </c>
      <c r="E169" s="38" t="s">
        <v>11733</v>
      </c>
      <c r="F169" s="36" t="s">
        <v>11937</v>
      </c>
    </row>
    <row r="170" spans="1:6" ht="15.75" thickBot="1" x14ac:dyDescent="0.3">
      <c r="A170" s="31">
        <v>41986</v>
      </c>
      <c r="B170" s="36" t="s">
        <v>6</v>
      </c>
      <c r="C170" s="36" t="s">
        <v>6</v>
      </c>
      <c r="D170" s="36">
        <v>3.8250000000000002</v>
      </c>
      <c r="E170" s="38" t="s">
        <v>11727</v>
      </c>
      <c r="F170" s="36" t="s">
        <v>11936</v>
      </c>
    </row>
    <row r="171" spans="1:6" ht="15.75" thickBot="1" x14ac:dyDescent="0.3">
      <c r="A171" s="31">
        <v>41986</v>
      </c>
      <c r="B171" s="36" t="s">
        <v>7</v>
      </c>
      <c r="C171" s="36" t="s">
        <v>7</v>
      </c>
      <c r="D171" s="36">
        <v>8.67</v>
      </c>
      <c r="E171" s="38" t="s">
        <v>11580</v>
      </c>
      <c r="F171" s="36" t="s">
        <v>11930</v>
      </c>
    </row>
    <row r="172" spans="1:6" ht="15.75" thickBot="1" x14ac:dyDescent="0.3">
      <c r="A172" s="31">
        <v>41986</v>
      </c>
      <c r="B172" s="36" t="s">
        <v>7</v>
      </c>
      <c r="C172" s="36" t="s">
        <v>7</v>
      </c>
      <c r="D172" s="36">
        <v>8.75</v>
      </c>
      <c r="E172" s="38" t="s">
        <v>11651</v>
      </c>
      <c r="F172" s="36" t="s">
        <v>11873</v>
      </c>
    </row>
    <row r="173" spans="1:6" ht="15.75" thickBot="1" x14ac:dyDescent="0.3">
      <c r="A173" s="31">
        <v>41986</v>
      </c>
      <c r="B173" s="36" t="s">
        <v>7</v>
      </c>
      <c r="C173" s="36" t="s">
        <v>6</v>
      </c>
      <c r="D173" s="37">
        <v>10.4</v>
      </c>
      <c r="E173" s="38" t="s">
        <v>11574</v>
      </c>
      <c r="F173" s="37" t="s">
        <v>11573</v>
      </c>
    </row>
    <row r="174" spans="1:6" ht="15.75" thickBot="1" x14ac:dyDescent="0.3">
      <c r="A174" s="31">
        <v>41986</v>
      </c>
      <c r="B174" s="36" t="s">
        <v>7</v>
      </c>
      <c r="C174" s="36" t="s">
        <v>6</v>
      </c>
      <c r="D174" s="36">
        <v>8.67</v>
      </c>
      <c r="E174" s="38" t="s">
        <v>11639</v>
      </c>
      <c r="F174" s="36" t="s">
        <v>11874</v>
      </c>
    </row>
    <row r="175" spans="1:6" ht="15.75" thickBot="1" x14ac:dyDescent="0.3">
      <c r="A175" s="31">
        <v>41986</v>
      </c>
      <c r="B175" s="36" t="s">
        <v>7</v>
      </c>
      <c r="C175" s="36" t="s">
        <v>6</v>
      </c>
      <c r="D175" s="36">
        <v>11.44</v>
      </c>
      <c r="E175" s="38" t="s">
        <v>11612</v>
      </c>
      <c r="F175" s="37" t="s">
        <v>11611</v>
      </c>
    </row>
    <row r="176" spans="1:6" ht="15.75" thickBot="1" x14ac:dyDescent="0.3">
      <c r="A176" s="31">
        <v>41986</v>
      </c>
      <c r="B176" s="36" t="s">
        <v>6</v>
      </c>
      <c r="C176" s="36" t="s">
        <v>6</v>
      </c>
      <c r="D176" s="36">
        <v>6.75</v>
      </c>
      <c r="E176" s="38" t="s">
        <v>11655</v>
      </c>
      <c r="F176" s="36" t="s">
        <v>11875</v>
      </c>
    </row>
    <row r="177" spans="1:6" ht="15.75" thickBot="1" x14ac:dyDescent="0.3">
      <c r="A177" s="31">
        <v>41986</v>
      </c>
      <c r="B177" s="36" t="s">
        <v>7</v>
      </c>
      <c r="C177" s="36" t="s">
        <v>7</v>
      </c>
      <c r="D177" s="36">
        <v>4</v>
      </c>
      <c r="E177" s="38" t="s">
        <v>11737</v>
      </c>
      <c r="F177" s="36" t="s">
        <v>11876</v>
      </c>
    </row>
    <row r="178" spans="1:6" ht="15.75" thickBot="1" x14ac:dyDescent="0.3">
      <c r="A178" s="31">
        <v>41986</v>
      </c>
      <c r="B178" s="36" t="s">
        <v>7</v>
      </c>
      <c r="C178" s="36" t="s">
        <v>7</v>
      </c>
      <c r="D178" s="36">
        <v>5.25</v>
      </c>
      <c r="E178" s="38" t="s">
        <v>11715</v>
      </c>
      <c r="F178" s="36" t="s">
        <v>11935</v>
      </c>
    </row>
    <row r="179" spans="1:6" ht="15.75" thickBot="1" x14ac:dyDescent="0.3">
      <c r="A179" s="31">
        <v>41986</v>
      </c>
      <c r="B179" s="36" t="s">
        <v>6</v>
      </c>
      <c r="C179" s="36" t="s">
        <v>6</v>
      </c>
      <c r="D179" s="36">
        <v>5.72</v>
      </c>
      <c r="E179" s="38" t="s">
        <v>11795</v>
      </c>
      <c r="F179" s="36" t="s">
        <v>11940</v>
      </c>
    </row>
    <row r="180" spans="1:6" ht="15.75" thickBot="1" x14ac:dyDescent="0.3">
      <c r="A180" s="35">
        <v>41986</v>
      </c>
      <c r="B180" s="36" t="s">
        <v>7</v>
      </c>
      <c r="C180" s="36" t="s">
        <v>6</v>
      </c>
      <c r="D180" s="37">
        <v>3</v>
      </c>
      <c r="E180" s="38" t="s">
        <v>11529</v>
      </c>
      <c r="F180" s="37" t="s">
        <v>11528</v>
      </c>
    </row>
    <row r="181" spans="1:6" ht="15.75" thickBot="1" x14ac:dyDescent="0.3">
      <c r="A181" s="35">
        <v>41986</v>
      </c>
      <c r="B181" s="36" t="s">
        <v>6</v>
      </c>
      <c r="C181" s="36" t="s">
        <v>6</v>
      </c>
      <c r="D181" s="37">
        <v>3.5</v>
      </c>
      <c r="E181" s="38" t="s">
        <v>11625</v>
      </c>
      <c r="F181" s="37" t="s">
        <v>11624</v>
      </c>
    </row>
    <row r="182" spans="1:6" ht="15.75" thickBot="1" x14ac:dyDescent="0.3">
      <c r="A182" s="35">
        <v>41986</v>
      </c>
      <c r="B182" s="36" t="s">
        <v>7</v>
      </c>
      <c r="C182" s="36" t="s">
        <v>6</v>
      </c>
      <c r="D182" s="37">
        <v>5.75</v>
      </c>
      <c r="E182" s="38" t="s">
        <v>11680</v>
      </c>
      <c r="F182" s="37" t="s">
        <v>11679</v>
      </c>
    </row>
    <row r="183" spans="1:6" ht="15.75" thickBot="1" x14ac:dyDescent="0.3">
      <c r="A183" s="35">
        <v>41986</v>
      </c>
      <c r="B183" s="36" t="s">
        <v>7</v>
      </c>
      <c r="C183" s="36" t="s">
        <v>7</v>
      </c>
      <c r="D183" s="37">
        <v>10.5</v>
      </c>
      <c r="E183" s="38" t="s">
        <v>11556</v>
      </c>
      <c r="F183" s="37" t="s">
        <v>11555</v>
      </c>
    </row>
    <row r="184" spans="1:6" ht="15.75" thickBot="1" x14ac:dyDescent="0.3">
      <c r="A184" s="31">
        <v>41986</v>
      </c>
      <c r="B184" s="36" t="s">
        <v>7</v>
      </c>
      <c r="C184" s="36" t="s">
        <v>7</v>
      </c>
      <c r="D184" s="36">
        <v>6.25</v>
      </c>
      <c r="E184" s="38" t="s">
        <v>11745</v>
      </c>
      <c r="F184" s="36" t="s">
        <v>11744</v>
      </c>
    </row>
    <row r="185" spans="1:6" ht="15.75" thickBot="1" x14ac:dyDescent="0.3">
      <c r="A185" s="31">
        <v>41986</v>
      </c>
      <c r="B185" s="36" t="s">
        <v>7</v>
      </c>
      <c r="C185" s="36" t="s">
        <v>7</v>
      </c>
      <c r="D185" s="36">
        <v>7.5</v>
      </c>
      <c r="E185" s="38" t="s">
        <v>11708</v>
      </c>
      <c r="F185" s="36" t="s">
        <v>11878</v>
      </c>
    </row>
    <row r="186" spans="1:6" ht="15.75" thickBot="1" x14ac:dyDescent="0.3">
      <c r="A186" s="31">
        <v>41986</v>
      </c>
      <c r="B186" s="36" t="s">
        <v>7</v>
      </c>
      <c r="C186" s="36" t="s">
        <v>7</v>
      </c>
      <c r="D186" s="36">
        <v>4.75</v>
      </c>
      <c r="E186" s="38" t="s">
        <v>11542</v>
      </c>
      <c r="F186" s="36" t="s">
        <v>11877</v>
      </c>
    </row>
    <row r="187" spans="1:6" ht="15.75" thickBot="1" x14ac:dyDescent="0.3">
      <c r="A187" s="31">
        <v>41986</v>
      </c>
      <c r="B187" s="36" t="s">
        <v>7</v>
      </c>
      <c r="C187" s="36" t="s">
        <v>7</v>
      </c>
      <c r="D187" s="36">
        <v>7</v>
      </c>
      <c r="E187" s="38" t="s">
        <v>11753</v>
      </c>
      <c r="F187" s="36" t="s">
        <v>11752</v>
      </c>
    </row>
    <row r="188" spans="1:6" ht="15.75" thickBot="1" x14ac:dyDescent="0.3">
      <c r="A188" s="31">
        <v>41988</v>
      </c>
      <c r="B188" s="36" t="s">
        <v>7</v>
      </c>
      <c r="C188" s="36" t="s">
        <v>7</v>
      </c>
      <c r="D188" s="36">
        <v>11.5</v>
      </c>
      <c r="E188" s="38" t="s">
        <v>11570</v>
      </c>
      <c r="F188" s="36" t="s">
        <v>11879</v>
      </c>
    </row>
    <row r="189" spans="1:6" ht="15.75" thickBot="1" x14ac:dyDescent="0.3">
      <c r="A189" s="31">
        <v>41988</v>
      </c>
      <c r="B189" s="36" t="s">
        <v>6</v>
      </c>
      <c r="C189" s="36" t="s">
        <v>6</v>
      </c>
      <c r="D189" s="36">
        <v>4</v>
      </c>
      <c r="E189" s="38" t="s">
        <v>11777</v>
      </c>
      <c r="F189" s="36" t="s">
        <v>11887</v>
      </c>
    </row>
    <row r="190" spans="1:6" ht="15.75" thickBot="1" x14ac:dyDescent="0.3">
      <c r="A190" s="31">
        <v>41988</v>
      </c>
      <c r="B190" s="36" t="s">
        <v>7</v>
      </c>
      <c r="C190" s="36" t="s">
        <v>6</v>
      </c>
      <c r="D190" s="36">
        <v>4.5</v>
      </c>
      <c r="E190" s="38" t="s">
        <v>11689</v>
      </c>
      <c r="F190" s="36" t="s">
        <v>11688</v>
      </c>
    </row>
    <row r="191" spans="1:6" ht="15.75" thickBot="1" x14ac:dyDescent="0.3">
      <c r="A191" s="31">
        <v>41988</v>
      </c>
      <c r="B191" s="36" t="s">
        <v>7</v>
      </c>
      <c r="C191" s="36" t="s">
        <v>7</v>
      </c>
      <c r="D191" s="37">
        <v>11.25</v>
      </c>
      <c r="E191" s="38" t="s">
        <v>11544</v>
      </c>
      <c r="F191" s="37" t="s">
        <v>11543</v>
      </c>
    </row>
    <row r="192" spans="1:6" ht="15.75" thickBot="1" x14ac:dyDescent="0.3">
      <c r="A192" s="31">
        <v>41988</v>
      </c>
      <c r="B192" s="36" t="s">
        <v>7</v>
      </c>
      <c r="C192" s="36" t="s">
        <v>7</v>
      </c>
      <c r="D192" s="36">
        <v>8.75</v>
      </c>
      <c r="E192" s="38" t="s">
        <v>11649</v>
      </c>
      <c r="F192" s="36" t="s">
        <v>11891</v>
      </c>
    </row>
    <row r="193" spans="1:6" ht="15.75" thickBot="1" x14ac:dyDescent="0.3">
      <c r="A193" s="31">
        <v>41988</v>
      </c>
      <c r="B193" s="36" t="s">
        <v>7</v>
      </c>
      <c r="C193" s="36" t="s">
        <v>6</v>
      </c>
      <c r="D193" s="36">
        <v>7.75</v>
      </c>
      <c r="E193" s="38" t="s">
        <v>11717</v>
      </c>
      <c r="F193" s="36" t="s">
        <v>11889</v>
      </c>
    </row>
    <row r="194" spans="1:6" ht="15.75" thickBot="1" x14ac:dyDescent="0.3">
      <c r="A194" s="31">
        <v>41988</v>
      </c>
      <c r="B194" s="36" t="s">
        <v>7</v>
      </c>
      <c r="C194" s="36" t="s">
        <v>6</v>
      </c>
      <c r="D194" s="37">
        <v>8.58</v>
      </c>
      <c r="E194" s="38" t="s">
        <v>11629</v>
      </c>
      <c r="F194" s="36" t="s">
        <v>11628</v>
      </c>
    </row>
    <row r="195" spans="1:6" ht="15.75" thickBot="1" x14ac:dyDescent="0.3">
      <c r="A195" s="31">
        <v>41988</v>
      </c>
      <c r="B195" s="36" t="s">
        <v>7</v>
      </c>
      <c r="C195" s="36" t="s">
        <v>7</v>
      </c>
      <c r="D195" s="36">
        <v>2.75</v>
      </c>
      <c r="E195" s="38" t="s">
        <v>11669</v>
      </c>
      <c r="F195" s="36" t="s">
        <v>11890</v>
      </c>
    </row>
    <row r="196" spans="1:6" ht="15.75" thickBot="1" x14ac:dyDescent="0.3">
      <c r="A196" s="31">
        <v>41988</v>
      </c>
      <c r="B196" s="36" t="s">
        <v>7</v>
      </c>
      <c r="C196" s="36" t="s">
        <v>7</v>
      </c>
      <c r="D196" s="36">
        <v>5.2</v>
      </c>
      <c r="E196" s="38" t="s">
        <v>11531</v>
      </c>
      <c r="F196" s="36" t="s">
        <v>11918</v>
      </c>
    </row>
    <row r="197" spans="1:6" ht="15.75" thickBot="1" x14ac:dyDescent="0.3">
      <c r="A197" s="35">
        <v>41988</v>
      </c>
      <c r="B197" s="36" t="s">
        <v>7</v>
      </c>
      <c r="C197" s="36" t="s">
        <v>7</v>
      </c>
      <c r="D197" s="36">
        <v>11.25</v>
      </c>
      <c r="E197" s="38" t="s">
        <v>11699</v>
      </c>
      <c r="F197" s="36" t="s">
        <v>11883</v>
      </c>
    </row>
    <row r="198" spans="1:6" ht="15.75" thickBot="1" x14ac:dyDescent="0.3">
      <c r="A198" s="35">
        <v>41988</v>
      </c>
      <c r="B198" s="36" t="s">
        <v>7</v>
      </c>
      <c r="C198" s="36" t="s">
        <v>7</v>
      </c>
      <c r="D198" s="36">
        <v>8.25</v>
      </c>
      <c r="E198" s="38" t="s">
        <v>11775</v>
      </c>
      <c r="F198" s="36" t="s">
        <v>11881</v>
      </c>
    </row>
    <row r="199" spans="1:6" ht="15.75" thickBot="1" x14ac:dyDescent="0.3">
      <c r="A199" s="35">
        <v>41988</v>
      </c>
      <c r="B199" s="36" t="s">
        <v>7</v>
      </c>
      <c r="C199" s="36" t="s">
        <v>7</v>
      </c>
      <c r="D199" s="36">
        <v>4.75</v>
      </c>
      <c r="E199" s="38" t="s">
        <v>11534</v>
      </c>
      <c r="F199" s="36" t="s">
        <v>11884</v>
      </c>
    </row>
    <row r="200" spans="1:6" ht="15.75" thickBot="1" x14ac:dyDescent="0.3">
      <c r="A200" s="35">
        <v>41988</v>
      </c>
      <c r="B200" s="36" t="s">
        <v>7</v>
      </c>
      <c r="C200" s="36" t="s">
        <v>7</v>
      </c>
      <c r="D200" s="36">
        <v>5.75</v>
      </c>
      <c r="E200" s="38" t="s">
        <v>11546</v>
      </c>
      <c r="F200" s="36" t="s">
        <v>11886</v>
      </c>
    </row>
    <row r="201" spans="1:6" ht="15.75" thickBot="1" x14ac:dyDescent="0.3">
      <c r="A201" s="35">
        <v>41988</v>
      </c>
      <c r="B201" s="36" t="s">
        <v>7</v>
      </c>
      <c r="C201" s="36" t="s">
        <v>6</v>
      </c>
      <c r="D201" s="36">
        <v>5.5</v>
      </c>
      <c r="E201" s="38" t="s">
        <v>11623</v>
      </c>
      <c r="F201" s="36" t="s">
        <v>11622</v>
      </c>
    </row>
    <row r="202" spans="1:6" ht="15.75" thickBot="1" x14ac:dyDescent="0.3">
      <c r="A202" s="35">
        <v>41988</v>
      </c>
      <c r="B202" s="36" t="s">
        <v>7</v>
      </c>
      <c r="C202" s="36" t="s">
        <v>6</v>
      </c>
      <c r="D202" s="36">
        <v>10.5</v>
      </c>
      <c r="E202" s="38" t="s">
        <v>11793</v>
      </c>
      <c r="F202" s="36" t="s">
        <v>11885</v>
      </c>
    </row>
    <row r="203" spans="1:6" ht="15.75" thickBot="1" x14ac:dyDescent="0.3">
      <c r="A203" s="35">
        <v>41988</v>
      </c>
      <c r="B203" s="36" t="s">
        <v>7</v>
      </c>
      <c r="C203" s="36" t="s">
        <v>7</v>
      </c>
      <c r="D203" s="36">
        <v>12</v>
      </c>
      <c r="E203" s="38" t="s">
        <v>11741</v>
      </c>
      <c r="F203" s="36" t="s">
        <v>11740</v>
      </c>
    </row>
    <row r="204" spans="1:6" ht="15.75" thickBot="1" x14ac:dyDescent="0.3">
      <c r="A204" s="35">
        <v>41988</v>
      </c>
      <c r="B204" s="36" t="s">
        <v>6</v>
      </c>
      <c r="C204" s="36" t="s">
        <v>7</v>
      </c>
      <c r="D204" s="36">
        <v>8.5</v>
      </c>
      <c r="E204" s="38" t="s">
        <v>11771</v>
      </c>
      <c r="F204" s="36" t="s">
        <v>11926</v>
      </c>
    </row>
    <row r="205" spans="1:6" ht="15.75" thickBot="1" x14ac:dyDescent="0.3">
      <c r="A205" s="31">
        <v>41988</v>
      </c>
      <c r="B205" s="36" t="s">
        <v>6</v>
      </c>
      <c r="C205" s="36" t="s">
        <v>7</v>
      </c>
      <c r="D205" s="36">
        <v>10.25</v>
      </c>
      <c r="E205" s="38" t="s">
        <v>11695</v>
      </c>
      <c r="F205" s="36" t="s">
        <v>11892</v>
      </c>
    </row>
    <row r="206" spans="1:6" ht="15.75" thickBot="1" x14ac:dyDescent="0.3">
      <c r="A206" s="31">
        <v>41988</v>
      </c>
      <c r="B206" s="36" t="s">
        <v>7</v>
      </c>
      <c r="C206" s="36" t="s">
        <v>6</v>
      </c>
      <c r="D206" s="36">
        <v>3.5</v>
      </c>
      <c r="E206" s="38" t="s">
        <v>11725</v>
      </c>
      <c r="F206" s="36" t="s">
        <v>11724</v>
      </c>
    </row>
    <row r="207" spans="1:6" ht="15.75" thickBot="1" x14ac:dyDescent="0.3">
      <c r="A207" s="31">
        <v>41988</v>
      </c>
      <c r="B207" s="36" t="s">
        <v>7</v>
      </c>
      <c r="C207" s="36" t="s">
        <v>7</v>
      </c>
      <c r="D207" s="36">
        <v>8.75</v>
      </c>
      <c r="E207" s="38" t="s">
        <v>11664</v>
      </c>
      <c r="F207" s="36" t="s">
        <v>11663</v>
      </c>
    </row>
    <row r="208" spans="1:6" ht="15.75" thickBot="1" x14ac:dyDescent="0.3">
      <c r="A208" s="31">
        <v>41989</v>
      </c>
      <c r="B208" s="36" t="s">
        <v>7</v>
      </c>
      <c r="C208" s="36" t="s">
        <v>7</v>
      </c>
      <c r="D208" s="36">
        <v>11.5</v>
      </c>
      <c r="E208" s="38" t="s">
        <v>11583</v>
      </c>
      <c r="F208" s="39" t="s">
        <v>11904</v>
      </c>
    </row>
    <row r="209" spans="1:6" ht="15.75" thickBot="1" x14ac:dyDescent="0.3">
      <c r="A209" s="31">
        <v>41989</v>
      </c>
      <c r="B209" s="36" t="s">
        <v>7</v>
      </c>
      <c r="C209" s="36" t="s">
        <v>7</v>
      </c>
      <c r="D209" s="36">
        <v>4.8449999999999998</v>
      </c>
      <c r="E209" s="38" t="s">
        <v>11787</v>
      </c>
      <c r="F209" s="36" t="s">
        <v>11895</v>
      </c>
    </row>
    <row r="210" spans="1:6" ht="15.75" thickBot="1" x14ac:dyDescent="0.3">
      <c r="A210" s="31">
        <v>41989</v>
      </c>
      <c r="B210" s="36" t="s">
        <v>7</v>
      </c>
      <c r="C210" s="36" t="s">
        <v>7</v>
      </c>
      <c r="D210" s="36">
        <v>9.4350000000000005</v>
      </c>
      <c r="E210" s="38" t="s">
        <v>11805</v>
      </c>
      <c r="F210" s="36" t="s">
        <v>11896</v>
      </c>
    </row>
    <row r="211" spans="1:6" ht="15.75" thickBot="1" x14ac:dyDescent="0.3">
      <c r="A211" s="31">
        <v>41989</v>
      </c>
      <c r="B211" s="36" t="s">
        <v>6</v>
      </c>
      <c r="C211" s="36" t="s">
        <v>6</v>
      </c>
      <c r="D211" s="36">
        <v>8.4550000000000001</v>
      </c>
      <c r="E211" s="38" t="s">
        <v>11567</v>
      </c>
      <c r="F211" s="36" t="s">
        <v>11903</v>
      </c>
    </row>
    <row r="212" spans="1:6" ht="15.75" thickBot="1" x14ac:dyDescent="0.3">
      <c r="A212" s="31">
        <v>41989</v>
      </c>
      <c r="B212" s="36" t="s">
        <v>7</v>
      </c>
      <c r="C212" s="36" t="s">
        <v>6</v>
      </c>
      <c r="D212" s="36">
        <v>5.0999999999999996</v>
      </c>
      <c r="E212" s="38" t="s">
        <v>11713</v>
      </c>
      <c r="F212" s="36" t="s">
        <v>11913</v>
      </c>
    </row>
    <row r="213" spans="1:6" ht="15.75" thickBot="1" x14ac:dyDescent="0.3">
      <c r="A213" s="35">
        <v>41989</v>
      </c>
      <c r="B213" s="36" t="s">
        <v>6</v>
      </c>
      <c r="C213" s="36" t="s">
        <v>6</v>
      </c>
      <c r="D213" s="36">
        <v>9</v>
      </c>
      <c r="E213" s="38" t="s">
        <v>11704</v>
      </c>
      <c r="F213" s="36" t="s">
        <v>11703</v>
      </c>
    </row>
    <row r="214" spans="1:6" ht="15.75" thickBot="1" x14ac:dyDescent="0.3">
      <c r="A214" s="35">
        <v>41989</v>
      </c>
      <c r="B214" s="36" t="s">
        <v>7</v>
      </c>
      <c r="C214" s="36" t="s">
        <v>6</v>
      </c>
      <c r="D214" s="36">
        <v>4</v>
      </c>
      <c r="E214" s="38" t="s">
        <v>11691</v>
      </c>
      <c r="F214" s="36" t="s">
        <v>11690</v>
      </c>
    </row>
    <row r="215" spans="1:6" ht="15.75" thickBot="1" x14ac:dyDescent="0.3">
      <c r="A215" s="35">
        <v>41989</v>
      </c>
      <c r="B215" s="36" t="s">
        <v>7</v>
      </c>
      <c r="C215" s="36" t="s">
        <v>7</v>
      </c>
      <c r="D215" s="36">
        <v>15</v>
      </c>
      <c r="E215" s="38" t="s">
        <v>11593</v>
      </c>
      <c r="F215" s="36" t="s">
        <v>12117</v>
      </c>
    </row>
    <row r="216" spans="1:6" ht="15.75" thickBot="1" x14ac:dyDescent="0.3">
      <c r="A216" s="35">
        <v>41989</v>
      </c>
      <c r="B216" s="36" t="s">
        <v>7</v>
      </c>
      <c r="C216" s="36" t="s">
        <v>7</v>
      </c>
      <c r="D216" s="36">
        <v>7.25</v>
      </c>
      <c r="E216" s="38" t="s">
        <v>11627</v>
      </c>
      <c r="F216" s="36" t="s">
        <v>11626</v>
      </c>
    </row>
    <row r="217" spans="1:6" ht="15.75" thickBot="1" x14ac:dyDescent="0.3">
      <c r="A217" s="35">
        <v>41989</v>
      </c>
      <c r="B217" s="36" t="s">
        <v>6</v>
      </c>
      <c r="C217" s="36" t="s">
        <v>6</v>
      </c>
      <c r="D217" s="36">
        <v>8</v>
      </c>
      <c r="E217" s="38" t="s">
        <v>11610</v>
      </c>
      <c r="F217" s="36" t="s">
        <v>13798</v>
      </c>
    </row>
    <row r="218" spans="1:6" ht="15.75" thickBot="1" x14ac:dyDescent="0.3">
      <c r="A218" s="35">
        <v>41989</v>
      </c>
      <c r="B218" s="36" t="s">
        <v>7</v>
      </c>
      <c r="C218" s="36" t="s">
        <v>6</v>
      </c>
      <c r="D218" s="36">
        <v>5.25</v>
      </c>
      <c r="E218" s="38" t="s">
        <v>11743</v>
      </c>
      <c r="F218" s="36" t="s">
        <v>11742</v>
      </c>
    </row>
    <row r="219" spans="1:6" ht="15.75" thickBot="1" x14ac:dyDescent="0.3">
      <c r="A219" s="31">
        <v>41989</v>
      </c>
      <c r="B219" s="36" t="s">
        <v>7</v>
      </c>
      <c r="C219" s="36" t="s">
        <v>6</v>
      </c>
      <c r="D219" s="36">
        <v>6.88</v>
      </c>
      <c r="E219" s="38" t="s">
        <v>11801</v>
      </c>
      <c r="F219" s="36" t="s">
        <v>11917</v>
      </c>
    </row>
    <row r="220" spans="1:6" ht="15.75" thickBot="1" x14ac:dyDescent="0.3">
      <c r="A220" s="31">
        <v>41989</v>
      </c>
      <c r="B220" s="36" t="s">
        <v>7</v>
      </c>
      <c r="C220" s="36" t="s">
        <v>7</v>
      </c>
      <c r="D220" s="36">
        <v>6.63</v>
      </c>
      <c r="E220" s="38" t="s">
        <v>11762</v>
      </c>
      <c r="F220" s="36" t="s">
        <v>11761</v>
      </c>
    </row>
    <row r="221" spans="1:6" ht="15.75" thickBot="1" x14ac:dyDescent="0.3">
      <c r="A221" s="31">
        <v>41989</v>
      </c>
      <c r="B221" s="36" t="s">
        <v>7</v>
      </c>
      <c r="C221" s="36" t="s">
        <v>7</v>
      </c>
      <c r="D221" s="36">
        <v>4.59</v>
      </c>
      <c r="E221" s="38" t="s">
        <v>11619</v>
      </c>
      <c r="F221" s="36" t="s">
        <v>11618</v>
      </c>
    </row>
    <row r="222" spans="1:6" ht="15.75" thickBot="1" x14ac:dyDescent="0.3">
      <c r="A222" s="31">
        <v>41989</v>
      </c>
      <c r="B222" s="36" t="s">
        <v>7</v>
      </c>
      <c r="C222" s="36" t="s">
        <v>6</v>
      </c>
      <c r="D222" s="36">
        <v>3.3149999999999999</v>
      </c>
      <c r="E222" s="38" t="s">
        <v>11605</v>
      </c>
      <c r="F222" s="36" t="s">
        <v>11604</v>
      </c>
    </row>
    <row r="223" spans="1:6" ht="15.75" thickBot="1" x14ac:dyDescent="0.3">
      <c r="A223" s="31">
        <v>41989</v>
      </c>
      <c r="B223" s="36" t="s">
        <v>6</v>
      </c>
      <c r="C223" s="36" t="s">
        <v>6</v>
      </c>
      <c r="D223" s="36">
        <v>5.8650000000000002</v>
      </c>
      <c r="E223" s="38" t="s">
        <v>11621</v>
      </c>
      <c r="F223" s="36" t="s">
        <v>11620</v>
      </c>
    </row>
    <row r="224" spans="1:6" ht="15.75" thickBot="1" x14ac:dyDescent="0.3">
      <c r="A224" s="31">
        <v>41989</v>
      </c>
      <c r="B224" s="36" t="s">
        <v>7</v>
      </c>
      <c r="C224" s="36" t="s">
        <v>7</v>
      </c>
      <c r="D224" s="36">
        <v>5</v>
      </c>
      <c r="E224" s="38" t="s">
        <v>12471</v>
      </c>
      <c r="F224" s="36" t="s">
        <v>12472</v>
      </c>
    </row>
    <row r="225" spans="1:6" ht="15.75" thickBot="1" x14ac:dyDescent="0.3">
      <c r="A225" s="31">
        <v>41989</v>
      </c>
      <c r="B225" s="36" t="s">
        <v>6</v>
      </c>
      <c r="C225" s="36" t="s">
        <v>6</v>
      </c>
      <c r="D225" s="36">
        <v>11</v>
      </c>
      <c r="E225" s="38" t="s">
        <v>11558</v>
      </c>
      <c r="F225" s="36" t="s">
        <v>11557</v>
      </c>
    </row>
    <row r="226" spans="1:6" ht="15.75" thickBot="1" x14ac:dyDescent="0.3">
      <c r="A226" s="31">
        <v>41990</v>
      </c>
      <c r="B226" s="36" t="s">
        <v>7</v>
      </c>
      <c r="C226" s="36" t="s">
        <v>7</v>
      </c>
      <c r="D226" s="36">
        <v>7</v>
      </c>
      <c r="E226" s="38" t="s">
        <v>12112</v>
      </c>
      <c r="F226" s="36" t="s">
        <v>12113</v>
      </c>
    </row>
    <row r="227" spans="1:6" ht="15.75" thickBot="1" x14ac:dyDescent="0.3">
      <c r="A227" s="31">
        <v>41990</v>
      </c>
      <c r="B227" s="36" t="s">
        <v>7</v>
      </c>
      <c r="C227" s="36" t="s">
        <v>7</v>
      </c>
      <c r="D227" s="36">
        <v>10.199999999999999</v>
      </c>
      <c r="E227" s="38" t="s">
        <v>12114</v>
      </c>
      <c r="F227" s="36" t="s">
        <v>12115</v>
      </c>
    </row>
    <row r="228" spans="1:6" ht="15.75" thickBot="1" x14ac:dyDescent="0.3">
      <c r="A228" s="31">
        <v>41990</v>
      </c>
      <c r="B228" s="36" t="s">
        <v>7</v>
      </c>
      <c r="C228" s="36" t="s">
        <v>7</v>
      </c>
      <c r="D228" s="36">
        <v>4.08</v>
      </c>
      <c r="E228" s="38" t="s">
        <v>12110</v>
      </c>
      <c r="F228" s="36" t="s">
        <v>12111</v>
      </c>
    </row>
    <row r="229" spans="1:6" ht="15.75" thickBot="1" x14ac:dyDescent="0.3">
      <c r="A229" s="31">
        <v>41990</v>
      </c>
      <c r="B229" s="36" t="s">
        <v>6</v>
      </c>
      <c r="C229" s="36" t="s">
        <v>6</v>
      </c>
      <c r="D229" s="36">
        <v>6.12</v>
      </c>
      <c r="E229" s="38" t="s">
        <v>11550</v>
      </c>
      <c r="F229" s="36" t="s">
        <v>11900</v>
      </c>
    </row>
    <row r="230" spans="1:6" ht="15.75" thickBot="1" x14ac:dyDescent="0.3">
      <c r="A230" s="35">
        <v>41990</v>
      </c>
      <c r="B230" s="36" t="s">
        <v>7</v>
      </c>
      <c r="C230" s="36" t="s">
        <v>6</v>
      </c>
      <c r="D230" s="36">
        <v>5.25</v>
      </c>
      <c r="E230" s="38" t="s">
        <v>12104</v>
      </c>
      <c r="F230" s="36" t="s">
        <v>12105</v>
      </c>
    </row>
    <row r="231" spans="1:6" ht="15.75" thickBot="1" x14ac:dyDescent="0.3">
      <c r="A231" s="35">
        <v>41990</v>
      </c>
      <c r="B231" s="36" t="s">
        <v>6</v>
      </c>
      <c r="C231" s="36" t="s">
        <v>6</v>
      </c>
      <c r="D231" s="36">
        <v>14.25</v>
      </c>
      <c r="E231" s="38" t="s">
        <v>12097</v>
      </c>
      <c r="F231" s="36" t="s">
        <v>13799</v>
      </c>
    </row>
    <row r="232" spans="1:6" ht="15.75" thickBot="1" x14ac:dyDescent="0.3">
      <c r="A232" s="35">
        <v>41990</v>
      </c>
      <c r="B232" s="36" t="s">
        <v>7</v>
      </c>
      <c r="C232" s="36" t="s">
        <v>7</v>
      </c>
      <c r="D232" s="36">
        <v>6.75</v>
      </c>
      <c r="E232" s="38" t="s">
        <v>12095</v>
      </c>
      <c r="F232" s="36" t="s">
        <v>12096</v>
      </c>
    </row>
    <row r="233" spans="1:6" ht="15.75" thickBot="1" x14ac:dyDescent="0.3">
      <c r="A233" s="35">
        <v>41990</v>
      </c>
      <c r="B233" s="36" t="s">
        <v>7</v>
      </c>
      <c r="C233" s="36" t="s">
        <v>7</v>
      </c>
      <c r="D233" s="36">
        <v>8.5</v>
      </c>
      <c r="E233" s="38" t="s">
        <v>12087</v>
      </c>
      <c r="F233" s="36" t="s">
        <v>12099</v>
      </c>
    </row>
    <row r="234" spans="1:6" ht="15.75" thickBot="1" x14ac:dyDescent="0.3">
      <c r="A234" s="35">
        <v>41990</v>
      </c>
      <c r="B234" s="36" t="s">
        <v>6</v>
      </c>
      <c r="C234" s="36" t="s">
        <v>6</v>
      </c>
      <c r="D234" s="36">
        <v>15.75</v>
      </c>
      <c r="E234" s="38" t="s">
        <v>12089</v>
      </c>
      <c r="F234" s="36" t="s">
        <v>12090</v>
      </c>
    </row>
    <row r="235" spans="1:6" ht="15.75" thickBot="1" x14ac:dyDescent="0.3">
      <c r="A235" s="35">
        <v>41990</v>
      </c>
      <c r="B235" s="36" t="s">
        <v>6</v>
      </c>
      <c r="C235" s="36" t="s">
        <v>6</v>
      </c>
      <c r="D235" s="36">
        <v>9</v>
      </c>
      <c r="E235" s="38" t="s">
        <v>12093</v>
      </c>
      <c r="F235" s="36" t="s">
        <v>12094</v>
      </c>
    </row>
    <row r="236" spans="1:6" ht="15.75" thickBot="1" x14ac:dyDescent="0.3">
      <c r="A236" s="35">
        <v>41990</v>
      </c>
      <c r="B236" s="36" t="s">
        <v>6</v>
      </c>
      <c r="C236" s="36" t="s">
        <v>6</v>
      </c>
      <c r="D236" s="36">
        <v>11.75</v>
      </c>
      <c r="E236" s="38" t="s">
        <v>12098</v>
      </c>
      <c r="F236" s="36" t="s">
        <v>13800</v>
      </c>
    </row>
    <row r="237" spans="1:6" ht="15.75" thickBot="1" x14ac:dyDescent="0.3">
      <c r="A237" s="35">
        <v>41990</v>
      </c>
      <c r="B237" s="36" t="s">
        <v>7</v>
      </c>
      <c r="C237" s="36" t="s">
        <v>6</v>
      </c>
      <c r="D237" s="36">
        <v>5</v>
      </c>
      <c r="E237" s="38" t="s">
        <v>12091</v>
      </c>
      <c r="F237" s="36" t="s">
        <v>12092</v>
      </c>
    </row>
    <row r="238" spans="1:6" ht="15.75" thickBot="1" x14ac:dyDescent="0.3">
      <c r="A238" s="35">
        <v>41990</v>
      </c>
      <c r="B238" s="36" t="s">
        <v>6</v>
      </c>
      <c r="C238" s="36" t="s">
        <v>6</v>
      </c>
      <c r="D238" s="36">
        <v>5.75</v>
      </c>
      <c r="E238" s="38" t="s">
        <v>12100</v>
      </c>
      <c r="F238" s="37" t="s">
        <v>12101</v>
      </c>
    </row>
    <row r="239" spans="1:6" ht="15.75" thickBot="1" x14ac:dyDescent="0.3">
      <c r="A239" s="35">
        <v>41990</v>
      </c>
      <c r="B239" s="36" t="s">
        <v>6</v>
      </c>
      <c r="C239" s="36" t="s">
        <v>6</v>
      </c>
      <c r="D239" s="37">
        <v>3.57</v>
      </c>
      <c r="E239" s="38" t="s">
        <v>12152</v>
      </c>
      <c r="F239" s="37" t="s">
        <v>12151</v>
      </c>
    </row>
    <row r="240" spans="1:6" ht="15.75" thickBot="1" x14ac:dyDescent="0.3">
      <c r="A240" s="31">
        <v>41990</v>
      </c>
      <c r="B240" s="36" t="s">
        <v>7</v>
      </c>
      <c r="C240" s="36" t="s">
        <v>7</v>
      </c>
      <c r="D240" s="36">
        <v>7.25</v>
      </c>
      <c r="E240" s="38" t="s">
        <v>12106</v>
      </c>
      <c r="F240" s="36" t="s">
        <v>12107</v>
      </c>
    </row>
    <row r="241" spans="1:6" ht="15.75" thickBot="1" x14ac:dyDescent="0.3">
      <c r="A241" s="31">
        <v>41990</v>
      </c>
      <c r="B241" s="36" t="s">
        <v>7</v>
      </c>
      <c r="C241" s="36" t="s">
        <v>7</v>
      </c>
      <c r="D241" s="36">
        <v>4</v>
      </c>
      <c r="E241" s="38" t="s">
        <v>12108</v>
      </c>
      <c r="F241" s="36" t="s">
        <v>12109</v>
      </c>
    </row>
    <row r="242" spans="1:6" ht="15.75" thickBot="1" x14ac:dyDescent="0.3">
      <c r="A242" s="31">
        <v>41991</v>
      </c>
      <c r="B242" s="36" t="s">
        <v>6</v>
      </c>
      <c r="C242" s="36" t="s">
        <v>7</v>
      </c>
      <c r="D242" s="36">
        <v>9.18</v>
      </c>
      <c r="E242" s="38" t="s">
        <v>12085</v>
      </c>
      <c r="F242" s="36" t="s">
        <v>12086</v>
      </c>
    </row>
    <row r="243" spans="1:6" ht="15.75" thickBot="1" x14ac:dyDescent="0.3">
      <c r="A243" s="31">
        <v>41991</v>
      </c>
      <c r="B243" s="36" t="s">
        <v>7</v>
      </c>
      <c r="C243" s="36" t="s">
        <v>6</v>
      </c>
      <c r="D243" s="36">
        <v>6.63</v>
      </c>
      <c r="E243" s="38" t="s">
        <v>12080</v>
      </c>
      <c r="F243" s="36" t="s">
        <v>12188</v>
      </c>
    </row>
    <row r="244" spans="1:6" ht="15.75" thickBot="1" x14ac:dyDescent="0.3">
      <c r="A244" s="31">
        <v>41991</v>
      </c>
      <c r="B244" s="36" t="s">
        <v>7</v>
      </c>
      <c r="C244" s="36" t="s">
        <v>7</v>
      </c>
      <c r="D244" s="36">
        <v>6.12</v>
      </c>
      <c r="E244" s="38" t="s">
        <v>12081</v>
      </c>
      <c r="F244" s="36" t="s">
        <v>12082</v>
      </c>
    </row>
    <row r="245" spans="1:6" ht="15.75" thickBot="1" x14ac:dyDescent="0.3">
      <c r="A245" s="31">
        <v>41991</v>
      </c>
      <c r="B245" s="36" t="s">
        <v>6</v>
      </c>
      <c r="C245" s="36" t="s">
        <v>6</v>
      </c>
      <c r="D245" s="36">
        <v>6.375</v>
      </c>
      <c r="E245" s="38" t="s">
        <v>12135</v>
      </c>
      <c r="F245" s="36" t="s">
        <v>12134</v>
      </c>
    </row>
    <row r="246" spans="1:6" ht="15.75" thickBot="1" x14ac:dyDescent="0.3">
      <c r="A246" s="35">
        <v>41991</v>
      </c>
      <c r="B246" s="36" t="s">
        <v>6</v>
      </c>
      <c r="C246" s="36" t="s">
        <v>6</v>
      </c>
      <c r="D246" s="37">
        <v>13.78</v>
      </c>
      <c r="E246" s="38" t="s">
        <v>12148</v>
      </c>
      <c r="F246" s="37" t="s">
        <v>12147</v>
      </c>
    </row>
    <row r="247" spans="1:6" ht="15.75" thickBot="1" x14ac:dyDescent="0.3">
      <c r="A247" s="35">
        <v>41991</v>
      </c>
      <c r="B247" s="36" t="s">
        <v>6</v>
      </c>
      <c r="C247" s="36" t="s">
        <v>6</v>
      </c>
      <c r="D247" s="36">
        <v>5.75</v>
      </c>
      <c r="E247" s="38" t="s">
        <v>12076</v>
      </c>
      <c r="F247" s="37" t="s">
        <v>12077</v>
      </c>
    </row>
    <row r="248" spans="1:6" ht="15.75" thickBot="1" x14ac:dyDescent="0.3">
      <c r="A248" s="35">
        <v>41991</v>
      </c>
      <c r="B248" s="36" t="s">
        <v>6</v>
      </c>
      <c r="C248" s="36" t="s">
        <v>6</v>
      </c>
      <c r="D248" s="36">
        <v>11.25</v>
      </c>
      <c r="E248" s="38" t="s">
        <v>12074</v>
      </c>
      <c r="F248" s="37" t="s">
        <v>12075</v>
      </c>
    </row>
    <row r="249" spans="1:6" ht="15.75" thickBot="1" x14ac:dyDescent="0.3">
      <c r="A249" s="35">
        <v>41991</v>
      </c>
      <c r="B249" s="36" t="s">
        <v>7</v>
      </c>
      <c r="C249" s="36" t="s">
        <v>7</v>
      </c>
      <c r="D249" s="36">
        <v>10</v>
      </c>
      <c r="E249" s="38" t="s">
        <v>12078</v>
      </c>
      <c r="F249" s="37" t="s">
        <v>12187</v>
      </c>
    </row>
    <row r="250" spans="1:6" ht="15.75" thickBot="1" x14ac:dyDescent="0.3">
      <c r="A250" s="31">
        <v>41991</v>
      </c>
      <c r="B250" s="36" t="s">
        <v>7</v>
      </c>
      <c r="C250" s="36" t="s">
        <v>6</v>
      </c>
      <c r="D250" s="36">
        <v>5.35</v>
      </c>
      <c r="E250" s="38" t="s">
        <v>12170</v>
      </c>
      <c r="F250" s="36" t="s">
        <v>12357</v>
      </c>
    </row>
    <row r="251" spans="1:6" ht="15.75" thickBot="1" x14ac:dyDescent="0.3">
      <c r="A251" s="31">
        <v>41991</v>
      </c>
      <c r="B251" s="36" t="s">
        <v>7</v>
      </c>
      <c r="C251" s="36" t="s">
        <v>7</v>
      </c>
      <c r="D251" s="36">
        <v>6.75</v>
      </c>
      <c r="E251" s="38" t="s">
        <v>12083</v>
      </c>
      <c r="F251" s="36" t="s">
        <v>12084</v>
      </c>
    </row>
    <row r="252" spans="1:6" ht="15.75" thickBot="1" x14ac:dyDescent="0.3">
      <c r="A252" s="31">
        <v>41992</v>
      </c>
      <c r="B252" s="36" t="s">
        <v>7</v>
      </c>
      <c r="C252" s="36" t="s">
        <v>7</v>
      </c>
      <c r="D252" s="36">
        <v>4.335</v>
      </c>
      <c r="E252" s="38" t="s">
        <v>12168</v>
      </c>
      <c r="F252" s="36" t="s">
        <v>12538</v>
      </c>
    </row>
    <row r="253" spans="1:6" ht="15.75" thickBot="1" x14ac:dyDescent="0.3">
      <c r="A253" s="31">
        <v>41992</v>
      </c>
      <c r="B253" s="36" t="s">
        <v>7</v>
      </c>
      <c r="C253" s="36" t="s">
        <v>7</v>
      </c>
      <c r="D253" s="36">
        <v>4.08</v>
      </c>
      <c r="E253" s="38" t="s">
        <v>12146</v>
      </c>
      <c r="F253" s="39" t="s">
        <v>12534</v>
      </c>
    </row>
    <row r="254" spans="1:6" ht="15.75" thickBot="1" x14ac:dyDescent="0.3">
      <c r="A254" s="31">
        <v>41992</v>
      </c>
      <c r="B254" s="36" t="s">
        <v>7</v>
      </c>
      <c r="C254" s="36" t="s">
        <v>6</v>
      </c>
      <c r="D254" s="36">
        <v>4.08</v>
      </c>
      <c r="E254" s="38" t="s">
        <v>12164</v>
      </c>
      <c r="F254" s="39" t="s">
        <v>12792</v>
      </c>
    </row>
    <row r="255" spans="1:6" ht="15.75" thickBot="1" x14ac:dyDescent="0.3">
      <c r="A255" s="31">
        <v>41992</v>
      </c>
      <c r="B255" s="36" t="s">
        <v>7</v>
      </c>
      <c r="C255" s="36" t="s">
        <v>7</v>
      </c>
      <c r="D255" s="36">
        <v>9.9450000000000003</v>
      </c>
      <c r="E255" s="38" t="s">
        <v>12072</v>
      </c>
      <c r="F255" s="36" t="s">
        <v>12073</v>
      </c>
    </row>
    <row r="256" spans="1:6" ht="15.75" thickBot="1" x14ac:dyDescent="0.3">
      <c r="A256" s="35">
        <v>41992</v>
      </c>
      <c r="B256" s="36" t="s">
        <v>7</v>
      </c>
      <c r="C256" s="36" t="s">
        <v>7</v>
      </c>
      <c r="D256" s="36">
        <v>9.25</v>
      </c>
      <c r="E256" s="38" t="s">
        <v>12162</v>
      </c>
      <c r="F256" s="36" t="s">
        <v>12161</v>
      </c>
    </row>
    <row r="257" spans="1:6" ht="15.75" thickBot="1" x14ac:dyDescent="0.3">
      <c r="A257" s="35">
        <v>41992</v>
      </c>
      <c r="B257" s="36" t="s">
        <v>7</v>
      </c>
      <c r="C257" s="36" t="s">
        <v>6</v>
      </c>
      <c r="D257" s="36">
        <v>7.25</v>
      </c>
      <c r="E257" s="38" t="s">
        <v>12160</v>
      </c>
      <c r="F257" s="36" t="s">
        <v>13801</v>
      </c>
    </row>
    <row r="258" spans="1:6" ht="15.75" thickBot="1" x14ac:dyDescent="0.3">
      <c r="A258" s="35">
        <v>41992</v>
      </c>
      <c r="B258" s="36" t="s">
        <v>6</v>
      </c>
      <c r="C258" s="36" t="s">
        <v>6</v>
      </c>
      <c r="D258" s="36">
        <v>4.5</v>
      </c>
      <c r="E258" s="38" t="s">
        <v>12070</v>
      </c>
      <c r="F258" s="36" t="s">
        <v>12071</v>
      </c>
    </row>
    <row r="259" spans="1:6" ht="15.75" thickBot="1" x14ac:dyDescent="0.3">
      <c r="A259" s="35">
        <v>41992</v>
      </c>
      <c r="B259" s="36" t="s">
        <v>7</v>
      </c>
      <c r="C259" s="36" t="s">
        <v>6</v>
      </c>
      <c r="D259" s="36">
        <v>5.25</v>
      </c>
      <c r="E259" s="38" t="s">
        <v>12125</v>
      </c>
      <c r="F259" s="36" t="s">
        <v>12124</v>
      </c>
    </row>
    <row r="260" spans="1:6" ht="15.75" thickBot="1" x14ac:dyDescent="0.3">
      <c r="A260" s="31">
        <v>41992</v>
      </c>
      <c r="B260" s="36" t="s">
        <v>7</v>
      </c>
      <c r="C260" s="36" t="s">
        <v>6</v>
      </c>
      <c r="D260" s="36">
        <v>3.57</v>
      </c>
      <c r="E260" s="38" t="s">
        <v>12140</v>
      </c>
      <c r="F260" s="36" t="s">
        <v>12355</v>
      </c>
    </row>
    <row r="261" spans="1:6" ht="15.75" thickBot="1" x14ac:dyDescent="0.3">
      <c r="A261" s="31">
        <v>41992</v>
      </c>
      <c r="B261" s="36" t="s">
        <v>7</v>
      </c>
      <c r="C261" s="36" t="s">
        <v>6</v>
      </c>
      <c r="D261" s="36">
        <v>4.08</v>
      </c>
      <c r="E261" s="38" t="s">
        <v>12133</v>
      </c>
      <c r="F261" s="36" t="s">
        <v>12356</v>
      </c>
    </row>
    <row r="262" spans="1:6" ht="15.75" thickBot="1" x14ac:dyDescent="0.3">
      <c r="A262" s="31">
        <v>41992</v>
      </c>
      <c r="B262" s="36" t="s">
        <v>7</v>
      </c>
      <c r="C262" s="36" t="s">
        <v>7</v>
      </c>
      <c r="D262" s="36">
        <v>7.14</v>
      </c>
      <c r="E262" s="38" t="s">
        <v>12170</v>
      </c>
      <c r="F262" s="36" t="s">
        <v>12354</v>
      </c>
    </row>
    <row r="263" spans="1:6" ht="15.75" thickBot="1" x14ac:dyDescent="0.3">
      <c r="A263" s="31">
        <v>41992</v>
      </c>
      <c r="B263" s="36" t="s">
        <v>7</v>
      </c>
      <c r="C263" s="36" t="s">
        <v>7</v>
      </c>
      <c r="D263" s="36">
        <v>6.5</v>
      </c>
      <c r="E263" s="38" t="s">
        <v>12173</v>
      </c>
      <c r="F263" s="39" t="s">
        <v>12172</v>
      </c>
    </row>
    <row r="264" spans="1:6" ht="15.75" thickBot="1" x14ac:dyDescent="0.3">
      <c r="A264" s="31">
        <v>41993</v>
      </c>
      <c r="B264" s="36" t="s">
        <v>7</v>
      </c>
      <c r="C264" s="36" t="s">
        <v>6</v>
      </c>
      <c r="D264" s="36">
        <v>6</v>
      </c>
      <c r="E264" s="38" t="s">
        <v>12159</v>
      </c>
      <c r="F264" s="36" t="s">
        <v>12351</v>
      </c>
    </row>
    <row r="265" spans="1:6" ht="15.75" thickBot="1" x14ac:dyDescent="0.3">
      <c r="A265" s="31">
        <v>41993</v>
      </c>
      <c r="B265" s="36" t="s">
        <v>7</v>
      </c>
      <c r="C265" s="36" t="s">
        <v>7</v>
      </c>
      <c r="D265" s="36">
        <v>5.8650000000000002</v>
      </c>
      <c r="E265" s="38" t="s">
        <v>12177</v>
      </c>
      <c r="F265" s="36" t="s">
        <v>12353</v>
      </c>
    </row>
    <row r="266" spans="1:6" ht="15.75" thickBot="1" x14ac:dyDescent="0.3">
      <c r="A266" s="31">
        <v>41993</v>
      </c>
      <c r="B266" s="36" t="s">
        <v>7</v>
      </c>
      <c r="C266" s="36" t="s">
        <v>7</v>
      </c>
      <c r="D266" s="36">
        <v>3.06</v>
      </c>
      <c r="E266" s="38" t="s">
        <v>12369</v>
      </c>
      <c r="F266" s="36" t="s">
        <v>12469</v>
      </c>
    </row>
    <row r="267" spans="1:6" ht="15.75" thickBot="1" x14ac:dyDescent="0.3">
      <c r="A267" s="31">
        <v>41993</v>
      </c>
      <c r="B267" s="36" t="s">
        <v>6</v>
      </c>
      <c r="C267" s="36" t="s">
        <v>7</v>
      </c>
      <c r="D267" s="36">
        <v>6.375</v>
      </c>
      <c r="E267" s="38" t="s">
        <v>12389</v>
      </c>
      <c r="F267" s="36" t="s">
        <v>12470</v>
      </c>
    </row>
    <row r="268" spans="1:6" ht="15.75" thickBot="1" x14ac:dyDescent="0.3">
      <c r="A268" s="31">
        <v>41993</v>
      </c>
      <c r="B268" s="36" t="s">
        <v>7</v>
      </c>
      <c r="C268" s="36" t="s">
        <v>6</v>
      </c>
      <c r="D268" s="36">
        <v>4.335</v>
      </c>
      <c r="E268" s="38" t="s">
        <v>12131</v>
      </c>
      <c r="F268" s="39" t="s">
        <v>12523</v>
      </c>
    </row>
    <row r="269" spans="1:6" ht="15.75" thickBot="1" x14ac:dyDescent="0.3">
      <c r="A269" s="31">
        <v>41993</v>
      </c>
      <c r="B269" s="36" t="s">
        <v>7</v>
      </c>
      <c r="C269" s="36" t="s">
        <v>7</v>
      </c>
      <c r="D269" s="37">
        <v>5.46</v>
      </c>
      <c r="E269" s="38" t="s">
        <v>12154</v>
      </c>
      <c r="F269" s="37" t="s">
        <v>12153</v>
      </c>
    </row>
    <row r="270" spans="1:6" ht="15.75" thickBot="1" x14ac:dyDescent="0.3">
      <c r="A270" s="31">
        <v>41993</v>
      </c>
      <c r="B270" s="36" t="s">
        <v>7</v>
      </c>
      <c r="C270" s="36" t="s">
        <v>7</v>
      </c>
      <c r="D270" s="36">
        <v>2.5499999999999998</v>
      </c>
      <c r="E270" s="38" t="s">
        <v>12141</v>
      </c>
      <c r="F270" s="36" t="s">
        <v>12352</v>
      </c>
    </row>
    <row r="271" spans="1:6" ht="15.75" thickBot="1" x14ac:dyDescent="0.3">
      <c r="A271" s="31">
        <v>41993</v>
      </c>
      <c r="B271" s="36" t="s">
        <v>7</v>
      </c>
      <c r="C271" s="36" t="s">
        <v>6</v>
      </c>
      <c r="D271" s="36">
        <v>10.455</v>
      </c>
      <c r="E271" s="38" t="s">
        <v>12142</v>
      </c>
      <c r="F271" s="36" t="s">
        <v>12352</v>
      </c>
    </row>
    <row r="272" spans="1:6" ht="15.75" thickBot="1" x14ac:dyDescent="0.3">
      <c r="A272" s="35">
        <v>41993</v>
      </c>
      <c r="B272" s="36" t="s">
        <v>7</v>
      </c>
      <c r="C272" s="36" t="s">
        <v>7</v>
      </c>
      <c r="D272" s="36">
        <v>7</v>
      </c>
      <c r="E272" s="38" t="s">
        <v>12179</v>
      </c>
      <c r="F272" s="36" t="s">
        <v>12178</v>
      </c>
    </row>
    <row r="273" spans="1:6" ht="15.75" thickBot="1" x14ac:dyDescent="0.3">
      <c r="A273" s="35">
        <v>41993</v>
      </c>
      <c r="B273" s="36" t="s">
        <v>7</v>
      </c>
      <c r="C273" s="36" t="s">
        <v>6</v>
      </c>
      <c r="D273" s="36">
        <v>8.5</v>
      </c>
      <c r="E273" s="38" t="s">
        <v>12182</v>
      </c>
      <c r="F273" s="36" t="s">
        <v>12181</v>
      </c>
    </row>
    <row r="274" spans="1:6" ht="15.75" thickBot="1" x14ac:dyDescent="0.3">
      <c r="A274" s="35">
        <v>41993</v>
      </c>
      <c r="B274" s="36" t="s">
        <v>7</v>
      </c>
      <c r="C274" s="36" t="s">
        <v>7</v>
      </c>
      <c r="D274" s="37">
        <v>2.5</v>
      </c>
      <c r="E274" s="38" t="s">
        <v>12157</v>
      </c>
      <c r="F274" s="37" t="s">
        <v>12156</v>
      </c>
    </row>
    <row r="275" spans="1:6" ht="15.75" thickBot="1" x14ac:dyDescent="0.3">
      <c r="A275" s="31">
        <v>41993</v>
      </c>
      <c r="B275" s="36" t="s">
        <v>7</v>
      </c>
      <c r="C275" s="36" t="s">
        <v>7</v>
      </c>
      <c r="D275" s="36">
        <v>5.75</v>
      </c>
      <c r="E275" s="38" t="s">
        <v>12175</v>
      </c>
      <c r="F275" s="39" t="s">
        <v>12174</v>
      </c>
    </row>
    <row r="276" spans="1:6" ht="15.75" thickBot="1" x14ac:dyDescent="0.3">
      <c r="A276" s="31">
        <v>41993</v>
      </c>
      <c r="B276" s="36" t="s">
        <v>7</v>
      </c>
      <c r="C276" s="36" t="s">
        <v>7</v>
      </c>
      <c r="D276" s="36">
        <v>5.5</v>
      </c>
      <c r="E276" s="38" t="s">
        <v>12150</v>
      </c>
      <c r="F276" s="39" t="s">
        <v>12149</v>
      </c>
    </row>
    <row r="277" spans="1:6" ht="15.75" thickBot="1" x14ac:dyDescent="0.3">
      <c r="A277" s="31">
        <v>41995</v>
      </c>
      <c r="B277" s="36" t="s">
        <v>7</v>
      </c>
      <c r="C277" s="36" t="s">
        <v>7</v>
      </c>
      <c r="D277" s="36">
        <v>5.0999999999999996</v>
      </c>
      <c r="E277" s="38" t="s">
        <v>12297</v>
      </c>
      <c r="F277" s="36" t="s">
        <v>12520</v>
      </c>
    </row>
    <row r="278" spans="1:6" ht="15.75" thickBot="1" x14ac:dyDescent="0.3">
      <c r="A278" s="31">
        <v>41995</v>
      </c>
      <c r="B278" s="36" t="s">
        <v>7</v>
      </c>
      <c r="C278" s="36" t="s">
        <v>7</v>
      </c>
      <c r="D278" s="36">
        <v>6.63</v>
      </c>
      <c r="E278" s="38" t="s">
        <v>12303</v>
      </c>
      <c r="F278" s="39" t="s">
        <v>12521</v>
      </c>
    </row>
    <row r="279" spans="1:6" ht="15.75" thickBot="1" x14ac:dyDescent="0.3">
      <c r="A279" s="31">
        <v>41995</v>
      </c>
      <c r="B279" s="36" t="s">
        <v>6</v>
      </c>
      <c r="C279" s="36" t="s">
        <v>6</v>
      </c>
      <c r="D279" s="36">
        <v>9.18</v>
      </c>
      <c r="E279" s="38" t="s">
        <v>12324</v>
      </c>
      <c r="F279" s="36" t="s">
        <v>12348</v>
      </c>
    </row>
    <row r="280" spans="1:6" ht="15.75" thickBot="1" x14ac:dyDescent="0.3">
      <c r="A280" s="31">
        <v>41995</v>
      </c>
      <c r="B280" s="36" t="s">
        <v>6</v>
      </c>
      <c r="C280" s="36" t="s">
        <v>7</v>
      </c>
      <c r="D280" s="36">
        <v>11.22</v>
      </c>
      <c r="E280" s="38" t="s">
        <v>12326</v>
      </c>
      <c r="F280" s="36" t="s">
        <v>12348</v>
      </c>
    </row>
    <row r="281" spans="1:6" ht="15.75" thickBot="1" x14ac:dyDescent="0.3">
      <c r="A281" s="31">
        <v>41995</v>
      </c>
      <c r="B281" s="36" t="s">
        <v>7</v>
      </c>
      <c r="C281" s="36" t="s">
        <v>6</v>
      </c>
      <c r="D281" s="36">
        <v>11.22</v>
      </c>
      <c r="E281" s="38" t="s">
        <v>12325</v>
      </c>
      <c r="F281" s="36" t="s">
        <v>12348</v>
      </c>
    </row>
    <row r="282" spans="1:6" ht="15.75" thickBot="1" x14ac:dyDescent="0.3">
      <c r="A282" s="31">
        <v>41995</v>
      </c>
      <c r="B282" s="36" t="s">
        <v>7</v>
      </c>
      <c r="C282" s="36" t="s">
        <v>7</v>
      </c>
      <c r="D282" s="36">
        <v>3.31</v>
      </c>
      <c r="E282" s="38" t="s">
        <v>12337</v>
      </c>
      <c r="F282" s="36" t="s">
        <v>12350</v>
      </c>
    </row>
    <row r="283" spans="1:6" ht="15.75" thickBot="1" x14ac:dyDescent="0.3">
      <c r="A283" s="31">
        <v>41995</v>
      </c>
      <c r="B283" s="36" t="s">
        <v>7</v>
      </c>
      <c r="C283" s="36" t="s">
        <v>7</v>
      </c>
      <c r="D283" s="36">
        <v>4.5</v>
      </c>
      <c r="E283" s="38" t="s">
        <v>12297</v>
      </c>
      <c r="F283" s="39" t="s">
        <v>12296</v>
      </c>
    </row>
    <row r="284" spans="1:6" ht="15.75" thickBot="1" x14ac:dyDescent="0.3">
      <c r="A284" s="31">
        <v>41996</v>
      </c>
      <c r="B284" s="36" t="s">
        <v>7</v>
      </c>
      <c r="C284" s="36" t="s">
        <v>7</v>
      </c>
      <c r="D284" s="36">
        <v>5.0999999999999996</v>
      </c>
      <c r="E284" s="38" t="s">
        <v>12301</v>
      </c>
      <c r="F284" s="39" t="s">
        <v>12516</v>
      </c>
    </row>
    <row r="285" spans="1:6" ht="15.75" thickBot="1" x14ac:dyDescent="0.3">
      <c r="A285" s="31">
        <v>41996</v>
      </c>
      <c r="B285" s="36" t="s">
        <v>7</v>
      </c>
      <c r="C285" s="36" t="s">
        <v>7</v>
      </c>
      <c r="D285" s="36">
        <v>4.8449999999999998</v>
      </c>
      <c r="E285" s="38" t="s">
        <v>12311</v>
      </c>
      <c r="F285" s="39" t="s">
        <v>12517</v>
      </c>
    </row>
    <row r="286" spans="1:6" ht="15.75" thickBot="1" x14ac:dyDescent="0.3">
      <c r="A286" s="35">
        <v>41996</v>
      </c>
      <c r="B286" s="36" t="s">
        <v>7</v>
      </c>
      <c r="C286" s="36" t="s">
        <v>6</v>
      </c>
      <c r="D286" s="37">
        <v>10.66</v>
      </c>
      <c r="E286" s="38" t="s">
        <v>12343</v>
      </c>
      <c r="F286" s="37" t="s">
        <v>12342</v>
      </c>
    </row>
    <row r="287" spans="1:6" ht="15.75" thickBot="1" x14ac:dyDescent="0.3">
      <c r="A287" s="35">
        <v>41996</v>
      </c>
      <c r="B287" s="36" t="s">
        <v>7</v>
      </c>
      <c r="C287" s="36" t="s">
        <v>7</v>
      </c>
      <c r="D287" s="36">
        <v>7</v>
      </c>
      <c r="E287" s="38" t="s">
        <v>12295</v>
      </c>
      <c r="F287" s="36" t="s">
        <v>12468</v>
      </c>
    </row>
    <row r="288" spans="1:6" ht="15.75" thickBot="1" x14ac:dyDescent="0.3">
      <c r="A288" s="31">
        <v>41996</v>
      </c>
      <c r="B288" s="36" t="s">
        <v>7</v>
      </c>
      <c r="C288" s="36" t="s">
        <v>7</v>
      </c>
      <c r="D288" s="36">
        <v>4.33</v>
      </c>
      <c r="E288" s="38" t="s">
        <v>12289</v>
      </c>
      <c r="F288" s="36" t="s">
        <v>12347</v>
      </c>
    </row>
    <row r="289" spans="1:6" ht="15.75" thickBot="1" x14ac:dyDescent="0.3">
      <c r="A289" s="31">
        <v>41996</v>
      </c>
      <c r="B289" s="36" t="s">
        <v>6</v>
      </c>
      <c r="C289" s="36" t="s">
        <v>6</v>
      </c>
      <c r="D289" s="36">
        <v>5.86</v>
      </c>
      <c r="E289" s="38" t="s">
        <v>12291</v>
      </c>
      <c r="F289" s="36" t="s">
        <v>12346</v>
      </c>
    </row>
    <row r="290" spans="1:6" ht="15.75" thickBot="1" x14ac:dyDescent="0.3">
      <c r="A290" s="31">
        <v>42000</v>
      </c>
      <c r="B290" s="36" t="s">
        <v>7</v>
      </c>
      <c r="C290" s="36" t="s">
        <v>7</v>
      </c>
      <c r="D290" s="36">
        <v>4.68</v>
      </c>
      <c r="E290" s="38" t="s">
        <v>12293</v>
      </c>
      <c r="F290" s="36" t="s">
        <v>12345</v>
      </c>
    </row>
    <row r="291" spans="1:6" ht="15.75" thickBot="1" x14ac:dyDescent="0.3">
      <c r="A291" s="31">
        <v>42000</v>
      </c>
      <c r="B291" s="36" t="s">
        <v>6</v>
      </c>
      <c r="C291" s="36" t="s">
        <v>6</v>
      </c>
      <c r="D291" s="36">
        <v>2.5499999999999998</v>
      </c>
      <c r="E291" s="38" t="s">
        <v>12305</v>
      </c>
      <c r="F291" s="36" t="s">
        <v>12509</v>
      </c>
    </row>
    <row r="292" spans="1:6" ht="15.75" thickBot="1" x14ac:dyDescent="0.3">
      <c r="A292" s="35">
        <v>42000</v>
      </c>
      <c r="B292" s="36" t="s">
        <v>7</v>
      </c>
      <c r="C292" s="36" t="s">
        <v>7</v>
      </c>
      <c r="D292" s="36">
        <v>12</v>
      </c>
      <c r="E292" s="38" t="s">
        <v>12315</v>
      </c>
      <c r="F292" s="36" t="s">
        <v>12314</v>
      </c>
    </row>
    <row r="293" spans="1:6" ht="15.75" thickBot="1" x14ac:dyDescent="0.3">
      <c r="A293" s="35">
        <v>42000</v>
      </c>
      <c r="B293" s="36" t="s">
        <v>6</v>
      </c>
      <c r="C293" s="36" t="s">
        <v>6</v>
      </c>
      <c r="D293" s="36">
        <v>4</v>
      </c>
      <c r="E293" s="38" t="s">
        <v>12317</v>
      </c>
      <c r="F293" s="36" t="s">
        <v>12316</v>
      </c>
    </row>
    <row r="294" spans="1:6" ht="15.75" thickBot="1" x14ac:dyDescent="0.3">
      <c r="A294" s="35">
        <v>42000</v>
      </c>
      <c r="B294" s="36" t="s">
        <v>6</v>
      </c>
      <c r="C294" s="36" t="s">
        <v>6</v>
      </c>
      <c r="D294" s="36">
        <v>5</v>
      </c>
      <c r="E294" s="38" t="s">
        <v>12341</v>
      </c>
      <c r="F294" s="36" t="s">
        <v>12340</v>
      </c>
    </row>
    <row r="295" spans="1:6" ht="15.75" thickBot="1" x14ac:dyDescent="0.3">
      <c r="A295" s="35">
        <v>42000</v>
      </c>
      <c r="B295" s="36" t="s">
        <v>6</v>
      </c>
      <c r="C295" s="36" t="s">
        <v>6</v>
      </c>
      <c r="D295" s="36">
        <v>5.25</v>
      </c>
      <c r="E295" s="38" t="s">
        <v>12328</v>
      </c>
      <c r="F295" s="36" t="s">
        <v>12327</v>
      </c>
    </row>
    <row r="296" spans="1:6" ht="15.75" thickBot="1" x14ac:dyDescent="0.3">
      <c r="A296" s="31">
        <v>42002</v>
      </c>
      <c r="B296" s="36" t="s">
        <v>7</v>
      </c>
      <c r="C296" s="36" t="s">
        <v>7</v>
      </c>
      <c r="D296" s="36">
        <v>6.63</v>
      </c>
      <c r="E296" s="38" t="s">
        <v>12320</v>
      </c>
      <c r="F296" s="36" t="s">
        <v>12344</v>
      </c>
    </row>
    <row r="297" spans="1:6" ht="15.75" thickBot="1" x14ac:dyDescent="0.3">
      <c r="A297" s="31">
        <v>42002</v>
      </c>
      <c r="B297" s="36" t="s">
        <v>7</v>
      </c>
      <c r="C297" s="36" t="s">
        <v>7</v>
      </c>
      <c r="D297" s="36">
        <v>11.22</v>
      </c>
      <c r="E297" s="38" t="s">
        <v>12377</v>
      </c>
      <c r="F297" s="39" t="s">
        <v>12555</v>
      </c>
    </row>
    <row r="298" spans="1:6" ht="15.75" thickBot="1" x14ac:dyDescent="0.3">
      <c r="A298" s="31">
        <v>42002</v>
      </c>
      <c r="B298" s="36" t="s">
        <v>7</v>
      </c>
      <c r="C298" s="36" t="s">
        <v>7</v>
      </c>
      <c r="D298" s="36">
        <v>3.3149999999999999</v>
      </c>
      <c r="E298" s="38" t="s">
        <v>12399</v>
      </c>
      <c r="F298" s="36" t="s">
        <v>12464</v>
      </c>
    </row>
    <row r="299" spans="1:6" ht="15.75" thickBot="1" x14ac:dyDescent="0.3">
      <c r="A299" s="35">
        <v>42002</v>
      </c>
      <c r="B299" s="36" t="s">
        <v>6</v>
      </c>
      <c r="C299" s="36" t="s">
        <v>7</v>
      </c>
      <c r="D299" s="36">
        <v>7</v>
      </c>
      <c r="E299" s="38" t="s">
        <v>12359</v>
      </c>
      <c r="F299" s="36" t="s">
        <v>12463</v>
      </c>
    </row>
    <row r="300" spans="1:6" ht="15.75" thickBot="1" x14ac:dyDescent="0.3">
      <c r="A300" s="35">
        <v>42002</v>
      </c>
      <c r="B300" s="36" t="s">
        <v>6</v>
      </c>
      <c r="C300" s="36" t="s">
        <v>7</v>
      </c>
      <c r="D300" s="36">
        <v>3.75</v>
      </c>
      <c r="E300" s="38" t="s">
        <v>12397</v>
      </c>
      <c r="F300" s="36" t="s">
        <v>12462</v>
      </c>
    </row>
    <row r="301" spans="1:6" ht="15.75" thickBot="1" x14ac:dyDescent="0.3">
      <c r="A301" s="31">
        <v>42002</v>
      </c>
      <c r="B301" s="36" t="s">
        <v>7</v>
      </c>
      <c r="C301" s="36" t="s">
        <v>6</v>
      </c>
      <c r="D301" s="36">
        <v>3.31</v>
      </c>
      <c r="E301" s="38" t="s">
        <v>12373</v>
      </c>
      <c r="F301" s="36" t="s">
        <v>12465</v>
      </c>
    </row>
    <row r="302" spans="1:6" ht="15.75" thickBot="1" x14ac:dyDescent="0.3">
      <c r="A302" s="31">
        <v>42002</v>
      </c>
      <c r="B302" s="36" t="s">
        <v>6</v>
      </c>
      <c r="C302" s="36" t="s">
        <v>7</v>
      </c>
      <c r="D302" s="36">
        <v>3.8250000000000002</v>
      </c>
      <c r="E302" s="38" t="s">
        <v>12412</v>
      </c>
      <c r="F302" s="39" t="s">
        <v>12411</v>
      </c>
    </row>
    <row r="303" spans="1:6" ht="15.75" thickBot="1" x14ac:dyDescent="0.3">
      <c r="A303" s="31">
        <v>42003</v>
      </c>
      <c r="B303" s="36" t="s">
        <v>7</v>
      </c>
      <c r="C303" s="36" t="s">
        <v>7</v>
      </c>
      <c r="D303" s="36">
        <v>10.199999999999999</v>
      </c>
      <c r="E303" s="38" t="s">
        <v>12379</v>
      </c>
      <c r="F303" s="39" t="s">
        <v>12552</v>
      </c>
    </row>
    <row r="304" spans="1:6" ht="15.75" thickBot="1" x14ac:dyDescent="0.3">
      <c r="A304" s="31">
        <v>42003</v>
      </c>
      <c r="B304" s="36" t="s">
        <v>7</v>
      </c>
      <c r="C304" s="36" t="s">
        <v>7</v>
      </c>
      <c r="D304" s="36">
        <v>5.0999999999999996</v>
      </c>
      <c r="E304" s="38" t="s">
        <v>12381</v>
      </c>
      <c r="F304" s="39" t="s">
        <v>12553</v>
      </c>
    </row>
    <row r="305" spans="1:6" ht="15.75" thickBot="1" x14ac:dyDescent="0.3">
      <c r="A305" s="31">
        <v>42003</v>
      </c>
      <c r="B305" s="36" t="s">
        <v>7</v>
      </c>
      <c r="C305" s="36" t="s">
        <v>7</v>
      </c>
      <c r="D305" s="36">
        <v>4.08</v>
      </c>
      <c r="E305" s="38" t="s">
        <v>12401</v>
      </c>
      <c r="F305" s="36" t="s">
        <v>12456</v>
      </c>
    </row>
    <row r="306" spans="1:6" ht="15.75" thickBot="1" x14ac:dyDescent="0.3">
      <c r="A306" s="31">
        <v>42003</v>
      </c>
      <c r="B306" s="36" t="s">
        <v>6</v>
      </c>
      <c r="C306" s="36" t="s">
        <v>7</v>
      </c>
      <c r="D306" s="36">
        <v>9.9450000000000003</v>
      </c>
      <c r="E306" s="38" t="s">
        <v>12408</v>
      </c>
      <c r="F306" s="36" t="s">
        <v>12457</v>
      </c>
    </row>
    <row r="307" spans="1:6" ht="15.75" thickBot="1" x14ac:dyDescent="0.3">
      <c r="A307" s="31">
        <v>42003</v>
      </c>
      <c r="B307" s="36" t="s">
        <v>6</v>
      </c>
      <c r="C307" s="36" t="s">
        <v>6</v>
      </c>
      <c r="D307" s="36">
        <v>8.4149999999999991</v>
      </c>
      <c r="E307" s="38" t="s">
        <v>12371</v>
      </c>
      <c r="F307" s="36" t="s">
        <v>12551</v>
      </c>
    </row>
    <row r="308" spans="1:6" ht="15.75" thickBot="1" x14ac:dyDescent="0.3">
      <c r="A308" s="31">
        <v>42003</v>
      </c>
      <c r="B308" s="36" t="s">
        <v>6</v>
      </c>
      <c r="C308" s="36" t="s">
        <v>6</v>
      </c>
      <c r="D308" s="36">
        <v>8.16</v>
      </c>
      <c r="E308" s="38" t="s">
        <v>12392</v>
      </c>
      <c r="F308" s="36" t="s">
        <v>12458</v>
      </c>
    </row>
    <row r="309" spans="1:6" ht="15.75" thickBot="1" x14ac:dyDescent="0.3">
      <c r="A309" s="31">
        <v>42003</v>
      </c>
      <c r="B309" s="36" t="s">
        <v>7</v>
      </c>
      <c r="C309" s="36" t="s">
        <v>7</v>
      </c>
      <c r="D309" s="36">
        <v>5.61</v>
      </c>
      <c r="E309" s="38" t="s">
        <v>12365</v>
      </c>
      <c r="F309" s="36" t="s">
        <v>12459</v>
      </c>
    </row>
    <row r="310" spans="1:6" ht="15.75" thickBot="1" x14ac:dyDescent="0.3">
      <c r="A310" s="31">
        <v>42003</v>
      </c>
      <c r="B310" s="36" t="s">
        <v>7</v>
      </c>
      <c r="C310" s="36" t="s">
        <v>7</v>
      </c>
      <c r="D310" s="36">
        <v>5.0999999999999996</v>
      </c>
      <c r="E310" s="38" t="s">
        <v>12427</v>
      </c>
      <c r="F310" s="36" t="s">
        <v>12460</v>
      </c>
    </row>
    <row r="311" spans="1:6" ht="15.75" thickBot="1" x14ac:dyDescent="0.3">
      <c r="A311" s="35">
        <v>42003</v>
      </c>
      <c r="B311" s="36" t="s">
        <v>6</v>
      </c>
      <c r="C311" s="36" t="s">
        <v>6</v>
      </c>
      <c r="D311" s="36">
        <v>3.5</v>
      </c>
      <c r="E311" s="38" t="s">
        <v>12425</v>
      </c>
      <c r="F311" s="36" t="s">
        <v>12455</v>
      </c>
    </row>
    <row r="312" spans="1:6" ht="15.75" thickBot="1" x14ac:dyDescent="0.3">
      <c r="A312" s="31">
        <v>42003</v>
      </c>
      <c r="B312" s="36" t="s">
        <v>7</v>
      </c>
      <c r="C312" s="36" t="s">
        <v>7</v>
      </c>
      <c r="D312" s="36">
        <v>4.33</v>
      </c>
      <c r="E312" s="38" t="s">
        <v>12420</v>
      </c>
      <c r="F312" s="36" t="s">
        <v>12461</v>
      </c>
    </row>
    <row r="313" spans="1:6" ht="15.75" thickBot="1" x14ac:dyDescent="0.3">
      <c r="A313" s="31">
        <v>42004</v>
      </c>
      <c r="B313" s="36" t="s">
        <v>7</v>
      </c>
      <c r="C313" s="36" t="s">
        <v>6</v>
      </c>
      <c r="D313" s="36">
        <v>7.14</v>
      </c>
      <c r="E313" s="38" t="s">
        <v>12363</v>
      </c>
      <c r="F313" s="36" t="s">
        <v>12454</v>
      </c>
    </row>
    <row r="314" spans="1:6" ht="15.75" thickBot="1" x14ac:dyDescent="0.3">
      <c r="A314" s="31">
        <v>42004</v>
      </c>
      <c r="B314" s="36" t="s">
        <v>6</v>
      </c>
      <c r="C314" s="36" t="s">
        <v>7</v>
      </c>
      <c r="D314" s="36">
        <v>2.04</v>
      </c>
      <c r="E314" s="38" t="s">
        <v>12390</v>
      </c>
      <c r="F314" s="36" t="s">
        <v>12453</v>
      </c>
    </row>
    <row r="315" spans="1:6" ht="15.75" thickBot="1" x14ac:dyDescent="0.3">
      <c r="A315" s="35">
        <v>42005</v>
      </c>
      <c r="B315" s="36" t="s">
        <v>7</v>
      </c>
      <c r="C315" s="36" t="s">
        <v>7</v>
      </c>
      <c r="D315" s="36">
        <v>6.12</v>
      </c>
      <c r="E315" s="38" t="s">
        <v>12972</v>
      </c>
      <c r="F315" s="37" t="s">
        <v>13032</v>
      </c>
    </row>
    <row r="316" spans="1:6" ht="15.75" thickBot="1" x14ac:dyDescent="0.3">
      <c r="A316" s="35">
        <v>42005</v>
      </c>
      <c r="B316" s="36" t="s">
        <v>6</v>
      </c>
      <c r="C316" s="36" t="s">
        <v>7</v>
      </c>
      <c r="D316" s="36">
        <v>11</v>
      </c>
      <c r="E316" s="38" t="s">
        <v>12971</v>
      </c>
      <c r="F316" s="37" t="s">
        <v>13044</v>
      </c>
    </row>
    <row r="317" spans="1:6" ht="15.75" thickBot="1" x14ac:dyDescent="0.3">
      <c r="A317" s="35">
        <v>42006</v>
      </c>
      <c r="B317" s="36" t="s">
        <v>7</v>
      </c>
      <c r="C317" s="36" t="s">
        <v>7</v>
      </c>
      <c r="D317" s="36">
        <v>7.5</v>
      </c>
      <c r="E317" s="38" t="s">
        <v>12367</v>
      </c>
      <c r="F317" s="37" t="s">
        <v>12452</v>
      </c>
    </row>
    <row r="318" spans="1:6" ht="15.75" thickBot="1" x14ac:dyDescent="0.3">
      <c r="A318" s="31">
        <v>42006</v>
      </c>
      <c r="B318" s="36" t="s">
        <v>7</v>
      </c>
      <c r="C318" s="36" t="s">
        <v>6</v>
      </c>
      <c r="D318" s="36">
        <v>5.0999999999999996</v>
      </c>
      <c r="E318" s="38" t="s">
        <v>12387</v>
      </c>
      <c r="F318" s="36" t="s">
        <v>12386</v>
      </c>
    </row>
    <row r="319" spans="1:6" ht="15.75" thickBot="1" x14ac:dyDescent="0.3">
      <c r="A319" s="31">
        <v>42006</v>
      </c>
      <c r="B319" s="36" t="s">
        <v>7</v>
      </c>
      <c r="C319" s="36" t="s">
        <v>6</v>
      </c>
      <c r="D319" s="36">
        <v>4.08</v>
      </c>
      <c r="E319" s="38" t="s">
        <v>12423</v>
      </c>
      <c r="F319" s="36" t="s">
        <v>12550</v>
      </c>
    </row>
    <row r="320" spans="1:6" ht="15.75" thickBot="1" x14ac:dyDescent="0.3">
      <c r="A320" s="31">
        <v>42007</v>
      </c>
      <c r="B320" s="36" t="s">
        <v>7</v>
      </c>
      <c r="C320" s="36" t="s">
        <v>7</v>
      </c>
      <c r="D320" s="36">
        <v>6.63</v>
      </c>
      <c r="E320" s="38" t="s">
        <v>12385</v>
      </c>
      <c r="F320" s="36" t="s">
        <v>12449</v>
      </c>
    </row>
    <row r="321" spans="1:6" ht="15.75" thickBot="1" x14ac:dyDescent="0.3">
      <c r="A321" s="31">
        <v>42007</v>
      </c>
      <c r="B321" s="36" t="s">
        <v>6</v>
      </c>
      <c r="C321" s="36" t="s">
        <v>6</v>
      </c>
      <c r="D321" s="37">
        <v>7.8</v>
      </c>
      <c r="E321" s="38" t="s">
        <v>12383</v>
      </c>
      <c r="F321" s="37" t="s">
        <v>12382</v>
      </c>
    </row>
    <row r="322" spans="1:6" ht="15.75" thickBot="1" x14ac:dyDescent="0.3">
      <c r="A322" s="31">
        <v>42007</v>
      </c>
      <c r="B322" s="36" t="s">
        <v>6</v>
      </c>
      <c r="C322" s="36" t="s">
        <v>6</v>
      </c>
      <c r="D322" s="37">
        <v>5.2</v>
      </c>
      <c r="E322" s="38" t="s">
        <v>12361</v>
      </c>
      <c r="F322" s="37" t="s">
        <v>12360</v>
      </c>
    </row>
    <row r="323" spans="1:6" ht="15.75" thickBot="1" x14ac:dyDescent="0.3">
      <c r="A323" s="35">
        <v>42007</v>
      </c>
      <c r="B323" s="36" t="s">
        <v>6</v>
      </c>
      <c r="C323" s="36" t="s">
        <v>6</v>
      </c>
      <c r="D323" s="36">
        <v>10.25</v>
      </c>
      <c r="E323" s="38" t="s">
        <v>12403</v>
      </c>
      <c r="F323" s="36" t="s">
        <v>12402</v>
      </c>
    </row>
    <row r="324" spans="1:6" ht="15.75" thickBot="1" x14ac:dyDescent="0.3">
      <c r="A324" s="31">
        <v>42007</v>
      </c>
      <c r="B324" s="36" t="s">
        <v>7</v>
      </c>
      <c r="C324" s="36" t="s">
        <v>6</v>
      </c>
      <c r="D324" s="36">
        <v>6.37</v>
      </c>
      <c r="E324" s="38" t="s">
        <v>12394</v>
      </c>
      <c r="F324" s="36" t="s">
        <v>12450</v>
      </c>
    </row>
    <row r="325" spans="1:6" ht="15.75" thickBot="1" x14ac:dyDescent="0.3">
      <c r="A325" s="31">
        <v>42007</v>
      </c>
      <c r="B325" s="36" t="s">
        <v>7</v>
      </c>
      <c r="C325" s="36" t="s">
        <v>7</v>
      </c>
      <c r="D325" s="36">
        <v>12.75</v>
      </c>
      <c r="E325" s="38" t="s">
        <v>12418</v>
      </c>
      <c r="F325" s="36" t="s">
        <v>12451</v>
      </c>
    </row>
    <row r="326" spans="1:6" ht="15.75" thickBot="1" x14ac:dyDescent="0.3">
      <c r="A326" s="31">
        <v>42007</v>
      </c>
      <c r="B326" s="36" t="s">
        <v>7</v>
      </c>
      <c r="C326" s="36" t="s">
        <v>6</v>
      </c>
      <c r="D326" s="36">
        <v>5.61</v>
      </c>
      <c r="E326" s="38" t="s">
        <v>12410</v>
      </c>
      <c r="F326" s="36" t="s">
        <v>12409</v>
      </c>
    </row>
    <row r="327" spans="1:6" ht="15.75" thickBot="1" x14ac:dyDescent="0.3">
      <c r="A327" s="31">
        <v>42007</v>
      </c>
      <c r="B327" s="36" t="s">
        <v>7</v>
      </c>
      <c r="C327" s="36" t="s">
        <v>6</v>
      </c>
      <c r="D327" s="36">
        <v>4.08</v>
      </c>
      <c r="E327" s="38" t="s">
        <v>12414</v>
      </c>
      <c r="F327" s="36" t="s">
        <v>12413</v>
      </c>
    </row>
    <row r="328" spans="1:6" ht="15.75" thickBot="1" x14ac:dyDescent="0.3">
      <c r="A328" s="31">
        <v>42009</v>
      </c>
      <c r="B328" s="36" t="s">
        <v>7</v>
      </c>
      <c r="C328" s="36" t="s">
        <v>6</v>
      </c>
      <c r="D328" s="36">
        <v>6.375</v>
      </c>
      <c r="E328" s="38" t="s">
        <v>12430</v>
      </c>
      <c r="F328" s="36" t="s">
        <v>12431</v>
      </c>
    </row>
    <row r="329" spans="1:6" ht="15.75" thickBot="1" x14ac:dyDescent="0.3">
      <c r="A329" s="31">
        <v>42009</v>
      </c>
      <c r="B329" s="36" t="s">
        <v>6</v>
      </c>
      <c r="C329" s="36" t="s">
        <v>6</v>
      </c>
      <c r="D329" s="36">
        <v>12.25</v>
      </c>
      <c r="E329" s="38" t="s">
        <v>12432</v>
      </c>
      <c r="F329" s="36" t="s">
        <v>12433</v>
      </c>
    </row>
    <row r="330" spans="1:6" ht="15.75" thickBot="1" x14ac:dyDescent="0.3">
      <c r="A330" s="31">
        <v>42009</v>
      </c>
      <c r="B330" s="36" t="s">
        <v>6</v>
      </c>
      <c r="C330" s="36" t="s">
        <v>6</v>
      </c>
      <c r="D330" s="36">
        <v>10.199999999999999</v>
      </c>
      <c r="E330" s="38" t="s">
        <v>12434</v>
      </c>
      <c r="F330" s="36" t="s">
        <v>12435</v>
      </c>
    </row>
    <row r="331" spans="1:6" ht="15.75" thickBot="1" x14ac:dyDescent="0.3">
      <c r="A331" s="31">
        <v>42009</v>
      </c>
      <c r="B331" s="36" t="s">
        <v>7</v>
      </c>
      <c r="C331" s="36" t="s">
        <v>6</v>
      </c>
      <c r="D331" s="36">
        <v>4.95</v>
      </c>
      <c r="E331" s="38" t="s">
        <v>12436</v>
      </c>
      <c r="F331" s="36" t="s">
        <v>12437</v>
      </c>
    </row>
    <row r="332" spans="1:6" ht="15.75" thickBot="1" x14ac:dyDescent="0.3">
      <c r="A332" s="35">
        <v>42009</v>
      </c>
      <c r="B332" s="36" t="s">
        <v>7</v>
      </c>
      <c r="C332" s="36" t="s">
        <v>7</v>
      </c>
      <c r="D332" s="36">
        <v>3.5</v>
      </c>
      <c r="E332" s="38" t="s">
        <v>12667</v>
      </c>
      <c r="F332" s="36" t="s">
        <v>12789</v>
      </c>
    </row>
    <row r="333" spans="1:6" ht="15.75" thickBot="1" x14ac:dyDescent="0.3">
      <c r="A333" s="35">
        <v>42009</v>
      </c>
      <c r="B333" s="36" t="s">
        <v>7</v>
      </c>
      <c r="C333" s="36" t="s">
        <v>7</v>
      </c>
      <c r="D333" s="36">
        <v>15.25</v>
      </c>
      <c r="E333" s="38" t="s">
        <v>12663</v>
      </c>
      <c r="F333" s="36" t="s">
        <v>12790</v>
      </c>
    </row>
    <row r="334" spans="1:6" ht="15.75" thickBot="1" x14ac:dyDescent="0.3">
      <c r="A334" s="35">
        <v>42009</v>
      </c>
      <c r="B334" s="36" t="s">
        <v>7</v>
      </c>
      <c r="C334" s="36" t="s">
        <v>7</v>
      </c>
      <c r="D334" s="36">
        <v>9</v>
      </c>
      <c r="E334" s="38" t="s">
        <v>12665</v>
      </c>
      <c r="F334" s="36" t="s">
        <v>12791</v>
      </c>
    </row>
    <row r="335" spans="1:6" ht="15.75" thickBot="1" x14ac:dyDescent="0.3">
      <c r="A335" s="35">
        <v>42009</v>
      </c>
      <c r="B335" s="36" t="s">
        <v>7</v>
      </c>
      <c r="C335" s="36" t="s">
        <v>13422</v>
      </c>
      <c r="D335" s="36">
        <v>7</v>
      </c>
      <c r="E335" s="38" t="s">
        <v>12666</v>
      </c>
      <c r="F335" s="36" t="s">
        <v>12910</v>
      </c>
    </row>
    <row r="336" spans="1:6" ht="15.75" thickBot="1" x14ac:dyDescent="0.3">
      <c r="A336" s="35">
        <v>42009</v>
      </c>
      <c r="B336" s="36" t="s">
        <v>7</v>
      </c>
      <c r="C336" s="36" t="s">
        <v>7</v>
      </c>
      <c r="D336" s="36">
        <v>8</v>
      </c>
      <c r="E336" s="38" t="s">
        <v>12664</v>
      </c>
      <c r="F336" s="36" t="s">
        <v>12909</v>
      </c>
    </row>
    <row r="337" spans="1:6" ht="15.75" thickBot="1" x14ac:dyDescent="0.3">
      <c r="A337" s="31">
        <v>42009</v>
      </c>
      <c r="B337" s="36" t="s">
        <v>7</v>
      </c>
      <c r="C337" s="36" t="s">
        <v>7</v>
      </c>
      <c r="D337" s="36">
        <v>2.5499999999999998</v>
      </c>
      <c r="E337" s="38" t="s">
        <v>12442</v>
      </c>
      <c r="F337" s="36" t="s">
        <v>12443</v>
      </c>
    </row>
    <row r="338" spans="1:6" ht="15.75" thickBot="1" x14ac:dyDescent="0.3">
      <c r="A338" s="31">
        <v>42009</v>
      </c>
      <c r="B338" s="36" t="s">
        <v>7</v>
      </c>
      <c r="C338" s="36" t="s">
        <v>7</v>
      </c>
      <c r="D338" s="36">
        <v>5.35</v>
      </c>
      <c r="E338" s="38" t="s">
        <v>12444</v>
      </c>
      <c r="F338" s="36" t="s">
        <v>12445</v>
      </c>
    </row>
    <row r="339" spans="1:6" ht="15.75" thickBot="1" x14ac:dyDescent="0.3">
      <c r="A339" s="31">
        <v>42009</v>
      </c>
      <c r="B339" s="36" t="s">
        <v>7</v>
      </c>
      <c r="C339" s="36" t="s">
        <v>7</v>
      </c>
      <c r="D339" s="36">
        <v>5.35</v>
      </c>
      <c r="E339" s="38" t="s">
        <v>12446</v>
      </c>
      <c r="F339" s="36" t="s">
        <v>12447</v>
      </c>
    </row>
    <row r="340" spans="1:6" ht="15.75" thickBot="1" x14ac:dyDescent="0.3">
      <c r="A340" s="31">
        <v>42009</v>
      </c>
      <c r="B340" s="36" t="s">
        <v>7</v>
      </c>
      <c r="C340" s="36" t="s">
        <v>7</v>
      </c>
      <c r="D340" s="36">
        <v>5.61</v>
      </c>
      <c r="E340" s="38" t="s">
        <v>12438</v>
      </c>
      <c r="F340" s="36" t="s">
        <v>12439</v>
      </c>
    </row>
    <row r="341" spans="1:6" ht="15.75" thickBot="1" x14ac:dyDescent="0.3">
      <c r="A341" s="31">
        <v>42009</v>
      </c>
      <c r="B341" s="36" t="s">
        <v>7</v>
      </c>
      <c r="C341" s="36" t="s">
        <v>7</v>
      </c>
      <c r="D341" s="36">
        <v>3.3149999999999999</v>
      </c>
      <c r="E341" s="38" t="s">
        <v>12440</v>
      </c>
      <c r="F341" s="36" t="s">
        <v>12441</v>
      </c>
    </row>
    <row r="342" spans="1:6" ht="15.75" thickBot="1" x14ac:dyDescent="0.3">
      <c r="A342" s="31">
        <v>42010</v>
      </c>
      <c r="B342" s="36" t="s">
        <v>6</v>
      </c>
      <c r="C342" s="36" t="s">
        <v>7</v>
      </c>
      <c r="D342" s="36">
        <v>12.5</v>
      </c>
      <c r="E342" s="38" t="s">
        <v>12654</v>
      </c>
      <c r="F342" s="36" t="s">
        <v>12747</v>
      </c>
    </row>
    <row r="343" spans="1:6" ht="15.75" thickBot="1" x14ac:dyDescent="0.3">
      <c r="A343" s="31">
        <v>42010</v>
      </c>
      <c r="B343" s="36" t="s">
        <v>7</v>
      </c>
      <c r="C343" s="36" t="s">
        <v>6</v>
      </c>
      <c r="D343" s="37">
        <v>3.8250000000000002</v>
      </c>
      <c r="E343" s="38" t="s">
        <v>12658</v>
      </c>
      <c r="F343" s="37" t="s">
        <v>12750</v>
      </c>
    </row>
    <row r="344" spans="1:6" ht="15.75" thickBot="1" x14ac:dyDescent="0.3">
      <c r="A344" s="31">
        <v>42010</v>
      </c>
      <c r="B344" s="36" t="s">
        <v>6</v>
      </c>
      <c r="C344" s="36" t="s">
        <v>7</v>
      </c>
      <c r="D344" s="37">
        <v>5.46</v>
      </c>
      <c r="E344" s="38" t="s">
        <v>12661</v>
      </c>
      <c r="F344" s="37" t="s">
        <v>12753</v>
      </c>
    </row>
    <row r="345" spans="1:6" ht="15.75" thickBot="1" x14ac:dyDescent="0.3">
      <c r="A345" s="35">
        <v>42010</v>
      </c>
      <c r="B345" s="36" t="s">
        <v>7</v>
      </c>
      <c r="C345" s="36" t="s">
        <v>7</v>
      </c>
      <c r="D345" s="36">
        <v>9.5</v>
      </c>
      <c r="E345" s="38" t="s">
        <v>12660</v>
      </c>
      <c r="F345" s="36" t="s">
        <v>12904</v>
      </c>
    </row>
    <row r="346" spans="1:6" ht="15.75" thickBot="1" x14ac:dyDescent="0.3">
      <c r="A346" s="35">
        <v>42010</v>
      </c>
      <c r="B346" s="36" t="s">
        <v>6</v>
      </c>
      <c r="C346" s="36" t="s">
        <v>6</v>
      </c>
      <c r="D346" s="36">
        <v>8</v>
      </c>
      <c r="E346" s="38" t="s">
        <v>12655</v>
      </c>
      <c r="F346" s="36" t="s">
        <v>12787</v>
      </c>
    </row>
    <row r="347" spans="1:6" ht="15.75" thickBot="1" x14ac:dyDescent="0.3">
      <c r="A347" s="35">
        <v>42010</v>
      </c>
      <c r="B347" s="36" t="s">
        <v>7</v>
      </c>
      <c r="C347" s="36" t="s">
        <v>7</v>
      </c>
      <c r="D347" s="36">
        <v>3.75</v>
      </c>
      <c r="E347" s="38" t="s">
        <v>12656</v>
      </c>
      <c r="F347" s="36" t="s">
        <v>12901</v>
      </c>
    </row>
    <row r="348" spans="1:6" ht="15.75" thickBot="1" x14ac:dyDescent="0.3">
      <c r="A348" s="35">
        <v>42010</v>
      </c>
      <c r="B348" s="36" t="s">
        <v>6</v>
      </c>
      <c r="C348" s="36" t="s">
        <v>7</v>
      </c>
      <c r="D348" s="36">
        <v>2.75</v>
      </c>
      <c r="E348" s="38" t="s">
        <v>12657</v>
      </c>
      <c r="F348" s="36" t="s">
        <v>12788</v>
      </c>
    </row>
    <row r="349" spans="1:6" ht="15.75" thickBot="1" x14ac:dyDescent="0.3">
      <c r="A349" s="31">
        <v>42010</v>
      </c>
      <c r="B349" s="36" t="s">
        <v>7</v>
      </c>
      <c r="C349" s="36" t="s">
        <v>7</v>
      </c>
      <c r="D349" s="36">
        <v>5.8650000000000002</v>
      </c>
      <c r="E349" s="38" t="s">
        <v>12652</v>
      </c>
      <c r="F349" s="36" t="s">
        <v>12745</v>
      </c>
    </row>
    <row r="350" spans="1:6" ht="15.75" thickBot="1" x14ac:dyDescent="0.3">
      <c r="A350" s="31">
        <v>42010</v>
      </c>
      <c r="B350" s="36" t="s">
        <v>7</v>
      </c>
      <c r="C350" s="36" t="s">
        <v>7</v>
      </c>
      <c r="D350" s="36">
        <v>5.0999999999999996</v>
      </c>
      <c r="E350" s="38" t="s">
        <v>12659</v>
      </c>
      <c r="F350" s="39" t="s">
        <v>12751</v>
      </c>
    </row>
    <row r="351" spans="1:6" ht="15.75" thickBot="1" x14ac:dyDescent="0.3">
      <c r="A351" s="31">
        <v>42010</v>
      </c>
      <c r="B351" s="36" t="s">
        <v>7</v>
      </c>
      <c r="C351" s="36" t="s">
        <v>7</v>
      </c>
      <c r="D351" s="36">
        <v>9.9450000000000003</v>
      </c>
      <c r="E351" s="38" t="s">
        <v>12653</v>
      </c>
      <c r="F351" s="39" t="s">
        <v>12746</v>
      </c>
    </row>
    <row r="352" spans="1:6" ht="15.75" thickBot="1" x14ac:dyDescent="0.3">
      <c r="A352" s="31">
        <v>42011</v>
      </c>
      <c r="B352" s="36" t="s">
        <v>7</v>
      </c>
      <c r="C352" s="36" t="s">
        <v>7</v>
      </c>
      <c r="D352" s="36">
        <v>14.28</v>
      </c>
      <c r="E352" s="38" t="s">
        <v>12651</v>
      </c>
      <c r="F352" s="36" t="s">
        <v>12897</v>
      </c>
    </row>
    <row r="353" spans="1:6" ht="15.75" thickBot="1" x14ac:dyDescent="0.3">
      <c r="A353" s="31">
        <v>42011</v>
      </c>
      <c r="B353" s="36" t="s">
        <v>7</v>
      </c>
      <c r="C353" s="36" t="s">
        <v>6</v>
      </c>
      <c r="D353" s="36">
        <v>3.3149999999999999</v>
      </c>
      <c r="E353" s="38" t="s">
        <v>12643</v>
      </c>
      <c r="F353" s="36" t="s">
        <v>12893</v>
      </c>
    </row>
    <row r="354" spans="1:6" ht="15.75" thickBot="1" x14ac:dyDescent="0.3">
      <c r="A354" s="31">
        <v>42011</v>
      </c>
      <c r="B354" s="36" t="s">
        <v>7</v>
      </c>
      <c r="C354" s="36" t="s">
        <v>7</v>
      </c>
      <c r="D354" s="36">
        <v>2.5499999999999998</v>
      </c>
      <c r="E354" s="38" t="s">
        <v>12645</v>
      </c>
      <c r="F354" s="36" t="s">
        <v>12784</v>
      </c>
    </row>
    <row r="355" spans="1:6" ht="15.75" thickBot="1" x14ac:dyDescent="0.3">
      <c r="A355" s="31">
        <v>42011</v>
      </c>
      <c r="B355" s="36" t="s">
        <v>7</v>
      </c>
      <c r="C355" s="36" t="s">
        <v>7</v>
      </c>
      <c r="D355" s="36">
        <v>6.24</v>
      </c>
      <c r="E355" s="38" t="s">
        <v>12648</v>
      </c>
      <c r="F355" s="36" t="s">
        <v>12785</v>
      </c>
    </row>
    <row r="356" spans="1:6" ht="15.75" thickBot="1" x14ac:dyDescent="0.3">
      <c r="A356" s="31">
        <v>42011</v>
      </c>
      <c r="B356" s="36" t="s">
        <v>7</v>
      </c>
      <c r="C356" s="36" t="s">
        <v>6</v>
      </c>
      <c r="D356" s="36">
        <v>6.375</v>
      </c>
      <c r="E356" s="38" t="s">
        <v>12644</v>
      </c>
      <c r="F356" s="36" t="s">
        <v>12786</v>
      </c>
    </row>
    <row r="357" spans="1:6" ht="15.75" thickBot="1" x14ac:dyDescent="0.3">
      <c r="A357" s="35">
        <v>42011</v>
      </c>
      <c r="B357" s="36" t="s">
        <v>6</v>
      </c>
      <c r="C357" s="36" t="s">
        <v>7</v>
      </c>
      <c r="D357" s="36">
        <v>8.25</v>
      </c>
      <c r="E357" s="38" t="s">
        <v>12647</v>
      </c>
      <c r="F357" s="36" t="s">
        <v>12783</v>
      </c>
    </row>
    <row r="358" spans="1:6" ht="15.75" thickBot="1" x14ac:dyDescent="0.3">
      <c r="A358" s="35">
        <v>42011</v>
      </c>
      <c r="B358" s="36" t="s">
        <v>6</v>
      </c>
      <c r="C358" s="36" t="s">
        <v>6</v>
      </c>
      <c r="D358" s="37">
        <v>8.9250000000000007</v>
      </c>
      <c r="E358" s="38" t="s">
        <v>12650</v>
      </c>
      <c r="F358" s="37" t="s">
        <v>12743</v>
      </c>
    </row>
    <row r="359" spans="1:6" ht="15.75" thickBot="1" x14ac:dyDescent="0.3">
      <c r="A359" s="31">
        <v>42011</v>
      </c>
      <c r="B359" s="36" t="s">
        <v>6</v>
      </c>
      <c r="C359" s="36" t="s">
        <v>6</v>
      </c>
      <c r="D359" s="36">
        <v>4.59</v>
      </c>
      <c r="E359" s="38" t="s">
        <v>12646</v>
      </c>
      <c r="F359" s="36" t="s">
        <v>12739</v>
      </c>
    </row>
    <row r="360" spans="1:6" ht="15.75" thickBot="1" x14ac:dyDescent="0.3">
      <c r="A360" s="31">
        <v>42011</v>
      </c>
      <c r="B360" s="36" t="s">
        <v>7</v>
      </c>
      <c r="C360" s="36" t="s">
        <v>6</v>
      </c>
      <c r="D360" s="36">
        <v>5.3550000000000004</v>
      </c>
      <c r="E360" s="38" t="s">
        <v>12649</v>
      </c>
      <c r="F360" s="36" t="s">
        <v>12742</v>
      </c>
    </row>
    <row r="361" spans="1:6" ht="15.75" thickBot="1" x14ac:dyDescent="0.3">
      <c r="A361" s="31">
        <v>42012</v>
      </c>
      <c r="B361" s="36" t="s">
        <v>6</v>
      </c>
      <c r="C361" s="36" t="s">
        <v>7</v>
      </c>
      <c r="D361" s="36">
        <v>8.5</v>
      </c>
      <c r="E361" s="38" t="s">
        <v>12636</v>
      </c>
      <c r="F361" s="36" t="s">
        <v>12782</v>
      </c>
    </row>
    <row r="362" spans="1:6" ht="15.75" thickBot="1" x14ac:dyDescent="0.3">
      <c r="A362" s="31">
        <v>42012</v>
      </c>
      <c r="B362" s="36" t="s">
        <v>7</v>
      </c>
      <c r="C362" s="36" t="s">
        <v>6</v>
      </c>
      <c r="D362" s="36">
        <v>10.199999999999999</v>
      </c>
      <c r="E362" s="38" t="s">
        <v>12638</v>
      </c>
      <c r="F362" s="36" t="s">
        <v>12781</v>
      </c>
    </row>
    <row r="363" spans="1:6" ht="15.75" thickBot="1" x14ac:dyDescent="0.3">
      <c r="A363" s="35">
        <v>42012</v>
      </c>
      <c r="B363" s="36" t="s">
        <v>7</v>
      </c>
      <c r="C363" s="36" t="s">
        <v>7</v>
      </c>
      <c r="D363" s="36">
        <v>8.5</v>
      </c>
      <c r="E363" s="38" t="s">
        <v>12637</v>
      </c>
      <c r="F363" s="36" t="s">
        <v>12730</v>
      </c>
    </row>
    <row r="364" spans="1:6" ht="15.75" thickBot="1" x14ac:dyDescent="0.3">
      <c r="A364" s="35">
        <v>42012</v>
      </c>
      <c r="B364" s="36" t="s">
        <v>7</v>
      </c>
      <c r="C364" s="36" t="s">
        <v>6</v>
      </c>
      <c r="D364" s="37">
        <v>6.375</v>
      </c>
      <c r="E364" s="38" t="s">
        <v>12642</v>
      </c>
      <c r="F364" s="37" t="s">
        <v>12735</v>
      </c>
    </row>
    <row r="365" spans="1:6" ht="15.75" thickBot="1" x14ac:dyDescent="0.3">
      <c r="A365" s="35">
        <v>42012</v>
      </c>
      <c r="B365" s="36" t="s">
        <v>7</v>
      </c>
      <c r="C365" s="36" t="s">
        <v>7</v>
      </c>
      <c r="D365" s="37">
        <v>4.08</v>
      </c>
      <c r="E365" s="38" t="s">
        <v>12641</v>
      </c>
      <c r="F365" s="37" t="s">
        <v>12734</v>
      </c>
    </row>
    <row r="366" spans="1:6" ht="15.75" thickBot="1" x14ac:dyDescent="0.3">
      <c r="A366" s="35">
        <v>42012</v>
      </c>
      <c r="B366" s="36" t="s">
        <v>7</v>
      </c>
      <c r="C366" s="36" t="s">
        <v>6</v>
      </c>
      <c r="D366" s="37">
        <v>6.8849999999999998</v>
      </c>
      <c r="E366" s="38" t="s">
        <v>12634</v>
      </c>
      <c r="F366" s="37" t="s">
        <v>12727</v>
      </c>
    </row>
    <row r="367" spans="1:6" ht="15.75" thickBot="1" x14ac:dyDescent="0.3">
      <c r="A367" s="35">
        <v>42012</v>
      </c>
      <c r="B367" s="36" t="s">
        <v>7</v>
      </c>
      <c r="C367" s="36" t="s">
        <v>7</v>
      </c>
      <c r="D367" s="37">
        <v>12.75</v>
      </c>
      <c r="E367" s="38" t="s">
        <v>12640</v>
      </c>
      <c r="F367" s="37" t="s">
        <v>12733</v>
      </c>
    </row>
    <row r="368" spans="1:6" ht="15.75" thickBot="1" x14ac:dyDescent="0.3">
      <c r="A368" s="31">
        <v>42012</v>
      </c>
      <c r="B368" s="36" t="s">
        <v>7</v>
      </c>
      <c r="C368" s="36" t="s">
        <v>6</v>
      </c>
      <c r="D368" s="36">
        <v>3.8250000000000002</v>
      </c>
      <c r="E368" s="38" t="s">
        <v>12633</v>
      </c>
      <c r="F368" s="36" t="s">
        <v>12726</v>
      </c>
    </row>
    <row r="369" spans="1:6" ht="15.75" thickBot="1" x14ac:dyDescent="0.3">
      <c r="A369" s="31">
        <v>42012</v>
      </c>
      <c r="B369" s="36" t="s">
        <v>7</v>
      </c>
      <c r="C369" s="36" t="s">
        <v>7</v>
      </c>
      <c r="D369" s="36">
        <v>3.3149999999999999</v>
      </c>
      <c r="E369" s="38" t="s">
        <v>12635</v>
      </c>
      <c r="F369" s="36" t="s">
        <v>12887</v>
      </c>
    </row>
    <row r="370" spans="1:6" ht="15.75" thickBot="1" x14ac:dyDescent="0.3">
      <c r="A370" s="31">
        <v>42012</v>
      </c>
      <c r="B370" s="36" t="s">
        <v>6</v>
      </c>
      <c r="C370" s="36" t="s">
        <v>6</v>
      </c>
      <c r="D370" s="36">
        <v>3.8250000000000002</v>
      </c>
      <c r="E370" s="38" t="s">
        <v>12639</v>
      </c>
      <c r="F370" s="36" t="s">
        <v>12732</v>
      </c>
    </row>
    <row r="371" spans="1:6" ht="15.75" thickBot="1" x14ac:dyDescent="0.3">
      <c r="A371" s="31">
        <v>42012</v>
      </c>
      <c r="B371" s="36" t="s">
        <v>7</v>
      </c>
      <c r="C371" s="36" t="s">
        <v>6</v>
      </c>
      <c r="D371" s="36">
        <v>3.3149999999999999</v>
      </c>
      <c r="E371" s="38" t="s">
        <v>12632</v>
      </c>
      <c r="F371" s="36" t="s">
        <v>12725</v>
      </c>
    </row>
    <row r="372" spans="1:6" ht="15.75" thickBot="1" x14ac:dyDescent="0.3">
      <c r="A372" s="31">
        <v>42013</v>
      </c>
      <c r="B372" s="36" t="s">
        <v>7</v>
      </c>
      <c r="C372" s="36" t="s">
        <v>7</v>
      </c>
      <c r="D372" s="36">
        <v>4.08</v>
      </c>
      <c r="E372" s="38" t="s">
        <v>12616</v>
      </c>
      <c r="F372" s="36" t="s">
        <v>12868</v>
      </c>
    </row>
    <row r="373" spans="1:6" ht="15.75" thickBot="1" x14ac:dyDescent="0.3">
      <c r="A373" s="31">
        <v>42013</v>
      </c>
      <c r="B373" s="36" t="s">
        <v>6</v>
      </c>
      <c r="C373" s="36" t="s">
        <v>7</v>
      </c>
      <c r="D373" s="36">
        <v>5.75</v>
      </c>
      <c r="E373" s="38" t="s">
        <v>12611</v>
      </c>
      <c r="F373" s="36" t="s">
        <v>12704</v>
      </c>
    </row>
    <row r="374" spans="1:6" ht="15.75" thickBot="1" x14ac:dyDescent="0.3">
      <c r="A374" s="31">
        <v>42013</v>
      </c>
      <c r="B374" s="36" t="s">
        <v>7</v>
      </c>
      <c r="C374" s="36" t="s">
        <v>7</v>
      </c>
      <c r="D374" s="37">
        <v>5.98</v>
      </c>
      <c r="E374" s="38" t="s">
        <v>12610</v>
      </c>
      <c r="F374" s="37" t="s">
        <v>12703</v>
      </c>
    </row>
    <row r="375" spans="1:6" ht="15.75" thickBot="1" x14ac:dyDescent="0.3">
      <c r="A375" s="31">
        <v>42013</v>
      </c>
      <c r="B375" s="36" t="s">
        <v>7</v>
      </c>
      <c r="C375" s="36" t="s">
        <v>6</v>
      </c>
      <c r="D375" s="37">
        <v>5.61</v>
      </c>
      <c r="E375" s="38" t="s">
        <v>12626</v>
      </c>
      <c r="F375" s="37" t="s">
        <v>12719</v>
      </c>
    </row>
    <row r="376" spans="1:6" ht="15.75" thickBot="1" x14ac:dyDescent="0.3">
      <c r="A376" s="35">
        <v>42013</v>
      </c>
      <c r="B376" s="36" t="s">
        <v>6</v>
      </c>
      <c r="C376" s="36" t="s">
        <v>7</v>
      </c>
      <c r="D376" s="36">
        <v>8.25</v>
      </c>
      <c r="E376" s="38" t="s">
        <v>12622</v>
      </c>
      <c r="F376" s="36" t="s">
        <v>12715</v>
      </c>
    </row>
    <row r="377" spans="1:6" ht="15.75" thickBot="1" x14ac:dyDescent="0.3">
      <c r="A377" s="35">
        <v>42013</v>
      </c>
      <c r="B377" s="36" t="s">
        <v>7</v>
      </c>
      <c r="C377" s="36" t="s">
        <v>7</v>
      </c>
      <c r="D377" s="36">
        <v>2.5</v>
      </c>
      <c r="E377" s="38" t="s">
        <v>12621</v>
      </c>
      <c r="F377" s="36" t="s">
        <v>12714</v>
      </c>
    </row>
    <row r="378" spans="1:6" ht="15.75" thickBot="1" x14ac:dyDescent="0.3">
      <c r="A378" s="35">
        <v>42013</v>
      </c>
      <c r="B378" s="36" t="s">
        <v>6</v>
      </c>
      <c r="C378" s="36" t="s">
        <v>7</v>
      </c>
      <c r="D378" s="36">
        <v>7.25</v>
      </c>
      <c r="E378" s="38" t="s">
        <v>12625</v>
      </c>
      <c r="F378" s="36" t="s">
        <v>12718</v>
      </c>
    </row>
    <row r="379" spans="1:6" ht="15.75" thickBot="1" x14ac:dyDescent="0.3">
      <c r="A379" s="35">
        <v>42013</v>
      </c>
      <c r="B379" s="36" t="s">
        <v>13422</v>
      </c>
      <c r="C379" s="36" t="s">
        <v>7</v>
      </c>
      <c r="D379" s="36">
        <v>8</v>
      </c>
      <c r="E379" s="38" t="s">
        <v>12624</v>
      </c>
      <c r="F379" s="36" t="s">
        <v>12717</v>
      </c>
    </row>
    <row r="380" spans="1:6" ht="15.75" thickBot="1" x14ac:dyDescent="0.3">
      <c r="A380" s="35">
        <v>42013</v>
      </c>
      <c r="B380" s="36" t="s">
        <v>7</v>
      </c>
      <c r="C380" s="36" t="s">
        <v>6</v>
      </c>
      <c r="D380" s="36">
        <v>2.5</v>
      </c>
      <c r="E380" s="38" t="s">
        <v>12630</v>
      </c>
      <c r="F380" s="36" t="s">
        <v>12723</v>
      </c>
    </row>
    <row r="381" spans="1:6" ht="15.75" thickBot="1" x14ac:dyDescent="0.3">
      <c r="A381" s="35">
        <v>42013</v>
      </c>
      <c r="B381" s="36" t="s">
        <v>6</v>
      </c>
      <c r="C381" s="36" t="s">
        <v>6</v>
      </c>
      <c r="D381" s="36">
        <v>3.5</v>
      </c>
      <c r="E381" s="38" t="s">
        <v>12627</v>
      </c>
      <c r="F381" s="36" t="s">
        <v>12720</v>
      </c>
    </row>
    <row r="382" spans="1:6" ht="15.75" thickBot="1" x14ac:dyDescent="0.3">
      <c r="A382" s="35">
        <v>42013</v>
      </c>
      <c r="B382" s="36" t="s">
        <v>7</v>
      </c>
      <c r="C382" s="36" t="s">
        <v>6</v>
      </c>
      <c r="D382" s="37">
        <v>6.12</v>
      </c>
      <c r="E382" s="38" t="s">
        <v>12617</v>
      </c>
      <c r="F382" s="37" t="s">
        <v>12710</v>
      </c>
    </row>
    <row r="383" spans="1:6" ht="15.75" thickBot="1" x14ac:dyDescent="0.3">
      <c r="A383" s="35">
        <v>42013</v>
      </c>
      <c r="B383" s="36" t="s">
        <v>7</v>
      </c>
      <c r="C383" s="36" t="s">
        <v>6</v>
      </c>
      <c r="D383" s="37">
        <v>4.42</v>
      </c>
      <c r="E383" s="38" t="s">
        <v>12628</v>
      </c>
      <c r="F383" s="37" t="s">
        <v>12721</v>
      </c>
    </row>
    <row r="384" spans="1:6" ht="15.75" thickBot="1" x14ac:dyDescent="0.3">
      <c r="A384" s="35">
        <v>42013</v>
      </c>
      <c r="B384" s="36" t="s">
        <v>6</v>
      </c>
      <c r="C384" s="36" t="s">
        <v>7</v>
      </c>
      <c r="D384" s="37">
        <v>4.08</v>
      </c>
      <c r="E384" s="38" t="s">
        <v>12612</v>
      </c>
      <c r="F384" s="37" t="s">
        <v>12705</v>
      </c>
    </row>
    <row r="385" spans="1:6" ht="15.75" thickBot="1" x14ac:dyDescent="0.3">
      <c r="A385" s="31">
        <v>42013</v>
      </c>
      <c r="B385" s="36" t="s">
        <v>7</v>
      </c>
      <c r="C385" s="36" t="s">
        <v>7</v>
      </c>
      <c r="D385" s="36">
        <v>19.38</v>
      </c>
      <c r="E385" s="38" t="s">
        <v>12613</v>
      </c>
      <c r="F385" s="36" t="s">
        <v>12865</v>
      </c>
    </row>
    <row r="386" spans="1:6" ht="15.75" thickBot="1" x14ac:dyDescent="0.3">
      <c r="A386" s="31">
        <v>42013</v>
      </c>
      <c r="B386" s="36" t="s">
        <v>7</v>
      </c>
      <c r="C386" s="36" t="s">
        <v>7</v>
      </c>
      <c r="D386" s="36">
        <v>6.8849999999999998</v>
      </c>
      <c r="E386" s="38" t="s">
        <v>12614</v>
      </c>
      <c r="F386" s="36" t="s">
        <v>12707</v>
      </c>
    </row>
    <row r="387" spans="1:6" ht="15.75" thickBot="1" x14ac:dyDescent="0.3">
      <c r="A387" s="31">
        <v>42013</v>
      </c>
      <c r="B387" s="36" t="s">
        <v>7</v>
      </c>
      <c r="C387" s="36" t="s">
        <v>7</v>
      </c>
      <c r="D387" s="36">
        <v>4.8250000000000002</v>
      </c>
      <c r="E387" s="38" t="s">
        <v>12623</v>
      </c>
      <c r="F387" s="36" t="s">
        <v>12716</v>
      </c>
    </row>
    <row r="388" spans="1:6" ht="15.75" thickBot="1" x14ac:dyDescent="0.3">
      <c r="A388" s="31">
        <v>42013</v>
      </c>
      <c r="B388" s="36" t="s">
        <v>7</v>
      </c>
      <c r="C388" s="36" t="s">
        <v>6</v>
      </c>
      <c r="D388" s="36">
        <v>2.5499999999999998</v>
      </c>
      <c r="E388" s="38" t="s">
        <v>12619</v>
      </c>
      <c r="F388" s="36" t="s">
        <v>12712</v>
      </c>
    </row>
    <row r="389" spans="1:6" ht="15.75" thickBot="1" x14ac:dyDescent="0.3">
      <c r="A389" s="31">
        <v>42013</v>
      </c>
      <c r="B389" s="36" t="s">
        <v>7</v>
      </c>
      <c r="C389" s="36" t="s">
        <v>6</v>
      </c>
      <c r="D389" s="36">
        <v>5.3550000000000004</v>
      </c>
      <c r="E389" s="38" t="s">
        <v>12631</v>
      </c>
      <c r="F389" s="39" t="s">
        <v>12724</v>
      </c>
    </row>
    <row r="390" spans="1:6" ht="15.75" thickBot="1" x14ac:dyDescent="0.3">
      <c r="A390" s="31">
        <v>42013</v>
      </c>
      <c r="B390" s="36" t="s">
        <v>7</v>
      </c>
      <c r="C390" s="36" t="s">
        <v>7</v>
      </c>
      <c r="D390" s="36">
        <v>5.3550000000000004</v>
      </c>
      <c r="E390" s="38" t="s">
        <v>12629</v>
      </c>
      <c r="F390" s="39" t="s">
        <v>12722</v>
      </c>
    </row>
    <row r="391" spans="1:6" ht="15.75" thickBot="1" x14ac:dyDescent="0.3">
      <c r="A391" s="31">
        <v>42014</v>
      </c>
      <c r="B391" s="36" t="s">
        <v>6</v>
      </c>
      <c r="C391" s="36" t="s">
        <v>7</v>
      </c>
      <c r="D391" s="36">
        <v>10.4</v>
      </c>
      <c r="E391" s="38" t="s">
        <v>12608</v>
      </c>
      <c r="F391" s="36" t="s">
        <v>12860</v>
      </c>
    </row>
    <row r="392" spans="1:6" ht="15.75" thickBot="1" x14ac:dyDescent="0.3">
      <c r="A392" s="31">
        <v>42014</v>
      </c>
      <c r="B392" s="36" t="s">
        <v>7</v>
      </c>
      <c r="C392" s="36" t="s">
        <v>7</v>
      </c>
      <c r="D392" s="36">
        <v>5.8650000000000002</v>
      </c>
      <c r="E392" s="38" t="s">
        <v>12584</v>
      </c>
      <c r="F392" s="36" t="s">
        <v>12837</v>
      </c>
    </row>
    <row r="393" spans="1:6" ht="15.75" thickBot="1" x14ac:dyDescent="0.3">
      <c r="A393" s="31">
        <v>42014</v>
      </c>
      <c r="B393" s="36" t="s">
        <v>7</v>
      </c>
      <c r="C393" s="36" t="s">
        <v>7</v>
      </c>
      <c r="D393" s="36">
        <v>7.9050000000000002</v>
      </c>
      <c r="E393" s="38" t="s">
        <v>12603</v>
      </c>
      <c r="F393" s="39" t="s">
        <v>12855</v>
      </c>
    </row>
    <row r="394" spans="1:6" ht="15.75" thickBot="1" x14ac:dyDescent="0.3">
      <c r="A394" s="31">
        <v>42014</v>
      </c>
      <c r="B394" s="36" t="s">
        <v>6</v>
      </c>
      <c r="C394" s="36" t="s">
        <v>6</v>
      </c>
      <c r="D394" s="37">
        <v>5.46</v>
      </c>
      <c r="E394" s="38" t="s">
        <v>12577</v>
      </c>
      <c r="F394" s="37" t="s">
        <v>12671</v>
      </c>
    </row>
    <row r="395" spans="1:6" ht="15.75" thickBot="1" x14ac:dyDescent="0.3">
      <c r="A395" s="31">
        <v>42014</v>
      </c>
      <c r="B395" s="36" t="s">
        <v>6</v>
      </c>
      <c r="C395" s="36" t="s">
        <v>6</v>
      </c>
      <c r="D395" s="37">
        <v>5.46</v>
      </c>
      <c r="E395" s="38" t="s">
        <v>12578</v>
      </c>
      <c r="F395" s="37" t="s">
        <v>12672</v>
      </c>
    </row>
    <row r="396" spans="1:6" ht="15.75" thickBot="1" x14ac:dyDescent="0.3">
      <c r="A396" s="31">
        <v>42014</v>
      </c>
      <c r="B396" s="36" t="s">
        <v>6</v>
      </c>
      <c r="C396" s="36" t="s">
        <v>6</v>
      </c>
      <c r="D396" s="37">
        <v>5.2</v>
      </c>
      <c r="E396" s="38" t="s">
        <v>12583</v>
      </c>
      <c r="F396" s="37" t="s">
        <v>12677</v>
      </c>
    </row>
    <row r="397" spans="1:6" ht="15.75" thickBot="1" x14ac:dyDescent="0.3">
      <c r="A397" s="31">
        <v>42014</v>
      </c>
      <c r="B397" s="36" t="s">
        <v>7</v>
      </c>
      <c r="C397" s="36" t="s">
        <v>7</v>
      </c>
      <c r="D397" s="37">
        <v>13.52</v>
      </c>
      <c r="E397" s="38" t="s">
        <v>12585</v>
      </c>
      <c r="F397" s="37" t="s">
        <v>12679</v>
      </c>
    </row>
    <row r="398" spans="1:6" ht="15.75" thickBot="1" x14ac:dyDescent="0.3">
      <c r="A398" s="31">
        <v>42014</v>
      </c>
      <c r="B398" s="36" t="s">
        <v>7</v>
      </c>
      <c r="C398" s="36" t="s">
        <v>7</v>
      </c>
      <c r="D398" s="37">
        <v>7.8</v>
      </c>
      <c r="E398" s="38" t="s">
        <v>12586</v>
      </c>
      <c r="F398" s="37" t="s">
        <v>12680</v>
      </c>
    </row>
    <row r="399" spans="1:6" ht="15.75" thickBot="1" x14ac:dyDescent="0.3">
      <c r="A399" s="31">
        <v>42014</v>
      </c>
      <c r="B399" s="36" t="s">
        <v>7</v>
      </c>
      <c r="C399" s="36" t="s">
        <v>7</v>
      </c>
      <c r="D399" s="37">
        <v>6.63</v>
      </c>
      <c r="E399" s="38" t="s">
        <v>12589</v>
      </c>
      <c r="F399" s="37" t="s">
        <v>12683</v>
      </c>
    </row>
    <row r="400" spans="1:6" ht="15.75" thickBot="1" x14ac:dyDescent="0.3">
      <c r="A400" s="31">
        <v>42014</v>
      </c>
      <c r="B400" s="36" t="s">
        <v>7</v>
      </c>
      <c r="C400" s="36" t="s">
        <v>7</v>
      </c>
      <c r="D400" s="37">
        <v>3.64</v>
      </c>
      <c r="E400" s="38" t="s">
        <v>12597</v>
      </c>
      <c r="F400" s="37" t="s">
        <v>12691</v>
      </c>
    </row>
    <row r="401" spans="1:6" ht="15.75" thickBot="1" x14ac:dyDescent="0.3">
      <c r="A401" s="31">
        <v>42014</v>
      </c>
      <c r="B401" s="36" t="s">
        <v>6</v>
      </c>
      <c r="C401" s="36" t="s">
        <v>7</v>
      </c>
      <c r="D401" s="37">
        <v>4.42</v>
      </c>
      <c r="E401" s="38" t="s">
        <v>12606</v>
      </c>
      <c r="F401" s="37" t="s">
        <v>12699</v>
      </c>
    </row>
    <row r="402" spans="1:6" ht="15.75" thickBot="1" x14ac:dyDescent="0.3">
      <c r="A402" s="31">
        <v>42014</v>
      </c>
      <c r="B402" s="36" t="s">
        <v>6</v>
      </c>
      <c r="C402" s="36" t="s">
        <v>7</v>
      </c>
      <c r="D402" s="37">
        <v>4.16</v>
      </c>
      <c r="E402" s="38" t="s">
        <v>12591</v>
      </c>
      <c r="F402" s="37" t="s">
        <v>12685</v>
      </c>
    </row>
    <row r="403" spans="1:6" ht="15.75" thickBot="1" x14ac:dyDescent="0.3">
      <c r="A403" s="31">
        <v>42014</v>
      </c>
      <c r="B403" s="36" t="s">
        <v>6</v>
      </c>
      <c r="C403" s="36" t="s">
        <v>6</v>
      </c>
      <c r="D403" s="37">
        <v>8.06</v>
      </c>
      <c r="E403" s="38" t="s">
        <v>12600</v>
      </c>
      <c r="F403" s="37" t="s">
        <v>12694</v>
      </c>
    </row>
    <row r="404" spans="1:6" ht="15.75" thickBot="1" x14ac:dyDescent="0.3">
      <c r="A404" s="31">
        <v>42014</v>
      </c>
      <c r="B404" s="36" t="s">
        <v>6</v>
      </c>
      <c r="C404" s="36" t="s">
        <v>6</v>
      </c>
      <c r="D404" s="37">
        <v>7.54</v>
      </c>
      <c r="E404" s="38" t="s">
        <v>12601</v>
      </c>
      <c r="F404" s="37" t="s">
        <v>12694</v>
      </c>
    </row>
    <row r="405" spans="1:6" ht="15.75" thickBot="1" x14ac:dyDescent="0.3">
      <c r="A405" s="31">
        <v>42014</v>
      </c>
      <c r="B405" s="36" t="s">
        <v>6</v>
      </c>
      <c r="C405" s="36" t="s">
        <v>6</v>
      </c>
      <c r="D405" s="37">
        <v>7.54</v>
      </c>
      <c r="E405" s="38" t="s">
        <v>12602</v>
      </c>
      <c r="F405" s="37" t="s">
        <v>12695</v>
      </c>
    </row>
    <row r="406" spans="1:6" ht="15.75" thickBot="1" x14ac:dyDescent="0.3">
      <c r="A406" s="35">
        <v>42014</v>
      </c>
      <c r="B406" s="36" t="s">
        <v>7</v>
      </c>
      <c r="C406" s="36" t="s">
        <v>7</v>
      </c>
      <c r="D406" s="36">
        <v>9.5</v>
      </c>
      <c r="E406" s="38" t="s">
        <v>12594</v>
      </c>
      <c r="F406" s="36" t="s">
        <v>12713</v>
      </c>
    </row>
    <row r="407" spans="1:6" ht="15.75" thickBot="1" x14ac:dyDescent="0.3">
      <c r="A407" s="35">
        <v>42014</v>
      </c>
      <c r="B407" s="36" t="s">
        <v>6</v>
      </c>
      <c r="C407" s="36" t="s">
        <v>6</v>
      </c>
      <c r="D407" s="36">
        <v>7</v>
      </c>
      <c r="E407" s="38" t="s">
        <v>12596</v>
      </c>
      <c r="F407" s="36" t="s">
        <v>12690</v>
      </c>
    </row>
    <row r="408" spans="1:6" ht="15.75" thickBot="1" x14ac:dyDescent="0.3">
      <c r="A408" s="35">
        <v>42014</v>
      </c>
      <c r="B408" s="36" t="s">
        <v>7</v>
      </c>
      <c r="C408" s="36" t="s">
        <v>7</v>
      </c>
      <c r="D408" s="36">
        <v>4</v>
      </c>
      <c r="E408" s="38" t="s">
        <v>12593</v>
      </c>
      <c r="F408" s="36" t="s">
        <v>12846</v>
      </c>
    </row>
    <row r="409" spans="1:6" ht="15.75" thickBot="1" x14ac:dyDescent="0.3">
      <c r="A409" s="35">
        <v>42014</v>
      </c>
      <c r="B409" s="36" t="s">
        <v>7</v>
      </c>
      <c r="C409" s="36" t="s">
        <v>7</v>
      </c>
      <c r="D409" s="36">
        <v>4</v>
      </c>
      <c r="E409" s="38" t="s">
        <v>12594</v>
      </c>
      <c r="F409" s="36" t="s">
        <v>13045</v>
      </c>
    </row>
    <row r="410" spans="1:6" ht="15.75" thickBot="1" x14ac:dyDescent="0.3">
      <c r="A410" s="35">
        <v>42014</v>
      </c>
      <c r="B410" s="36" t="s">
        <v>7</v>
      </c>
      <c r="C410" s="36" t="s">
        <v>7</v>
      </c>
      <c r="D410" s="36">
        <v>8.5</v>
      </c>
      <c r="E410" s="38" t="s">
        <v>12605</v>
      </c>
      <c r="F410" s="36" t="s">
        <v>12857</v>
      </c>
    </row>
    <row r="411" spans="1:6" ht="15.75" thickBot="1" x14ac:dyDescent="0.3">
      <c r="A411" s="35">
        <v>42014</v>
      </c>
      <c r="B411" s="36" t="s">
        <v>7</v>
      </c>
      <c r="C411" s="36" t="s">
        <v>6</v>
      </c>
      <c r="D411" s="37">
        <v>5.0999999999999996</v>
      </c>
      <c r="E411" s="38" t="s">
        <v>12595</v>
      </c>
      <c r="F411" s="37" t="s">
        <v>12688</v>
      </c>
    </row>
    <row r="412" spans="1:6" ht="15.75" thickBot="1" x14ac:dyDescent="0.3">
      <c r="A412" s="35">
        <v>42014</v>
      </c>
      <c r="B412" s="36" t="s">
        <v>6</v>
      </c>
      <c r="C412" s="36" t="s">
        <v>6</v>
      </c>
      <c r="D412" s="37">
        <v>9.18</v>
      </c>
      <c r="E412" s="38" t="s">
        <v>12582</v>
      </c>
      <c r="F412" s="37" t="s">
        <v>12676</v>
      </c>
    </row>
    <row r="413" spans="1:6" ht="15.75" thickBot="1" x14ac:dyDescent="0.3">
      <c r="A413" s="35">
        <v>42014</v>
      </c>
      <c r="B413" s="36" t="s">
        <v>6</v>
      </c>
      <c r="C413" s="36" t="s">
        <v>7</v>
      </c>
      <c r="D413" s="37">
        <v>3.64</v>
      </c>
      <c r="E413" s="38" t="s">
        <v>12591</v>
      </c>
      <c r="F413" s="37" t="s">
        <v>12685</v>
      </c>
    </row>
    <row r="414" spans="1:6" ht="15.75" thickBot="1" x14ac:dyDescent="0.3">
      <c r="A414" s="35">
        <v>42014</v>
      </c>
      <c r="B414" s="36" t="s">
        <v>6</v>
      </c>
      <c r="C414" s="36" t="s">
        <v>6</v>
      </c>
      <c r="D414" s="37">
        <v>8.58</v>
      </c>
      <c r="E414" s="38" t="s">
        <v>12600</v>
      </c>
      <c r="F414" s="37" t="s">
        <v>12694</v>
      </c>
    </row>
    <row r="415" spans="1:6" ht="15.75" thickBot="1" x14ac:dyDescent="0.3">
      <c r="A415" s="35">
        <v>42014</v>
      </c>
      <c r="B415" s="36" t="s">
        <v>6</v>
      </c>
      <c r="C415" s="36" t="s">
        <v>6</v>
      </c>
      <c r="D415" s="37">
        <v>8.06</v>
      </c>
      <c r="E415" s="38" t="s">
        <v>12601</v>
      </c>
      <c r="F415" s="37" t="s">
        <v>12694</v>
      </c>
    </row>
    <row r="416" spans="1:6" ht="15.75" thickBot="1" x14ac:dyDescent="0.3">
      <c r="A416" s="35">
        <v>42014</v>
      </c>
      <c r="B416" s="36" t="s">
        <v>6</v>
      </c>
      <c r="C416" s="36" t="s">
        <v>6</v>
      </c>
      <c r="D416" s="37">
        <v>7.54</v>
      </c>
      <c r="E416" s="38" t="s">
        <v>12602</v>
      </c>
      <c r="F416" s="37" t="s">
        <v>12695</v>
      </c>
    </row>
    <row r="417" spans="1:6" ht="15.75" thickBot="1" x14ac:dyDescent="0.3">
      <c r="A417" s="31">
        <v>42014</v>
      </c>
      <c r="B417" s="36" t="s">
        <v>6</v>
      </c>
      <c r="C417" s="36" t="s">
        <v>6</v>
      </c>
      <c r="D417" s="36">
        <v>9.69</v>
      </c>
      <c r="E417" s="38" t="s">
        <v>12598</v>
      </c>
      <c r="F417" s="36" t="s">
        <v>12692</v>
      </c>
    </row>
    <row r="418" spans="1:6" ht="15.75" thickBot="1" x14ac:dyDescent="0.3">
      <c r="A418" s="31">
        <v>42014</v>
      </c>
      <c r="B418" s="36" t="s">
        <v>7</v>
      </c>
      <c r="C418" s="36" t="s">
        <v>7</v>
      </c>
      <c r="D418" s="36">
        <v>7.14</v>
      </c>
      <c r="E418" s="38" t="s">
        <v>12592</v>
      </c>
      <c r="F418" s="36" t="s">
        <v>12686</v>
      </c>
    </row>
    <row r="419" spans="1:6" ht="15.75" thickBot="1" x14ac:dyDescent="0.3">
      <c r="A419" s="31">
        <v>42014</v>
      </c>
      <c r="B419" s="36" t="s">
        <v>7</v>
      </c>
      <c r="C419" s="36" t="s">
        <v>7</v>
      </c>
      <c r="D419" s="36">
        <v>5.8650000000000002</v>
      </c>
      <c r="E419" s="38" t="s">
        <v>12587</v>
      </c>
      <c r="F419" s="36" t="s">
        <v>12681</v>
      </c>
    </row>
    <row r="420" spans="1:6" ht="15.75" thickBot="1" x14ac:dyDescent="0.3">
      <c r="A420" s="31">
        <v>42014</v>
      </c>
      <c r="B420" s="36" t="s">
        <v>7</v>
      </c>
      <c r="C420" s="36" t="s">
        <v>6</v>
      </c>
      <c r="D420" s="36">
        <v>3.06</v>
      </c>
      <c r="E420" s="38" t="s">
        <v>12590</v>
      </c>
      <c r="F420" s="36" t="s">
        <v>12684</v>
      </c>
    </row>
    <row r="421" spans="1:6" ht="15.75" thickBot="1" x14ac:dyDescent="0.3">
      <c r="A421" s="31">
        <v>42014</v>
      </c>
      <c r="B421" s="36" t="s">
        <v>7</v>
      </c>
      <c r="C421" s="36" t="s">
        <v>7</v>
      </c>
      <c r="D421" s="36">
        <v>10.455</v>
      </c>
      <c r="E421" s="38" t="s">
        <v>12580</v>
      </c>
      <c r="F421" s="36" t="s">
        <v>12674</v>
      </c>
    </row>
    <row r="422" spans="1:6" ht="15.75" thickBot="1" x14ac:dyDescent="0.3">
      <c r="A422" s="31">
        <v>42014</v>
      </c>
      <c r="B422" s="36" t="s">
        <v>7</v>
      </c>
      <c r="C422" s="36" t="s">
        <v>7</v>
      </c>
      <c r="D422" s="37">
        <v>4.08</v>
      </c>
      <c r="E422" s="38" t="s">
        <v>12609</v>
      </c>
      <c r="F422" s="37" t="s">
        <v>13421</v>
      </c>
    </row>
    <row r="423" spans="1:6" ht="15.75" thickBot="1" x14ac:dyDescent="0.3">
      <c r="A423" s="35">
        <v>42015</v>
      </c>
      <c r="B423" s="36" t="s">
        <v>7</v>
      </c>
      <c r="C423" s="36" t="s">
        <v>7</v>
      </c>
      <c r="D423" s="36">
        <v>14</v>
      </c>
      <c r="E423" s="38" t="s">
        <v>12576</v>
      </c>
      <c r="F423" s="36" t="s">
        <v>12829</v>
      </c>
    </row>
    <row r="424" spans="1:6" ht="15.75" thickBot="1" x14ac:dyDescent="0.3">
      <c r="A424" s="31">
        <v>42016</v>
      </c>
      <c r="B424" s="36" t="s">
        <v>7</v>
      </c>
      <c r="C424" s="36" t="s">
        <v>7</v>
      </c>
      <c r="D424" s="36">
        <v>6.12</v>
      </c>
      <c r="E424" s="38" t="s">
        <v>12970</v>
      </c>
      <c r="F424" s="39" t="s">
        <v>13049</v>
      </c>
    </row>
    <row r="425" spans="1:6" ht="15.75" thickBot="1" x14ac:dyDescent="0.3">
      <c r="A425" s="31">
        <v>42016</v>
      </c>
      <c r="B425" s="36" t="s">
        <v>6</v>
      </c>
      <c r="C425" s="36" t="s">
        <v>7</v>
      </c>
      <c r="D425" s="36">
        <v>9.18</v>
      </c>
      <c r="E425" s="38" t="s">
        <v>12963</v>
      </c>
      <c r="F425" s="36" t="s">
        <v>13046</v>
      </c>
    </row>
    <row r="426" spans="1:6" ht="15.75" thickBot="1" x14ac:dyDescent="0.3">
      <c r="A426" s="31">
        <v>42016</v>
      </c>
      <c r="B426" s="36" t="s">
        <v>7</v>
      </c>
      <c r="C426" s="36" t="s">
        <v>7</v>
      </c>
      <c r="D426" s="36">
        <v>8.16</v>
      </c>
      <c r="E426" s="38" t="s">
        <v>12965</v>
      </c>
      <c r="F426" s="36" t="s">
        <v>13047</v>
      </c>
    </row>
    <row r="427" spans="1:6" ht="15.75" thickBot="1" x14ac:dyDescent="0.3">
      <c r="A427" s="31">
        <v>42016</v>
      </c>
      <c r="B427" s="36" t="s">
        <v>7</v>
      </c>
      <c r="C427" s="36" t="s">
        <v>6</v>
      </c>
      <c r="D427" s="36">
        <v>2.5499999999999998</v>
      </c>
      <c r="E427" s="38" t="s">
        <v>12974</v>
      </c>
      <c r="F427" s="36" t="s">
        <v>13048</v>
      </c>
    </row>
    <row r="428" spans="1:6" ht="15.75" thickBot="1" x14ac:dyDescent="0.3">
      <c r="A428" s="31">
        <v>42016</v>
      </c>
      <c r="B428" s="36" t="s">
        <v>7</v>
      </c>
      <c r="C428" s="36" t="s">
        <v>6</v>
      </c>
      <c r="D428" s="36">
        <v>5.8650000000000002</v>
      </c>
      <c r="E428" s="38" t="s">
        <v>12968</v>
      </c>
      <c r="F428" s="36" t="s">
        <v>13028</v>
      </c>
    </row>
    <row r="429" spans="1:6" ht="15.75" thickBot="1" x14ac:dyDescent="0.3">
      <c r="A429" s="31">
        <v>42017</v>
      </c>
      <c r="B429" s="36" t="s">
        <v>7</v>
      </c>
      <c r="C429" s="36" t="s">
        <v>7</v>
      </c>
      <c r="D429" s="36">
        <v>3.8250000000000002</v>
      </c>
      <c r="E429" s="38" t="s">
        <v>12962</v>
      </c>
      <c r="F429" s="36" t="s">
        <v>13054</v>
      </c>
    </row>
    <row r="430" spans="1:6" ht="15.75" thickBot="1" x14ac:dyDescent="0.3">
      <c r="A430" s="31">
        <v>42017</v>
      </c>
      <c r="B430" s="36" t="s">
        <v>7</v>
      </c>
      <c r="C430" s="36" t="s">
        <v>7</v>
      </c>
      <c r="D430" s="36">
        <v>7.75</v>
      </c>
      <c r="E430" s="38" t="s">
        <v>12954</v>
      </c>
      <c r="F430" s="36" t="s">
        <v>13111</v>
      </c>
    </row>
    <row r="431" spans="1:6" ht="15.75" thickBot="1" x14ac:dyDescent="0.3">
      <c r="A431" s="35">
        <v>42017</v>
      </c>
      <c r="B431" s="36" t="s">
        <v>6</v>
      </c>
      <c r="C431" s="36" t="s">
        <v>6</v>
      </c>
      <c r="D431" s="37">
        <v>7.28</v>
      </c>
      <c r="E431" s="38" t="s">
        <v>12967</v>
      </c>
      <c r="F431" s="37" t="s">
        <v>13027</v>
      </c>
    </row>
    <row r="432" spans="1:6" ht="15.75" thickBot="1" x14ac:dyDescent="0.3">
      <c r="A432" s="35">
        <v>42017</v>
      </c>
      <c r="B432" s="36" t="s">
        <v>7</v>
      </c>
      <c r="C432" s="36" t="s">
        <v>7</v>
      </c>
      <c r="D432" s="37">
        <v>7.8</v>
      </c>
      <c r="E432" s="38" t="s">
        <v>12956</v>
      </c>
      <c r="F432" s="37" t="s">
        <v>13015</v>
      </c>
    </row>
    <row r="433" spans="1:6" ht="15.75" thickBot="1" x14ac:dyDescent="0.3">
      <c r="A433" s="35">
        <v>42017</v>
      </c>
      <c r="B433" s="36" t="s">
        <v>6</v>
      </c>
      <c r="C433" s="36" t="s">
        <v>7</v>
      </c>
      <c r="D433" s="37">
        <v>5.9</v>
      </c>
      <c r="E433" s="38" t="s">
        <v>12960</v>
      </c>
      <c r="F433" s="37" t="s">
        <v>13019</v>
      </c>
    </row>
    <row r="434" spans="1:6" ht="15.75" thickBot="1" x14ac:dyDescent="0.3">
      <c r="A434" s="35">
        <v>42017</v>
      </c>
      <c r="B434" s="36" t="s">
        <v>7</v>
      </c>
      <c r="C434" s="36" t="s">
        <v>6</v>
      </c>
      <c r="D434" s="37">
        <v>4.42</v>
      </c>
      <c r="E434" s="38" t="s">
        <v>12961</v>
      </c>
      <c r="F434" s="37" t="s">
        <v>13020</v>
      </c>
    </row>
    <row r="435" spans="1:6" ht="15.75" thickBot="1" x14ac:dyDescent="0.3">
      <c r="A435" s="35">
        <v>42017</v>
      </c>
      <c r="B435" s="36" t="s">
        <v>7</v>
      </c>
      <c r="C435" s="36" t="s">
        <v>7</v>
      </c>
      <c r="D435" s="36">
        <v>7.65</v>
      </c>
      <c r="E435" s="38" t="s">
        <v>12953</v>
      </c>
      <c r="F435" s="36" t="s">
        <v>13053</v>
      </c>
    </row>
    <row r="436" spans="1:6" ht="15.75" thickBot="1" x14ac:dyDescent="0.3">
      <c r="A436" s="31">
        <v>42017</v>
      </c>
      <c r="B436" s="36" t="s">
        <v>7</v>
      </c>
      <c r="C436" s="36" t="s">
        <v>7</v>
      </c>
      <c r="D436" s="36">
        <v>5.0999999999999996</v>
      </c>
      <c r="E436" s="38" t="s">
        <v>12955</v>
      </c>
      <c r="F436" s="36" t="s">
        <v>13050</v>
      </c>
    </row>
    <row r="437" spans="1:6" ht="15.75" thickBot="1" x14ac:dyDescent="0.3">
      <c r="A437" s="31">
        <v>42017</v>
      </c>
      <c r="B437" s="36" t="s">
        <v>6</v>
      </c>
      <c r="C437" s="36" t="s">
        <v>7</v>
      </c>
      <c r="D437" s="36">
        <v>5.61</v>
      </c>
      <c r="E437" s="38" t="s">
        <v>12951</v>
      </c>
      <c r="F437" s="36" t="s">
        <v>13051</v>
      </c>
    </row>
    <row r="438" spans="1:6" ht="15.75" thickBot="1" x14ac:dyDescent="0.3">
      <c r="A438" s="31">
        <v>42017</v>
      </c>
      <c r="B438" s="36" t="s">
        <v>7</v>
      </c>
      <c r="C438" s="36" t="s">
        <v>7</v>
      </c>
      <c r="D438" s="36">
        <v>11.475</v>
      </c>
      <c r="E438" s="38" t="s">
        <v>12957</v>
      </c>
      <c r="F438" s="36" t="s">
        <v>13052</v>
      </c>
    </row>
    <row r="439" spans="1:6" ht="15.75" thickBot="1" x14ac:dyDescent="0.3">
      <c r="A439" s="31">
        <v>42017</v>
      </c>
      <c r="B439" s="36" t="s">
        <v>7</v>
      </c>
      <c r="C439" s="36" t="s">
        <v>7</v>
      </c>
      <c r="D439" s="36">
        <v>6.8849999999999998</v>
      </c>
      <c r="E439" s="38" t="s">
        <v>12952</v>
      </c>
      <c r="F439" s="36" t="s">
        <v>13011</v>
      </c>
    </row>
    <row r="440" spans="1:6" ht="15.75" thickBot="1" x14ac:dyDescent="0.3">
      <c r="A440" s="31">
        <v>42017</v>
      </c>
      <c r="B440" s="36" t="s">
        <v>7</v>
      </c>
      <c r="C440" s="36" t="s">
        <v>7</v>
      </c>
      <c r="D440" s="36">
        <v>5.3550000000000004</v>
      </c>
      <c r="E440" s="38" t="s">
        <v>12959</v>
      </c>
      <c r="F440" s="36" t="s">
        <v>13018</v>
      </c>
    </row>
    <row r="441" spans="1:6" ht="15.75" thickBot="1" x14ac:dyDescent="0.3">
      <c r="A441" s="31">
        <v>42018</v>
      </c>
      <c r="B441" s="36" t="s">
        <v>6</v>
      </c>
      <c r="C441" s="36" t="s">
        <v>7</v>
      </c>
      <c r="D441" s="36">
        <v>5.0999999999999996</v>
      </c>
      <c r="E441" s="38" t="s">
        <v>12946</v>
      </c>
      <c r="F441" s="36" t="s">
        <v>13058</v>
      </c>
    </row>
    <row r="442" spans="1:6" ht="15.75" thickBot="1" x14ac:dyDescent="0.3">
      <c r="A442" s="31">
        <v>42018</v>
      </c>
      <c r="B442" s="36" t="s">
        <v>6</v>
      </c>
      <c r="C442" s="36" t="s">
        <v>7</v>
      </c>
      <c r="D442" s="36">
        <v>6.63</v>
      </c>
      <c r="E442" s="38" t="s">
        <v>12941</v>
      </c>
      <c r="F442" s="39" t="s">
        <v>13055</v>
      </c>
    </row>
    <row r="443" spans="1:6" ht="15.75" thickBot="1" x14ac:dyDescent="0.3">
      <c r="A443" s="31">
        <v>42018</v>
      </c>
      <c r="B443" s="36" t="s">
        <v>7</v>
      </c>
      <c r="C443" s="36" t="s">
        <v>6</v>
      </c>
      <c r="D443" s="36">
        <v>6.12</v>
      </c>
      <c r="E443" s="38" t="s">
        <v>12949</v>
      </c>
      <c r="F443" s="36" t="s">
        <v>13056</v>
      </c>
    </row>
    <row r="444" spans="1:6" ht="15.75" thickBot="1" x14ac:dyDescent="0.3">
      <c r="A444" s="35">
        <v>42018</v>
      </c>
      <c r="B444" s="36" t="s">
        <v>6</v>
      </c>
      <c r="C444" s="36" t="s">
        <v>7</v>
      </c>
      <c r="D444" s="37">
        <v>4.16</v>
      </c>
      <c r="E444" s="38" t="s">
        <v>12942</v>
      </c>
      <c r="F444" s="37" t="s">
        <v>13003</v>
      </c>
    </row>
    <row r="445" spans="1:6" ht="15.75" thickBot="1" x14ac:dyDescent="0.3">
      <c r="A445" s="35">
        <v>42018</v>
      </c>
      <c r="B445" s="36" t="s">
        <v>7</v>
      </c>
      <c r="C445" s="36" t="s">
        <v>7</v>
      </c>
      <c r="D445" s="36">
        <v>6</v>
      </c>
      <c r="E445" s="38" t="s">
        <v>12944</v>
      </c>
      <c r="F445" s="36" t="s">
        <v>13057</v>
      </c>
    </row>
    <row r="446" spans="1:6" ht="15.75" thickBot="1" x14ac:dyDescent="0.3">
      <c r="A446" s="31">
        <v>42018</v>
      </c>
      <c r="B446" s="36" t="s">
        <v>7</v>
      </c>
      <c r="C446" s="36" t="s">
        <v>7</v>
      </c>
      <c r="D446" s="36">
        <v>8.16</v>
      </c>
      <c r="E446" s="38" t="s">
        <v>12943</v>
      </c>
      <c r="F446" s="36" t="s">
        <v>13004</v>
      </c>
    </row>
    <row r="447" spans="1:6" ht="15.75" thickBot="1" x14ac:dyDescent="0.3">
      <c r="A447" s="31">
        <v>42018</v>
      </c>
      <c r="B447" s="36" t="s">
        <v>7</v>
      </c>
      <c r="C447" s="36" t="s">
        <v>7</v>
      </c>
      <c r="D447" s="36">
        <v>10.71</v>
      </c>
      <c r="E447" s="38" t="s">
        <v>12948</v>
      </c>
      <c r="F447" s="36" t="s">
        <v>13008</v>
      </c>
    </row>
    <row r="448" spans="1:6" ht="15.75" thickBot="1" x14ac:dyDescent="0.3">
      <c r="A448" s="31">
        <v>42018</v>
      </c>
      <c r="B448" s="36" t="s">
        <v>7</v>
      </c>
      <c r="C448" s="36" t="s">
        <v>7</v>
      </c>
      <c r="D448" s="36">
        <v>4.59</v>
      </c>
      <c r="E448" s="38" t="s">
        <v>12945</v>
      </c>
      <c r="F448" s="36" t="s">
        <v>13006</v>
      </c>
    </row>
    <row r="449" spans="1:6" ht="15.75" thickBot="1" x14ac:dyDescent="0.3">
      <c r="A449" s="31">
        <v>42018</v>
      </c>
      <c r="B449" s="36" t="s">
        <v>7</v>
      </c>
      <c r="C449" s="36" t="s">
        <v>7</v>
      </c>
      <c r="D449" s="36">
        <v>3.3149999999999999</v>
      </c>
      <c r="E449" s="38" t="s">
        <v>12947</v>
      </c>
      <c r="F449" s="36" t="s">
        <v>13007</v>
      </c>
    </row>
    <row r="450" spans="1:6" ht="15.75" thickBot="1" x14ac:dyDescent="0.3">
      <c r="A450" s="31">
        <v>42018</v>
      </c>
      <c r="B450" s="36" t="s">
        <v>6</v>
      </c>
      <c r="C450" s="36" t="s">
        <v>6</v>
      </c>
      <c r="D450" s="36">
        <v>6.12</v>
      </c>
      <c r="E450" s="38" t="s">
        <v>12950</v>
      </c>
      <c r="F450" s="36" t="s">
        <v>13009</v>
      </c>
    </row>
    <row r="451" spans="1:6" ht="15.75" thickBot="1" x14ac:dyDescent="0.3">
      <c r="A451" s="35">
        <v>42019</v>
      </c>
      <c r="B451" s="36" t="s">
        <v>7</v>
      </c>
      <c r="C451" s="36" t="s">
        <v>7</v>
      </c>
      <c r="D451" s="36">
        <v>5.3550000000000004</v>
      </c>
      <c r="E451" s="38" t="s">
        <v>12935</v>
      </c>
      <c r="F451" s="36" t="s">
        <v>13098</v>
      </c>
    </row>
    <row r="452" spans="1:6" ht="15.75" thickBot="1" x14ac:dyDescent="0.3">
      <c r="A452" s="35">
        <v>42019</v>
      </c>
      <c r="B452" s="36" t="s">
        <v>6</v>
      </c>
      <c r="C452" s="36" t="s">
        <v>7</v>
      </c>
      <c r="D452" s="36">
        <v>2.8050000000000002</v>
      </c>
      <c r="E452" s="38" t="s">
        <v>12940</v>
      </c>
      <c r="F452" s="36" t="s">
        <v>13103</v>
      </c>
    </row>
    <row r="453" spans="1:6" ht="15.75" thickBot="1" x14ac:dyDescent="0.3">
      <c r="A453" s="31">
        <v>42019</v>
      </c>
      <c r="B453" s="36" t="s">
        <v>7</v>
      </c>
      <c r="C453" s="36" t="s">
        <v>7</v>
      </c>
      <c r="D453" s="36">
        <v>9.75</v>
      </c>
      <c r="E453" s="38" t="s">
        <v>12936</v>
      </c>
      <c r="F453" s="36" t="s">
        <v>12997</v>
      </c>
    </row>
    <row r="454" spans="1:6" ht="15.75" thickBot="1" x14ac:dyDescent="0.3">
      <c r="A454" s="31">
        <v>42019</v>
      </c>
      <c r="B454" s="36" t="s">
        <v>7</v>
      </c>
      <c r="C454" s="36" t="s">
        <v>7</v>
      </c>
      <c r="D454" s="36">
        <v>5.8650000000000002</v>
      </c>
      <c r="E454" s="38" t="s">
        <v>13059</v>
      </c>
      <c r="F454" s="36" t="s">
        <v>13060</v>
      </c>
    </row>
    <row r="455" spans="1:6" ht="15.75" thickBot="1" x14ac:dyDescent="0.3">
      <c r="A455" s="31">
        <v>42019</v>
      </c>
      <c r="B455" s="36" t="s">
        <v>7</v>
      </c>
      <c r="C455" s="36" t="s">
        <v>7</v>
      </c>
      <c r="D455" s="36">
        <v>5.0999999999999996</v>
      </c>
      <c r="E455" s="38" t="s">
        <v>12928</v>
      </c>
      <c r="F455" s="36" t="s">
        <v>12552</v>
      </c>
    </row>
    <row r="456" spans="1:6" ht="15.75" thickBot="1" x14ac:dyDescent="0.3">
      <c r="A456" s="31">
        <v>42019</v>
      </c>
      <c r="B456" s="36" t="s">
        <v>7</v>
      </c>
      <c r="C456" s="36" t="s">
        <v>7</v>
      </c>
      <c r="D456" s="36">
        <v>9.36</v>
      </c>
      <c r="E456" s="38" t="s">
        <v>12921</v>
      </c>
      <c r="F456" s="36" t="s">
        <v>13085</v>
      </c>
    </row>
    <row r="457" spans="1:6" ht="15.75" thickBot="1" x14ac:dyDescent="0.3">
      <c r="A457" s="35">
        <v>42019</v>
      </c>
      <c r="B457" s="36" t="s">
        <v>7</v>
      </c>
      <c r="C457" s="36" t="s">
        <v>7</v>
      </c>
      <c r="D457" s="36">
        <v>8</v>
      </c>
      <c r="E457" s="38" t="s">
        <v>12938</v>
      </c>
      <c r="F457" s="36" t="s">
        <v>13101</v>
      </c>
    </row>
    <row r="458" spans="1:6" ht="15.75" thickBot="1" x14ac:dyDescent="0.3">
      <c r="A458" s="35">
        <v>42019</v>
      </c>
      <c r="B458" s="36" t="s">
        <v>7</v>
      </c>
      <c r="C458" s="36" t="s">
        <v>6</v>
      </c>
      <c r="D458" s="36">
        <v>7</v>
      </c>
      <c r="E458" s="38" t="s">
        <v>12939</v>
      </c>
      <c r="F458" s="36" t="s">
        <v>13102</v>
      </c>
    </row>
    <row r="459" spans="1:6" ht="15.75" thickBot="1" x14ac:dyDescent="0.3">
      <c r="A459" s="35">
        <v>42019</v>
      </c>
      <c r="B459" s="36" t="s">
        <v>7</v>
      </c>
      <c r="C459" s="36" t="s">
        <v>7</v>
      </c>
      <c r="D459" s="36">
        <v>4.5</v>
      </c>
      <c r="E459" s="38" t="s">
        <v>12919</v>
      </c>
      <c r="F459" s="36" t="s">
        <v>13083</v>
      </c>
    </row>
    <row r="460" spans="1:6" ht="15.75" thickBot="1" x14ac:dyDescent="0.3">
      <c r="A460" s="35">
        <v>42019</v>
      </c>
      <c r="B460" s="36" t="s">
        <v>7</v>
      </c>
      <c r="C460" s="36" t="s">
        <v>7</v>
      </c>
      <c r="D460" s="36">
        <v>8.75</v>
      </c>
      <c r="E460" s="38" t="s">
        <v>12931</v>
      </c>
      <c r="F460" s="36" t="s">
        <v>13094</v>
      </c>
    </row>
    <row r="461" spans="1:6" ht="15.75" thickBot="1" x14ac:dyDescent="0.3">
      <c r="A461" s="31">
        <v>42019</v>
      </c>
      <c r="B461" s="36" t="s">
        <v>7</v>
      </c>
      <c r="C461" s="36" t="s">
        <v>7</v>
      </c>
      <c r="D461" s="36">
        <v>6.24</v>
      </c>
      <c r="E461" s="38" t="s">
        <v>12937</v>
      </c>
      <c r="F461" s="36" t="s">
        <v>12998</v>
      </c>
    </row>
    <row r="462" spans="1:6" ht="15.75" thickBot="1" x14ac:dyDescent="0.3">
      <c r="A462" s="31">
        <v>42019</v>
      </c>
      <c r="B462" s="36" t="s">
        <v>6</v>
      </c>
      <c r="C462" s="36" t="s">
        <v>6</v>
      </c>
      <c r="D462" s="36">
        <v>2.8050000000000002</v>
      </c>
      <c r="E462" s="38" t="s">
        <v>12932</v>
      </c>
      <c r="F462" s="36" t="s">
        <v>12993</v>
      </c>
    </row>
    <row r="463" spans="1:6" ht="15.75" thickBot="1" x14ac:dyDescent="0.3">
      <c r="A463" s="31">
        <v>42019</v>
      </c>
      <c r="B463" s="36" t="s">
        <v>7</v>
      </c>
      <c r="C463" s="36" t="s">
        <v>7</v>
      </c>
      <c r="D463" s="36">
        <v>4.59</v>
      </c>
      <c r="E463" s="38" t="s">
        <v>12920</v>
      </c>
      <c r="F463" s="36" t="s">
        <v>12981</v>
      </c>
    </row>
    <row r="464" spans="1:6" ht="15.75" thickBot="1" x14ac:dyDescent="0.3">
      <c r="A464" s="31">
        <v>42019</v>
      </c>
      <c r="B464" s="36" t="s">
        <v>7</v>
      </c>
      <c r="C464" s="36" t="s">
        <v>7</v>
      </c>
      <c r="D464" s="36">
        <v>4.08</v>
      </c>
      <c r="E464" s="38" t="s">
        <v>12923</v>
      </c>
      <c r="F464" s="36" t="s">
        <v>12984</v>
      </c>
    </row>
    <row r="465" spans="1:6" ht="15.75" thickBot="1" x14ac:dyDescent="0.3">
      <c r="A465" s="31">
        <v>42019</v>
      </c>
      <c r="B465" s="36" t="s">
        <v>7</v>
      </c>
      <c r="C465" s="36" t="s">
        <v>7</v>
      </c>
      <c r="D465" s="36">
        <v>4.335</v>
      </c>
      <c r="E465" s="38" t="s">
        <v>12927</v>
      </c>
      <c r="F465" s="36" t="s">
        <v>12988</v>
      </c>
    </row>
    <row r="466" spans="1:6" ht="15.75" thickBot="1" x14ac:dyDescent="0.3">
      <c r="A466" s="31">
        <v>42019</v>
      </c>
      <c r="B466" s="36" t="s">
        <v>7</v>
      </c>
      <c r="C466" s="36" t="s">
        <v>7</v>
      </c>
      <c r="D466" s="36">
        <v>4.59</v>
      </c>
      <c r="E466" s="38" t="s">
        <v>12933</v>
      </c>
      <c r="F466" s="36" t="s">
        <v>12994</v>
      </c>
    </row>
    <row r="467" spans="1:6" ht="15.75" thickBot="1" x14ac:dyDescent="0.3">
      <c r="A467" s="31">
        <v>42019</v>
      </c>
      <c r="B467" s="36" t="s">
        <v>7</v>
      </c>
      <c r="C467" s="36" t="s">
        <v>7</v>
      </c>
      <c r="D467" s="37">
        <v>7.65</v>
      </c>
      <c r="E467" s="38" t="s">
        <v>12922</v>
      </c>
      <c r="F467" s="36" t="s">
        <v>12983</v>
      </c>
    </row>
    <row r="468" spans="1:6" ht="15.75" thickBot="1" x14ac:dyDescent="0.3">
      <c r="A468" s="31">
        <v>42019</v>
      </c>
      <c r="B468" s="36" t="s">
        <v>7</v>
      </c>
      <c r="C468" s="36" t="s">
        <v>7</v>
      </c>
      <c r="D468" s="36">
        <v>6.8849999999999998</v>
      </c>
      <c r="E468" s="38" t="s">
        <v>12929</v>
      </c>
      <c r="F468" s="36" t="s">
        <v>12990</v>
      </c>
    </row>
    <row r="469" spans="1:6" ht="15.75" thickBot="1" x14ac:dyDescent="0.3">
      <c r="A469" s="31">
        <v>42019</v>
      </c>
      <c r="B469" s="36" t="s">
        <v>7</v>
      </c>
      <c r="C469" s="36" t="s">
        <v>7</v>
      </c>
      <c r="D469" s="36">
        <v>2.5499999999999998</v>
      </c>
      <c r="E469" s="38" t="s">
        <v>12930</v>
      </c>
      <c r="F469" s="36" t="s">
        <v>12991</v>
      </c>
    </row>
    <row r="470" spans="1:6" ht="15.75" thickBot="1" x14ac:dyDescent="0.3">
      <c r="A470" s="31">
        <v>42019</v>
      </c>
      <c r="B470" s="36" t="s">
        <v>7</v>
      </c>
      <c r="C470" s="36" t="s">
        <v>7</v>
      </c>
      <c r="D470" s="36">
        <v>7.3949999999999996</v>
      </c>
      <c r="E470" s="38" t="s">
        <v>12925</v>
      </c>
      <c r="F470" s="36" t="s">
        <v>12986</v>
      </c>
    </row>
    <row r="471" spans="1:6" ht="15.75" thickBot="1" x14ac:dyDescent="0.3">
      <c r="A471" s="31">
        <v>42020</v>
      </c>
      <c r="B471" s="36" t="s">
        <v>7</v>
      </c>
      <c r="C471" s="36" t="s">
        <v>7</v>
      </c>
      <c r="D471" s="36">
        <v>2.2949999999999999</v>
      </c>
      <c r="E471" s="38" t="s">
        <v>12917</v>
      </c>
      <c r="F471" s="36" t="s">
        <v>13081</v>
      </c>
    </row>
    <row r="472" spans="1:6" ht="15.75" thickBot="1" x14ac:dyDescent="0.3">
      <c r="A472" s="31">
        <v>42020</v>
      </c>
      <c r="B472" s="36" t="s">
        <v>7</v>
      </c>
      <c r="C472" s="36" t="s">
        <v>6</v>
      </c>
      <c r="D472" s="36">
        <v>2.6</v>
      </c>
      <c r="E472" s="38" t="s">
        <v>13307</v>
      </c>
      <c r="F472" s="36" t="s">
        <v>13416</v>
      </c>
    </row>
    <row r="473" spans="1:6" ht="15.75" thickBot="1" x14ac:dyDescent="0.3">
      <c r="A473" s="31">
        <v>42020</v>
      </c>
      <c r="B473" s="36" t="s">
        <v>7</v>
      </c>
      <c r="C473" s="36" t="s">
        <v>7</v>
      </c>
      <c r="D473" s="36">
        <v>9.1</v>
      </c>
      <c r="E473" s="38" t="s">
        <v>13318</v>
      </c>
      <c r="F473" s="36" t="s">
        <v>13417</v>
      </c>
    </row>
    <row r="474" spans="1:6" ht="15.75" thickBot="1" x14ac:dyDescent="0.3">
      <c r="A474" s="35">
        <v>42020</v>
      </c>
      <c r="B474" s="36" t="s">
        <v>7</v>
      </c>
      <c r="C474" s="36" t="s">
        <v>7</v>
      </c>
      <c r="D474" s="36">
        <v>14.28</v>
      </c>
      <c r="E474" s="38" t="s">
        <v>13367</v>
      </c>
      <c r="F474" s="36" t="s">
        <v>13418</v>
      </c>
    </row>
    <row r="475" spans="1:6" ht="15.75" thickBot="1" x14ac:dyDescent="0.3">
      <c r="A475" s="35">
        <v>42020</v>
      </c>
      <c r="B475" s="36" t="s">
        <v>7</v>
      </c>
      <c r="C475" s="36" t="s">
        <v>7</v>
      </c>
      <c r="D475" s="36">
        <v>7.5</v>
      </c>
      <c r="E475" s="38" t="s">
        <v>13061</v>
      </c>
      <c r="F475" s="36" t="s">
        <v>13062</v>
      </c>
    </row>
    <row r="476" spans="1:6" ht="15.75" thickBot="1" x14ac:dyDescent="0.3">
      <c r="A476" s="31">
        <v>42020</v>
      </c>
      <c r="B476" s="36" t="s">
        <v>7</v>
      </c>
      <c r="C476" s="36" t="s">
        <v>7</v>
      </c>
      <c r="D476" s="36">
        <v>4.34</v>
      </c>
      <c r="E476" s="38" t="s">
        <v>13238</v>
      </c>
      <c r="F476" s="36" t="s">
        <v>13237</v>
      </c>
    </row>
    <row r="477" spans="1:6" ht="15.75" thickBot="1" x14ac:dyDescent="0.3">
      <c r="A477" s="31">
        <v>42020</v>
      </c>
      <c r="B477" s="36" t="s">
        <v>7</v>
      </c>
      <c r="C477" s="36" t="s">
        <v>7</v>
      </c>
      <c r="D477" s="36">
        <v>3.38</v>
      </c>
      <c r="E477" s="38" t="s">
        <v>13265</v>
      </c>
      <c r="F477" s="36" t="s">
        <v>13264</v>
      </c>
    </row>
    <row r="478" spans="1:6" ht="15.75" thickBot="1" x14ac:dyDescent="0.3">
      <c r="A478" s="31">
        <v>42020</v>
      </c>
      <c r="B478" s="36" t="s">
        <v>7</v>
      </c>
      <c r="C478" s="36" t="s">
        <v>7</v>
      </c>
      <c r="D478" s="36">
        <v>7.14</v>
      </c>
      <c r="E478" s="38" t="s">
        <v>13328</v>
      </c>
      <c r="F478" s="36" t="s">
        <v>13414</v>
      </c>
    </row>
    <row r="479" spans="1:6" ht="15.75" thickBot="1" x14ac:dyDescent="0.3">
      <c r="A479" s="31">
        <v>42020</v>
      </c>
      <c r="B479" s="36" t="s">
        <v>7</v>
      </c>
      <c r="C479" s="36" t="s">
        <v>7</v>
      </c>
      <c r="D479" s="36">
        <v>2.81</v>
      </c>
      <c r="E479" s="38" t="s">
        <v>13285</v>
      </c>
      <c r="F479" s="36" t="s">
        <v>13415</v>
      </c>
    </row>
    <row r="480" spans="1:6" ht="15.75" thickBot="1" x14ac:dyDescent="0.3">
      <c r="A480" s="31">
        <v>42020</v>
      </c>
      <c r="B480" s="36" t="s">
        <v>7</v>
      </c>
      <c r="C480" s="36" t="s">
        <v>7</v>
      </c>
      <c r="D480" s="36">
        <v>11</v>
      </c>
      <c r="E480" s="38" t="s">
        <v>12918</v>
      </c>
      <c r="F480" s="36" t="s">
        <v>12979</v>
      </c>
    </row>
    <row r="481" spans="1:6" ht="15.75" thickBot="1" x14ac:dyDescent="0.3">
      <c r="A481" s="31">
        <v>42020</v>
      </c>
      <c r="B481" s="36" t="s">
        <v>7</v>
      </c>
      <c r="C481" s="36" t="s">
        <v>7</v>
      </c>
      <c r="D481" s="36">
        <v>5.8650000000000002</v>
      </c>
      <c r="E481" s="38" t="s">
        <v>13371</v>
      </c>
      <c r="F481" s="36" t="s">
        <v>13370</v>
      </c>
    </row>
    <row r="482" spans="1:6" ht="15.75" thickBot="1" x14ac:dyDescent="0.3">
      <c r="A482" s="31">
        <v>42020</v>
      </c>
      <c r="B482" s="36" t="s">
        <v>7</v>
      </c>
      <c r="C482" s="36" t="s">
        <v>7</v>
      </c>
      <c r="D482" s="36">
        <v>5.8650000000000002</v>
      </c>
      <c r="E482" s="38" t="s">
        <v>13137</v>
      </c>
      <c r="F482" s="39" t="s">
        <v>13136</v>
      </c>
    </row>
    <row r="483" spans="1:6" ht="15.75" thickBot="1" x14ac:dyDescent="0.3">
      <c r="A483" s="31">
        <v>42021</v>
      </c>
      <c r="B483" s="36" t="s">
        <v>6</v>
      </c>
      <c r="C483" s="36" t="s">
        <v>7</v>
      </c>
      <c r="D483" s="36">
        <v>8.16</v>
      </c>
      <c r="E483" s="38" t="s">
        <v>13274</v>
      </c>
      <c r="F483" s="36" t="s">
        <v>13413</v>
      </c>
    </row>
    <row r="484" spans="1:6" ht="15.75" thickBot="1" x14ac:dyDescent="0.3">
      <c r="A484" s="31">
        <v>42021</v>
      </c>
      <c r="B484" s="36" t="s">
        <v>7</v>
      </c>
      <c r="C484" s="36" t="s">
        <v>7</v>
      </c>
      <c r="D484" s="36">
        <v>8.5</v>
      </c>
      <c r="E484" s="38" t="s">
        <v>13358</v>
      </c>
      <c r="F484" s="36" t="s">
        <v>13411</v>
      </c>
    </row>
    <row r="485" spans="1:6" ht="15.75" thickBot="1" x14ac:dyDescent="0.3">
      <c r="A485" s="31">
        <v>42021</v>
      </c>
      <c r="B485" s="36" t="s">
        <v>6</v>
      </c>
      <c r="C485" s="36" t="s">
        <v>7</v>
      </c>
      <c r="D485" s="36">
        <v>4.16</v>
      </c>
      <c r="E485" s="38" t="s">
        <v>13243</v>
      </c>
      <c r="F485" s="36" t="s">
        <v>13408</v>
      </c>
    </row>
    <row r="486" spans="1:6" ht="15.75" thickBot="1" x14ac:dyDescent="0.3">
      <c r="A486" s="35">
        <v>42021</v>
      </c>
      <c r="B486" s="36" t="s">
        <v>7</v>
      </c>
      <c r="C486" s="36" t="s">
        <v>7</v>
      </c>
      <c r="D486" s="37">
        <v>8.16</v>
      </c>
      <c r="E486" s="38" t="s">
        <v>13143</v>
      </c>
      <c r="F486" s="36" t="s">
        <v>13409</v>
      </c>
    </row>
    <row r="487" spans="1:6" ht="15.75" thickBot="1" x14ac:dyDescent="0.3">
      <c r="A487" s="35">
        <v>42021</v>
      </c>
      <c r="B487" s="36" t="s">
        <v>7</v>
      </c>
      <c r="C487" s="36" t="s">
        <v>6</v>
      </c>
      <c r="D487" s="37">
        <v>8.32</v>
      </c>
      <c r="E487" s="38" t="s">
        <v>13316</v>
      </c>
      <c r="F487" s="36" t="s">
        <v>13410</v>
      </c>
    </row>
    <row r="488" spans="1:6" ht="15.75" thickBot="1" x14ac:dyDescent="0.3">
      <c r="A488" s="35">
        <v>42021</v>
      </c>
      <c r="B488" s="36" t="s">
        <v>7</v>
      </c>
      <c r="C488" s="36" t="s">
        <v>7</v>
      </c>
      <c r="D488" s="36">
        <v>11.25</v>
      </c>
      <c r="E488" s="38" t="s">
        <v>12915</v>
      </c>
      <c r="F488" s="36" t="s">
        <v>13067</v>
      </c>
    </row>
    <row r="489" spans="1:6" ht="15.75" thickBot="1" x14ac:dyDescent="0.3">
      <c r="A489" s="35">
        <v>42021</v>
      </c>
      <c r="B489" s="36" t="s">
        <v>7</v>
      </c>
      <c r="C489" s="36" t="s">
        <v>7</v>
      </c>
      <c r="D489" s="36">
        <v>14.025</v>
      </c>
      <c r="E489" s="38" t="s">
        <v>13072</v>
      </c>
      <c r="F489" s="36" t="s">
        <v>13073</v>
      </c>
    </row>
    <row r="490" spans="1:6" ht="15.75" thickBot="1" x14ac:dyDescent="0.3">
      <c r="A490" s="35">
        <v>42021</v>
      </c>
      <c r="B490" s="36" t="s">
        <v>7</v>
      </c>
      <c r="C490" s="36" t="s">
        <v>7</v>
      </c>
      <c r="D490" s="36">
        <v>6.38</v>
      </c>
      <c r="E490" s="38" t="s">
        <v>13068</v>
      </c>
      <c r="F490" s="36" t="s">
        <v>13069</v>
      </c>
    </row>
    <row r="491" spans="1:6" ht="15.75" thickBot="1" x14ac:dyDescent="0.3">
      <c r="A491" s="35">
        <v>42021</v>
      </c>
      <c r="B491" s="36" t="s">
        <v>7</v>
      </c>
      <c r="C491" s="36" t="s">
        <v>6</v>
      </c>
      <c r="D491" s="36">
        <v>5.5</v>
      </c>
      <c r="E491" s="38" t="s">
        <v>13063</v>
      </c>
      <c r="F491" s="36" t="s">
        <v>13064</v>
      </c>
    </row>
    <row r="492" spans="1:6" ht="15.75" thickBot="1" x14ac:dyDescent="0.3">
      <c r="A492" s="35">
        <v>42021</v>
      </c>
      <c r="B492" s="36" t="s">
        <v>7</v>
      </c>
      <c r="C492" s="36" t="s">
        <v>7</v>
      </c>
      <c r="D492" s="36">
        <v>14.5</v>
      </c>
      <c r="E492" s="38" t="s">
        <v>12916</v>
      </c>
      <c r="F492" s="36" t="s">
        <v>13080</v>
      </c>
    </row>
    <row r="493" spans="1:6" ht="15.75" thickBot="1" x14ac:dyDescent="0.3">
      <c r="A493" s="35">
        <v>42021</v>
      </c>
      <c r="B493" s="36" t="s">
        <v>6</v>
      </c>
      <c r="C493" s="36" t="s">
        <v>7</v>
      </c>
      <c r="D493" s="36">
        <v>11</v>
      </c>
      <c r="E493" s="38" t="s">
        <v>13065</v>
      </c>
      <c r="F493" s="36" t="s">
        <v>13066</v>
      </c>
    </row>
    <row r="494" spans="1:6" ht="15.75" thickBot="1" x14ac:dyDescent="0.3">
      <c r="A494" s="35">
        <v>42021</v>
      </c>
      <c r="B494" s="36" t="s">
        <v>7</v>
      </c>
      <c r="C494" s="36" t="s">
        <v>7</v>
      </c>
      <c r="D494" s="36">
        <v>9.75</v>
      </c>
      <c r="E494" s="38" t="s">
        <v>13070</v>
      </c>
      <c r="F494" s="36" t="s">
        <v>13071</v>
      </c>
    </row>
    <row r="495" spans="1:6" ht="15.75" thickBot="1" x14ac:dyDescent="0.3">
      <c r="A495" s="35">
        <v>42021</v>
      </c>
      <c r="B495" s="36" t="s">
        <v>7</v>
      </c>
      <c r="C495" s="36" t="s">
        <v>7</v>
      </c>
      <c r="D495" s="36">
        <v>7.75</v>
      </c>
      <c r="E495" s="38" t="s">
        <v>13074</v>
      </c>
      <c r="F495" s="36" t="s">
        <v>13075</v>
      </c>
    </row>
    <row r="496" spans="1:6" ht="15.75" thickBot="1" x14ac:dyDescent="0.3">
      <c r="A496" s="31">
        <v>42021</v>
      </c>
      <c r="B496" s="36" t="s">
        <v>7</v>
      </c>
      <c r="C496" s="36" t="s">
        <v>7</v>
      </c>
      <c r="D496" s="36">
        <v>6.89</v>
      </c>
      <c r="E496" s="38" t="s">
        <v>13369</v>
      </c>
      <c r="F496" s="36" t="s">
        <v>13802</v>
      </c>
    </row>
    <row r="497" spans="1:6" ht="15.75" thickBot="1" x14ac:dyDescent="0.3">
      <c r="A497" s="31">
        <v>42021</v>
      </c>
      <c r="B497" s="36" t="s">
        <v>7</v>
      </c>
      <c r="C497" s="36" t="s">
        <v>7</v>
      </c>
      <c r="D497" s="36">
        <v>14.03</v>
      </c>
      <c r="E497" s="38" t="s">
        <v>13344</v>
      </c>
      <c r="F497" s="36" t="s">
        <v>13406</v>
      </c>
    </row>
    <row r="498" spans="1:6" ht="15.75" thickBot="1" x14ac:dyDescent="0.3">
      <c r="A498" s="31">
        <v>42021</v>
      </c>
      <c r="B498" s="36" t="s">
        <v>7</v>
      </c>
      <c r="C498" s="36" t="s">
        <v>7</v>
      </c>
      <c r="D498" s="36">
        <v>11.73</v>
      </c>
      <c r="E498" s="38" t="s">
        <v>13174</v>
      </c>
      <c r="F498" s="36" t="s">
        <v>13407</v>
      </c>
    </row>
    <row r="499" spans="1:6" ht="15.75" thickBot="1" x14ac:dyDescent="0.3">
      <c r="A499" s="31">
        <v>42021</v>
      </c>
      <c r="B499" s="36" t="s">
        <v>6</v>
      </c>
      <c r="C499" s="36" t="s">
        <v>7</v>
      </c>
      <c r="D499" s="36">
        <v>4.59</v>
      </c>
      <c r="E499" s="38" t="s">
        <v>13205</v>
      </c>
      <c r="F499" s="36" t="s">
        <v>13204</v>
      </c>
    </row>
    <row r="500" spans="1:6" ht="15.75" thickBot="1" x14ac:dyDescent="0.3">
      <c r="A500" s="31">
        <v>42021</v>
      </c>
      <c r="B500" s="36" t="s">
        <v>7</v>
      </c>
      <c r="C500" s="36" t="s">
        <v>7</v>
      </c>
      <c r="D500" s="36">
        <v>9.9450000000000003</v>
      </c>
      <c r="E500" s="38" t="s">
        <v>13322</v>
      </c>
      <c r="F500" s="36" t="s">
        <v>13321</v>
      </c>
    </row>
    <row r="501" spans="1:6" ht="15.75" thickBot="1" x14ac:dyDescent="0.3">
      <c r="A501" s="31">
        <v>42021</v>
      </c>
      <c r="B501" s="36" t="s">
        <v>7</v>
      </c>
      <c r="C501" s="36" t="s">
        <v>7</v>
      </c>
      <c r="D501" s="36">
        <v>3.06</v>
      </c>
      <c r="E501" s="38" t="s">
        <v>13336</v>
      </c>
      <c r="F501" s="36" t="s">
        <v>13335</v>
      </c>
    </row>
    <row r="502" spans="1:6" ht="15.75" thickBot="1" x14ac:dyDescent="0.3">
      <c r="A502" s="31">
        <v>42021</v>
      </c>
      <c r="B502" s="36" t="s">
        <v>7</v>
      </c>
      <c r="C502" s="36" t="s">
        <v>6</v>
      </c>
      <c r="D502" s="36">
        <v>6.12</v>
      </c>
      <c r="E502" s="38" t="s">
        <v>13191</v>
      </c>
      <c r="F502" s="36" t="s">
        <v>13190</v>
      </c>
    </row>
    <row r="503" spans="1:6" ht="15.75" thickBot="1" x14ac:dyDescent="0.3">
      <c r="A503" s="31">
        <v>42021</v>
      </c>
      <c r="B503" s="36" t="s">
        <v>7</v>
      </c>
      <c r="C503" s="36" t="s">
        <v>7</v>
      </c>
      <c r="D503" s="36">
        <v>10.965</v>
      </c>
      <c r="E503" s="38" t="s">
        <v>13232</v>
      </c>
      <c r="F503" s="36" t="s">
        <v>13231</v>
      </c>
    </row>
    <row r="504" spans="1:6" ht="15.75" thickBot="1" x14ac:dyDescent="0.3">
      <c r="A504" s="31">
        <v>42021</v>
      </c>
      <c r="B504" s="36" t="s">
        <v>7</v>
      </c>
      <c r="C504" s="36" t="s">
        <v>7</v>
      </c>
      <c r="D504" s="36">
        <v>8.67</v>
      </c>
      <c r="E504" s="38" t="s">
        <v>13225</v>
      </c>
      <c r="F504" s="36" t="s">
        <v>13224</v>
      </c>
    </row>
    <row r="505" spans="1:6" ht="15.75" thickBot="1" x14ac:dyDescent="0.3">
      <c r="A505" s="35">
        <v>42022</v>
      </c>
      <c r="B505" s="36" t="s">
        <v>7</v>
      </c>
      <c r="C505" s="36" t="s">
        <v>7</v>
      </c>
      <c r="D505" s="36">
        <v>9</v>
      </c>
      <c r="E505" s="38" t="s">
        <v>13076</v>
      </c>
      <c r="F505" s="36" t="s">
        <v>13077</v>
      </c>
    </row>
    <row r="506" spans="1:6" ht="15.75" thickBot="1" x14ac:dyDescent="0.3">
      <c r="A506" s="31">
        <v>42022</v>
      </c>
      <c r="B506" s="36" t="s">
        <v>7</v>
      </c>
      <c r="C506" s="36" t="s">
        <v>7</v>
      </c>
      <c r="D506" s="36">
        <v>6.12</v>
      </c>
      <c r="E506" s="38" t="s">
        <v>13360</v>
      </c>
      <c r="F506" s="36" t="s">
        <v>13405</v>
      </c>
    </row>
    <row r="507" spans="1:6" ht="15.75" thickBot="1" x14ac:dyDescent="0.3">
      <c r="A507" s="31">
        <v>42022</v>
      </c>
      <c r="B507" s="36" t="s">
        <v>7</v>
      </c>
      <c r="C507" s="36" t="s">
        <v>7</v>
      </c>
      <c r="D507" s="36">
        <v>12.494999999999999</v>
      </c>
      <c r="E507" s="38" t="s">
        <v>13338</v>
      </c>
      <c r="F507" s="36" t="s">
        <v>13337</v>
      </c>
    </row>
    <row r="508" spans="1:6" ht="15.75" thickBot="1" x14ac:dyDescent="0.3">
      <c r="A508" s="31">
        <v>42023</v>
      </c>
      <c r="B508" s="36" t="s">
        <v>7</v>
      </c>
      <c r="C508" s="36" t="s">
        <v>7</v>
      </c>
      <c r="D508" s="36">
        <v>3.8250000000000002</v>
      </c>
      <c r="E508" s="38" t="s">
        <v>13288</v>
      </c>
      <c r="F508" s="36" t="s">
        <v>13403</v>
      </c>
    </row>
    <row r="509" spans="1:6" ht="15.75" thickBot="1" x14ac:dyDescent="0.3">
      <c r="A509" s="31">
        <v>42023</v>
      </c>
      <c r="B509" s="36" t="s">
        <v>6</v>
      </c>
      <c r="C509" s="36" t="s">
        <v>6</v>
      </c>
      <c r="D509" s="36">
        <v>6.76</v>
      </c>
      <c r="E509" s="38" t="s">
        <v>13342</v>
      </c>
      <c r="F509" s="36" t="s">
        <v>13404</v>
      </c>
    </row>
    <row r="510" spans="1:6" ht="15.75" thickBot="1" x14ac:dyDescent="0.3">
      <c r="A510" s="35">
        <v>42023</v>
      </c>
      <c r="B510" s="36" t="s">
        <v>7</v>
      </c>
      <c r="C510" s="36" t="s">
        <v>7</v>
      </c>
      <c r="D510" s="36">
        <v>8</v>
      </c>
      <c r="E510" s="38" t="s">
        <v>13218</v>
      </c>
      <c r="F510" s="36" t="s">
        <v>13568</v>
      </c>
    </row>
    <row r="511" spans="1:6" ht="15.75" thickBot="1" x14ac:dyDescent="0.3">
      <c r="A511" s="35">
        <v>42023</v>
      </c>
      <c r="B511" s="36" t="s">
        <v>7</v>
      </c>
      <c r="C511" s="36" t="s">
        <v>7</v>
      </c>
      <c r="D511" s="36">
        <v>7</v>
      </c>
      <c r="E511" s="38" t="s">
        <v>12914</v>
      </c>
      <c r="F511" s="36" t="s">
        <v>13078</v>
      </c>
    </row>
    <row r="512" spans="1:6" ht="15.75" thickBot="1" x14ac:dyDescent="0.3">
      <c r="A512" s="35">
        <v>42023</v>
      </c>
      <c r="B512" s="36" t="s">
        <v>7</v>
      </c>
      <c r="C512" s="36" t="s">
        <v>6</v>
      </c>
      <c r="D512" s="36">
        <v>5</v>
      </c>
      <c r="E512" s="38" t="s">
        <v>13154</v>
      </c>
      <c r="F512" s="36" t="s">
        <v>13565</v>
      </c>
    </row>
    <row r="513" spans="1:6" ht="15.75" thickBot="1" x14ac:dyDescent="0.3">
      <c r="A513" s="35">
        <v>42023</v>
      </c>
      <c r="B513" s="36" t="s">
        <v>7</v>
      </c>
      <c r="C513" s="36" t="s">
        <v>7</v>
      </c>
      <c r="D513" s="36">
        <v>14.03</v>
      </c>
      <c r="E513" s="38" t="s">
        <v>13207</v>
      </c>
      <c r="F513" s="36" t="s">
        <v>13567</v>
      </c>
    </row>
    <row r="514" spans="1:6" ht="15.75" thickBot="1" x14ac:dyDescent="0.3">
      <c r="A514" s="35">
        <v>42023</v>
      </c>
      <c r="B514" s="36" t="s">
        <v>7</v>
      </c>
      <c r="C514" s="36" t="s">
        <v>7</v>
      </c>
      <c r="D514" s="36">
        <v>6.75</v>
      </c>
      <c r="E514" s="38" t="s">
        <v>13245</v>
      </c>
      <c r="F514" s="36" t="s">
        <v>13569</v>
      </c>
    </row>
    <row r="515" spans="1:6" ht="15.75" thickBot="1" x14ac:dyDescent="0.3">
      <c r="A515" s="31">
        <v>42023</v>
      </c>
      <c r="B515" s="36" t="s">
        <v>7</v>
      </c>
      <c r="C515" s="36" t="s">
        <v>7</v>
      </c>
      <c r="D515" s="36">
        <v>5.8650000000000002</v>
      </c>
      <c r="E515" s="38" t="s">
        <v>13126</v>
      </c>
      <c r="F515" s="36" t="s">
        <v>13401</v>
      </c>
    </row>
    <row r="516" spans="1:6" ht="15.75" thickBot="1" x14ac:dyDescent="0.3">
      <c r="A516" s="31">
        <v>42023</v>
      </c>
      <c r="B516" s="36" t="s">
        <v>7</v>
      </c>
      <c r="C516" s="36" t="s">
        <v>7</v>
      </c>
      <c r="D516" s="36">
        <v>5.8650000000000002</v>
      </c>
      <c r="E516" s="38" t="s">
        <v>13156</v>
      </c>
      <c r="F516" s="36" t="s">
        <v>13402</v>
      </c>
    </row>
    <row r="517" spans="1:6" ht="15.75" thickBot="1" x14ac:dyDescent="0.3">
      <c r="A517" s="31">
        <v>42023</v>
      </c>
      <c r="B517" s="36" t="s">
        <v>7</v>
      </c>
      <c r="C517" s="36" t="s">
        <v>7</v>
      </c>
      <c r="D517" s="36">
        <v>2.8050000000000002</v>
      </c>
      <c r="E517" s="38" t="s">
        <v>13312</v>
      </c>
      <c r="F517" s="36" t="s">
        <v>13311</v>
      </c>
    </row>
    <row r="518" spans="1:6" ht="15.75" thickBot="1" x14ac:dyDescent="0.3">
      <c r="A518" s="31">
        <v>42023</v>
      </c>
      <c r="B518" s="36" t="s">
        <v>7</v>
      </c>
      <c r="C518" s="36" t="s">
        <v>7</v>
      </c>
      <c r="D518" s="36">
        <v>9.4350000000000005</v>
      </c>
      <c r="E518" s="38" t="s">
        <v>13200</v>
      </c>
      <c r="F518" s="36" t="s">
        <v>13199</v>
      </c>
    </row>
    <row r="519" spans="1:6" ht="15.75" thickBot="1" x14ac:dyDescent="0.3">
      <c r="A519" s="35">
        <v>42024</v>
      </c>
      <c r="B519" s="36" t="s">
        <v>7</v>
      </c>
      <c r="C519" s="36" t="s">
        <v>6</v>
      </c>
      <c r="D519" s="36">
        <v>6.25</v>
      </c>
      <c r="E519" s="38" t="s">
        <v>13290</v>
      </c>
      <c r="F519" s="36" t="s">
        <v>13803</v>
      </c>
    </row>
    <row r="520" spans="1:6" ht="15.75" thickBot="1" x14ac:dyDescent="0.3">
      <c r="A520" s="31">
        <v>42024</v>
      </c>
      <c r="B520" s="36" t="s">
        <v>7</v>
      </c>
      <c r="C520" s="36" t="s">
        <v>7</v>
      </c>
      <c r="D520" s="36">
        <v>4</v>
      </c>
      <c r="E520" s="38" t="s">
        <v>13195</v>
      </c>
      <c r="F520" s="36" t="s">
        <v>13194</v>
      </c>
    </row>
    <row r="521" spans="1:6" ht="15.75" thickBot="1" x14ac:dyDescent="0.3">
      <c r="A521" s="31">
        <v>42024</v>
      </c>
      <c r="B521" s="36" t="s">
        <v>7</v>
      </c>
      <c r="C521" s="36" t="s">
        <v>7</v>
      </c>
      <c r="D521" s="36">
        <v>3.8250000000000002</v>
      </c>
      <c r="E521" s="38" t="s">
        <v>13141</v>
      </c>
      <c r="F521" s="36" t="s">
        <v>13400</v>
      </c>
    </row>
    <row r="522" spans="1:6" ht="15.75" thickBot="1" x14ac:dyDescent="0.3">
      <c r="A522" s="31">
        <v>42025</v>
      </c>
      <c r="B522" s="36" t="s">
        <v>7</v>
      </c>
      <c r="C522" s="36" t="s">
        <v>7</v>
      </c>
      <c r="D522" s="36">
        <v>3.06</v>
      </c>
      <c r="E522" s="38" t="s">
        <v>13324</v>
      </c>
      <c r="F522" s="39" t="s">
        <v>13397</v>
      </c>
    </row>
    <row r="523" spans="1:6" ht="15.75" thickBot="1" x14ac:dyDescent="0.3">
      <c r="A523" s="35">
        <v>42025</v>
      </c>
      <c r="B523" s="36" t="s">
        <v>6</v>
      </c>
      <c r="C523" s="36" t="s">
        <v>6</v>
      </c>
      <c r="D523" s="36">
        <v>13.5</v>
      </c>
      <c r="E523" s="38" t="s">
        <v>13375</v>
      </c>
      <c r="F523" s="36" t="s">
        <v>13398</v>
      </c>
    </row>
    <row r="524" spans="1:6" ht="15.75" thickBot="1" x14ac:dyDescent="0.3">
      <c r="A524" s="35">
        <v>42025</v>
      </c>
      <c r="B524" s="36" t="s">
        <v>7</v>
      </c>
      <c r="C524" s="36" t="s">
        <v>6</v>
      </c>
      <c r="D524" s="36">
        <v>11</v>
      </c>
      <c r="E524" s="38" t="s">
        <v>13215</v>
      </c>
      <c r="F524" s="36" t="s">
        <v>13399</v>
      </c>
    </row>
    <row r="525" spans="1:6" ht="15.75" thickBot="1" x14ac:dyDescent="0.3">
      <c r="A525" s="35">
        <v>42025</v>
      </c>
      <c r="B525" s="36" t="s">
        <v>7</v>
      </c>
      <c r="C525" s="36" t="s">
        <v>6</v>
      </c>
      <c r="D525" s="36">
        <v>8</v>
      </c>
      <c r="E525" s="38" t="s">
        <v>13241</v>
      </c>
      <c r="F525" s="36" t="s">
        <v>13557</v>
      </c>
    </row>
    <row r="526" spans="1:6" ht="15.75" thickBot="1" x14ac:dyDescent="0.3">
      <c r="A526" s="35">
        <v>42025</v>
      </c>
      <c r="B526" s="36" t="s">
        <v>7</v>
      </c>
      <c r="C526" s="36" t="s">
        <v>6</v>
      </c>
      <c r="D526" s="36">
        <v>11.5</v>
      </c>
      <c r="E526" s="38" t="s">
        <v>13221</v>
      </c>
      <c r="F526" s="36" t="s">
        <v>13556</v>
      </c>
    </row>
    <row r="527" spans="1:6" ht="15.75" thickBot="1" x14ac:dyDescent="0.3">
      <c r="A527" s="35">
        <v>42025</v>
      </c>
      <c r="B527" s="36" t="s">
        <v>7</v>
      </c>
      <c r="C527" s="36" t="s">
        <v>7</v>
      </c>
      <c r="D527" s="36">
        <v>4</v>
      </c>
      <c r="E527" s="38" t="s">
        <v>13334</v>
      </c>
      <c r="F527" s="36" t="s">
        <v>13804</v>
      </c>
    </row>
    <row r="528" spans="1:6" ht="15.75" thickBot="1" x14ac:dyDescent="0.3">
      <c r="A528" s="35">
        <v>42025</v>
      </c>
      <c r="B528" s="36" t="s">
        <v>7</v>
      </c>
      <c r="C528" s="36" t="s">
        <v>6</v>
      </c>
      <c r="D528" s="36">
        <v>7.5</v>
      </c>
      <c r="E528" s="38" t="s">
        <v>13134</v>
      </c>
      <c r="F528" s="36" t="s">
        <v>13555</v>
      </c>
    </row>
    <row r="529" spans="1:6" ht="15.75" thickBot="1" x14ac:dyDescent="0.3">
      <c r="A529" s="31">
        <v>42025</v>
      </c>
      <c r="B529" s="36" t="s">
        <v>7</v>
      </c>
      <c r="C529" s="36" t="s">
        <v>7</v>
      </c>
      <c r="D529" s="36">
        <v>23.46</v>
      </c>
      <c r="E529" s="38" t="s">
        <v>13172</v>
      </c>
      <c r="F529" s="36" t="s">
        <v>13171</v>
      </c>
    </row>
    <row r="530" spans="1:6" ht="15.75" thickBot="1" x14ac:dyDescent="0.3">
      <c r="A530" s="31">
        <v>42025</v>
      </c>
      <c r="B530" s="36" t="s">
        <v>7</v>
      </c>
      <c r="C530" s="36" t="s">
        <v>7</v>
      </c>
      <c r="D530" s="36">
        <v>12.24</v>
      </c>
      <c r="E530" s="38" t="s">
        <v>13161</v>
      </c>
      <c r="F530" s="36" t="s">
        <v>13160</v>
      </c>
    </row>
    <row r="531" spans="1:6" ht="15.75" thickBot="1" x14ac:dyDescent="0.3">
      <c r="A531" s="31">
        <v>42025</v>
      </c>
      <c r="B531" s="36" t="s">
        <v>7</v>
      </c>
      <c r="C531" s="36" t="s">
        <v>7</v>
      </c>
      <c r="D531" s="36">
        <v>9.18</v>
      </c>
      <c r="E531" s="38" t="s">
        <v>13350</v>
      </c>
      <c r="F531" s="39" t="s">
        <v>13349</v>
      </c>
    </row>
    <row r="532" spans="1:6" ht="15.75" thickBot="1" x14ac:dyDescent="0.3">
      <c r="A532" s="31">
        <v>42025</v>
      </c>
      <c r="B532" s="36" t="s">
        <v>7</v>
      </c>
      <c r="C532" s="36" t="s">
        <v>7</v>
      </c>
      <c r="D532" s="36">
        <v>3.57</v>
      </c>
      <c r="E532" s="38" t="s">
        <v>13255</v>
      </c>
      <c r="F532" s="39" t="s">
        <v>13254</v>
      </c>
    </row>
    <row r="533" spans="1:6" ht="15.75" thickBot="1" x14ac:dyDescent="0.3">
      <c r="A533" s="31">
        <v>42025</v>
      </c>
      <c r="B533" s="36" t="s">
        <v>7</v>
      </c>
      <c r="C533" s="36" t="s">
        <v>7</v>
      </c>
      <c r="D533" s="36">
        <v>3.8250000000000002</v>
      </c>
      <c r="E533" s="38" t="s">
        <v>13292</v>
      </c>
      <c r="F533" s="36" t="s">
        <v>13291</v>
      </c>
    </row>
    <row r="534" spans="1:6" ht="15.75" thickBot="1" x14ac:dyDescent="0.3">
      <c r="A534" s="31">
        <v>42025</v>
      </c>
      <c r="B534" s="36" t="s">
        <v>7</v>
      </c>
      <c r="C534" s="36" t="s">
        <v>7</v>
      </c>
      <c r="D534" s="36">
        <v>4.59</v>
      </c>
      <c r="E534" s="38" t="s">
        <v>13362</v>
      </c>
      <c r="F534" s="36" t="s">
        <v>13361</v>
      </c>
    </row>
    <row r="535" spans="1:6" ht="15.75" thickBot="1" x14ac:dyDescent="0.3">
      <c r="A535" s="31">
        <v>42026</v>
      </c>
      <c r="B535" s="36" t="s">
        <v>7</v>
      </c>
      <c r="C535" s="36" t="s">
        <v>7</v>
      </c>
      <c r="D535" s="36">
        <v>3.57</v>
      </c>
      <c r="E535" s="38" t="s">
        <v>13253</v>
      </c>
      <c r="F535" s="36" t="s">
        <v>13395</v>
      </c>
    </row>
    <row r="536" spans="1:6" ht="15.75" thickBot="1" x14ac:dyDescent="0.3">
      <c r="A536" s="31">
        <v>42026</v>
      </c>
      <c r="B536" s="36" t="s">
        <v>7</v>
      </c>
      <c r="C536" s="36" t="s">
        <v>7</v>
      </c>
      <c r="D536" s="37">
        <v>6.12</v>
      </c>
      <c r="E536" s="38" t="s">
        <v>13152</v>
      </c>
      <c r="F536" s="36" t="s">
        <v>13396</v>
      </c>
    </row>
    <row r="537" spans="1:6" ht="15.75" thickBot="1" x14ac:dyDescent="0.3">
      <c r="A537" s="31">
        <v>42026</v>
      </c>
      <c r="B537" s="36" t="s">
        <v>7</v>
      </c>
      <c r="C537" s="36" t="s">
        <v>7</v>
      </c>
      <c r="D537" s="36">
        <v>11.22</v>
      </c>
      <c r="E537" s="38" t="s">
        <v>13129</v>
      </c>
      <c r="F537" s="36" t="s">
        <v>13391</v>
      </c>
    </row>
    <row r="538" spans="1:6" ht="15.75" thickBot="1" x14ac:dyDescent="0.3">
      <c r="A538" s="31">
        <v>42026</v>
      </c>
      <c r="B538" s="36" t="s">
        <v>7</v>
      </c>
      <c r="C538" s="36" t="s">
        <v>7</v>
      </c>
      <c r="D538" s="36">
        <v>3.3149999999999999</v>
      </c>
      <c r="E538" s="38" t="s">
        <v>13189</v>
      </c>
      <c r="F538" s="36" t="s">
        <v>13392</v>
      </c>
    </row>
    <row r="539" spans="1:6" ht="15.75" thickBot="1" x14ac:dyDescent="0.3">
      <c r="A539" s="31">
        <v>42026</v>
      </c>
      <c r="B539" s="36" t="s">
        <v>7</v>
      </c>
      <c r="C539" s="36" t="s">
        <v>7</v>
      </c>
      <c r="D539" s="36">
        <v>2.6</v>
      </c>
      <c r="E539" s="38" t="s">
        <v>13297</v>
      </c>
      <c r="F539" s="36" t="s">
        <v>13388</v>
      </c>
    </row>
    <row r="540" spans="1:6" ht="15.75" thickBot="1" x14ac:dyDescent="0.3">
      <c r="A540" s="31">
        <v>42026</v>
      </c>
      <c r="B540" s="36" t="s">
        <v>7</v>
      </c>
      <c r="C540" s="36" t="s">
        <v>7</v>
      </c>
      <c r="D540" s="36">
        <v>2.5</v>
      </c>
      <c r="E540" s="38" t="s">
        <v>13373</v>
      </c>
      <c r="F540" s="36" t="s">
        <v>13389</v>
      </c>
    </row>
    <row r="541" spans="1:6" ht="15.75" thickBot="1" x14ac:dyDescent="0.3">
      <c r="A541" s="31">
        <v>42026</v>
      </c>
      <c r="B541" s="36" t="s">
        <v>6</v>
      </c>
      <c r="C541" s="36" t="s">
        <v>7</v>
      </c>
      <c r="D541" s="36">
        <v>6.375</v>
      </c>
      <c r="E541" s="38" t="s">
        <v>13178</v>
      </c>
      <c r="F541" s="36" t="s">
        <v>13390</v>
      </c>
    </row>
    <row r="542" spans="1:6" ht="15.75" thickBot="1" x14ac:dyDescent="0.3">
      <c r="A542" s="35">
        <v>42026</v>
      </c>
      <c r="B542" s="36" t="s">
        <v>7</v>
      </c>
      <c r="C542" s="36" t="s">
        <v>7</v>
      </c>
      <c r="D542" s="36">
        <v>7.3949999999999996</v>
      </c>
      <c r="E542" s="38" t="s">
        <v>13267</v>
      </c>
      <c r="F542" s="36" t="s">
        <v>13393</v>
      </c>
    </row>
    <row r="543" spans="1:6" ht="15.75" thickBot="1" x14ac:dyDescent="0.3">
      <c r="A543" s="35">
        <v>42026</v>
      </c>
      <c r="B543" s="36" t="s">
        <v>7</v>
      </c>
      <c r="C543" s="36" t="s">
        <v>7</v>
      </c>
      <c r="D543" s="36">
        <v>7.9050000000000002</v>
      </c>
      <c r="E543" s="38" t="s">
        <v>13261</v>
      </c>
      <c r="F543" s="36" t="s">
        <v>13394</v>
      </c>
    </row>
    <row r="544" spans="1:6" ht="15.75" thickBot="1" x14ac:dyDescent="0.3">
      <c r="A544" s="35">
        <v>42026</v>
      </c>
      <c r="B544" s="36" t="s">
        <v>7</v>
      </c>
      <c r="C544" s="36" t="s">
        <v>7</v>
      </c>
      <c r="D544" s="36">
        <v>8.5</v>
      </c>
      <c r="E544" s="38" t="s">
        <v>13170</v>
      </c>
      <c r="F544" s="36" t="s">
        <v>13546</v>
      </c>
    </row>
    <row r="545" spans="1:6" ht="15.75" thickBot="1" x14ac:dyDescent="0.3">
      <c r="A545" s="35">
        <v>42026</v>
      </c>
      <c r="B545" s="36" t="s">
        <v>7</v>
      </c>
      <c r="C545" s="36" t="s">
        <v>7</v>
      </c>
      <c r="D545" s="36">
        <v>14.25</v>
      </c>
      <c r="E545" s="38" t="s">
        <v>13295</v>
      </c>
      <c r="F545" s="36" t="s">
        <v>13549</v>
      </c>
    </row>
    <row r="546" spans="1:6" ht="15.75" thickBot="1" x14ac:dyDescent="0.3">
      <c r="A546" s="35">
        <v>42026</v>
      </c>
      <c r="B546" s="36" t="s">
        <v>7</v>
      </c>
      <c r="C546" s="36" t="s">
        <v>7</v>
      </c>
      <c r="D546" s="36">
        <v>10.97</v>
      </c>
      <c r="E546" s="38" t="s">
        <v>13259</v>
      </c>
      <c r="F546" s="36" t="s">
        <v>13548</v>
      </c>
    </row>
    <row r="547" spans="1:6" ht="15.75" thickBot="1" x14ac:dyDescent="0.3">
      <c r="A547" s="35">
        <v>42026</v>
      </c>
      <c r="B547" s="36" t="s">
        <v>7</v>
      </c>
      <c r="C547" s="36" t="s">
        <v>7</v>
      </c>
      <c r="D547" s="36">
        <v>3.32</v>
      </c>
      <c r="E547" s="38" t="s">
        <v>13304</v>
      </c>
      <c r="F547" s="36" t="s">
        <v>13551</v>
      </c>
    </row>
    <row r="548" spans="1:6" ht="15.75" thickBot="1" x14ac:dyDescent="0.3">
      <c r="A548" s="35">
        <v>42026</v>
      </c>
      <c r="B548" s="36" t="s">
        <v>7</v>
      </c>
      <c r="C548" s="36" t="s">
        <v>7</v>
      </c>
      <c r="D548" s="36">
        <v>3.83</v>
      </c>
      <c r="E548" s="38" t="s">
        <v>13305</v>
      </c>
      <c r="F548" s="36" t="s">
        <v>13551</v>
      </c>
    </row>
    <row r="549" spans="1:6" ht="15.75" thickBot="1" x14ac:dyDescent="0.3">
      <c r="A549" s="31">
        <v>42026</v>
      </c>
      <c r="B549" s="36" t="s">
        <v>7</v>
      </c>
      <c r="C549" s="36" t="s">
        <v>7</v>
      </c>
      <c r="D549" s="36">
        <v>2.5499999999999998</v>
      </c>
      <c r="E549" s="38" t="s">
        <v>13340</v>
      </c>
      <c r="F549" s="36" t="s">
        <v>13553</v>
      </c>
    </row>
    <row r="550" spans="1:6" ht="15.75" thickBot="1" x14ac:dyDescent="0.3">
      <c r="A550" s="31">
        <v>42026</v>
      </c>
      <c r="B550" s="36" t="s">
        <v>7</v>
      </c>
      <c r="C550" s="36" t="s">
        <v>7</v>
      </c>
      <c r="D550" s="36">
        <v>7.28</v>
      </c>
      <c r="E550" s="38" t="s">
        <v>13331</v>
      </c>
      <c r="F550" s="36" t="s">
        <v>13330</v>
      </c>
    </row>
    <row r="551" spans="1:6" ht="15.75" thickBot="1" x14ac:dyDescent="0.3">
      <c r="A551" s="31">
        <v>42026</v>
      </c>
      <c r="B551" s="36" t="s">
        <v>7</v>
      </c>
      <c r="C551" s="36" t="s">
        <v>7</v>
      </c>
      <c r="D551" s="36">
        <v>7.3949999999999996</v>
      </c>
      <c r="E551" s="38" t="s">
        <v>13267</v>
      </c>
      <c r="F551" s="36" t="s">
        <v>13266</v>
      </c>
    </row>
    <row r="552" spans="1:6" ht="15.75" thickBot="1" x14ac:dyDescent="0.3">
      <c r="A552" s="31">
        <v>42026</v>
      </c>
      <c r="B552" s="36" t="s">
        <v>7</v>
      </c>
      <c r="C552" s="36" t="s">
        <v>7</v>
      </c>
      <c r="D552" s="36">
        <v>4.59</v>
      </c>
      <c r="E552" s="38" t="s">
        <v>13354</v>
      </c>
      <c r="F552" s="36" t="s">
        <v>13353</v>
      </c>
    </row>
    <row r="553" spans="1:6" ht="15.75" thickBot="1" x14ac:dyDescent="0.3">
      <c r="A553" s="31">
        <v>42027</v>
      </c>
      <c r="B553" s="36" t="s">
        <v>7</v>
      </c>
      <c r="C553" s="36" t="s">
        <v>7</v>
      </c>
      <c r="D553" s="36">
        <v>3.3149999999999999</v>
      </c>
      <c r="E553" s="38" t="s">
        <v>13280</v>
      </c>
      <c r="F553" s="36" t="s">
        <v>13386</v>
      </c>
    </row>
    <row r="554" spans="1:6" ht="15.75" thickBot="1" x14ac:dyDescent="0.3">
      <c r="A554" s="31">
        <v>42027</v>
      </c>
      <c r="B554" s="36" t="s">
        <v>6</v>
      </c>
      <c r="C554" s="36" t="s">
        <v>7</v>
      </c>
      <c r="D554" s="36">
        <v>5.72</v>
      </c>
      <c r="E554" s="38" t="s">
        <v>13209</v>
      </c>
      <c r="F554" s="36" t="s">
        <v>13382</v>
      </c>
    </row>
    <row r="555" spans="1:6" ht="15.75" thickBot="1" x14ac:dyDescent="0.3">
      <c r="A555" s="35">
        <v>42027</v>
      </c>
      <c r="B555" s="36" t="s">
        <v>6</v>
      </c>
      <c r="C555" s="36" t="s">
        <v>7</v>
      </c>
      <c r="D555" s="37">
        <v>17.420000000000002</v>
      </c>
      <c r="E555" s="38" t="s">
        <v>13202</v>
      </c>
      <c r="F555" s="36" t="s">
        <v>13383</v>
      </c>
    </row>
    <row r="556" spans="1:6" ht="15.75" thickBot="1" x14ac:dyDescent="0.3">
      <c r="A556" s="35">
        <v>42027</v>
      </c>
      <c r="B556" s="36" t="s">
        <v>6</v>
      </c>
      <c r="C556" s="36" t="s">
        <v>7</v>
      </c>
      <c r="D556" s="37">
        <v>4.42</v>
      </c>
      <c r="E556" s="38" t="s">
        <v>13263</v>
      </c>
      <c r="F556" s="36" t="s">
        <v>13384</v>
      </c>
    </row>
    <row r="557" spans="1:6" ht="15.75" thickBot="1" x14ac:dyDescent="0.3">
      <c r="A557" s="35">
        <v>42027</v>
      </c>
      <c r="B557" s="36" t="s">
        <v>7</v>
      </c>
      <c r="C557" s="36" t="s">
        <v>6</v>
      </c>
      <c r="D557" s="37">
        <v>6.25</v>
      </c>
      <c r="E557" s="38" t="s">
        <v>13185</v>
      </c>
      <c r="F557" s="36" t="s">
        <v>13385</v>
      </c>
    </row>
    <row r="558" spans="1:6" ht="15.75" thickBot="1" x14ac:dyDescent="0.3">
      <c r="A558" s="35">
        <v>42027</v>
      </c>
      <c r="B558" s="36" t="s">
        <v>7</v>
      </c>
      <c r="C558" s="36" t="s">
        <v>7</v>
      </c>
      <c r="D558" s="36">
        <v>3</v>
      </c>
      <c r="E558" s="38" t="s">
        <v>13271</v>
      </c>
      <c r="F558" s="36" t="s">
        <v>13387</v>
      </c>
    </row>
    <row r="559" spans="1:6" ht="15.75" thickBot="1" x14ac:dyDescent="0.3">
      <c r="A559" s="35">
        <v>42027</v>
      </c>
      <c r="B559" s="36" t="s">
        <v>7</v>
      </c>
      <c r="C559" s="36" t="s">
        <v>7</v>
      </c>
      <c r="D559" s="36">
        <v>6.25</v>
      </c>
      <c r="E559" s="38" t="s">
        <v>13356</v>
      </c>
      <c r="F559" s="36" t="s">
        <v>13379</v>
      </c>
    </row>
    <row r="560" spans="1:6" ht="15.75" thickBot="1" x14ac:dyDescent="0.3">
      <c r="A560" s="35">
        <v>42027</v>
      </c>
      <c r="B560" s="36" t="s">
        <v>7</v>
      </c>
      <c r="C560" s="36" t="s">
        <v>7</v>
      </c>
      <c r="D560" s="36">
        <v>3</v>
      </c>
      <c r="E560" s="38" t="s">
        <v>13248</v>
      </c>
      <c r="F560" s="36" t="s">
        <v>13544</v>
      </c>
    </row>
    <row r="561" spans="1:6" ht="15.75" thickBot="1" x14ac:dyDescent="0.3">
      <c r="A561" s="35">
        <v>42027</v>
      </c>
      <c r="B561" s="36" t="s">
        <v>6</v>
      </c>
      <c r="C561" s="36" t="s">
        <v>7</v>
      </c>
      <c r="D561" s="36">
        <v>6.25</v>
      </c>
      <c r="E561" s="38" t="s">
        <v>13230</v>
      </c>
      <c r="F561" s="36" t="s">
        <v>13543</v>
      </c>
    </row>
    <row r="562" spans="1:6" ht="15.75" thickBot="1" x14ac:dyDescent="0.3">
      <c r="A562" s="31">
        <v>42027</v>
      </c>
      <c r="B562" s="36" t="s">
        <v>7</v>
      </c>
      <c r="C562" s="36" t="s">
        <v>7</v>
      </c>
      <c r="D562" s="36">
        <v>10.455</v>
      </c>
      <c r="E562" s="38" t="s">
        <v>13352</v>
      </c>
      <c r="F562" s="36" t="s">
        <v>13351</v>
      </c>
    </row>
    <row r="563" spans="1:6" ht="15.75" thickBot="1" x14ac:dyDescent="0.3">
      <c r="A563" s="31">
        <v>42028</v>
      </c>
      <c r="B563" s="36" t="s">
        <v>7</v>
      </c>
      <c r="C563" s="36" t="s">
        <v>7</v>
      </c>
      <c r="D563" s="36">
        <v>7</v>
      </c>
      <c r="E563" s="38" t="s">
        <v>13223</v>
      </c>
      <c r="F563" s="36" t="s">
        <v>13530</v>
      </c>
    </row>
    <row r="564" spans="1:6" ht="15.75" thickBot="1" x14ac:dyDescent="0.3">
      <c r="A564" s="31">
        <v>42028</v>
      </c>
      <c r="B564" s="36" t="s">
        <v>7</v>
      </c>
      <c r="C564" s="36" t="s">
        <v>7</v>
      </c>
      <c r="D564" s="36">
        <v>7</v>
      </c>
      <c r="E564" s="38" t="s">
        <v>13314</v>
      </c>
      <c r="F564" s="36" t="s">
        <v>13540</v>
      </c>
    </row>
    <row r="565" spans="1:6" ht="15.75" thickBot="1" x14ac:dyDescent="0.3">
      <c r="A565" s="31">
        <v>42028</v>
      </c>
      <c r="B565" s="36" t="s">
        <v>7</v>
      </c>
      <c r="C565" s="36" t="s">
        <v>7</v>
      </c>
      <c r="D565" s="36">
        <v>7.65</v>
      </c>
      <c r="E565" s="38" t="s">
        <v>13193</v>
      </c>
      <c r="F565" s="36" t="s">
        <v>13380</v>
      </c>
    </row>
    <row r="566" spans="1:6" ht="15.75" thickBot="1" x14ac:dyDescent="0.3">
      <c r="A566" s="31">
        <v>42028</v>
      </c>
      <c r="B566" s="36" t="s">
        <v>7</v>
      </c>
      <c r="C566" s="36" t="s">
        <v>7</v>
      </c>
      <c r="D566" s="37">
        <v>4.335</v>
      </c>
      <c r="E566" s="38" t="s">
        <v>13159</v>
      </c>
      <c r="F566" s="36" t="s">
        <v>13381</v>
      </c>
    </row>
    <row r="567" spans="1:6" ht="15.75" thickBot="1" x14ac:dyDescent="0.3">
      <c r="A567" s="35">
        <v>42028</v>
      </c>
      <c r="B567" s="36" t="s">
        <v>7</v>
      </c>
      <c r="C567" s="36" t="s">
        <v>7</v>
      </c>
      <c r="D567" s="37">
        <v>8.58</v>
      </c>
      <c r="E567" s="38" t="s">
        <v>13283</v>
      </c>
      <c r="F567" s="36" t="s">
        <v>13537</v>
      </c>
    </row>
    <row r="568" spans="1:6" ht="15.75" thickBot="1" x14ac:dyDescent="0.3">
      <c r="A568" s="35">
        <v>42028</v>
      </c>
      <c r="B568" s="36" t="s">
        <v>7</v>
      </c>
      <c r="C568" s="36" t="s">
        <v>7</v>
      </c>
      <c r="D568" s="37">
        <v>4.9400000000000004</v>
      </c>
      <c r="E568" s="38" t="s">
        <v>13145</v>
      </c>
      <c r="F568" s="36" t="s">
        <v>13521</v>
      </c>
    </row>
    <row r="569" spans="1:6" ht="15.75" thickBot="1" x14ac:dyDescent="0.3">
      <c r="A569" s="35">
        <v>42028</v>
      </c>
      <c r="B569" s="36" t="s">
        <v>7</v>
      </c>
      <c r="C569" s="36" t="s">
        <v>7</v>
      </c>
      <c r="D569" s="37">
        <v>4.5</v>
      </c>
      <c r="E569" s="38" t="s">
        <v>13236</v>
      </c>
      <c r="F569" s="36" t="s">
        <v>13805</v>
      </c>
    </row>
    <row r="570" spans="1:6" ht="15.75" thickBot="1" x14ac:dyDescent="0.3">
      <c r="A570" s="35">
        <v>42028</v>
      </c>
      <c r="B570" s="36" t="s">
        <v>7</v>
      </c>
      <c r="C570" s="36" t="s">
        <v>7</v>
      </c>
      <c r="D570" s="37">
        <v>4.9400000000000004</v>
      </c>
      <c r="E570" s="38" t="s">
        <v>13181</v>
      </c>
      <c r="F570" s="36" t="s">
        <v>13525</v>
      </c>
    </row>
    <row r="571" spans="1:6" ht="15.75" thickBot="1" x14ac:dyDescent="0.3">
      <c r="A571" s="35">
        <v>42028</v>
      </c>
      <c r="B571" s="36" t="s">
        <v>7</v>
      </c>
      <c r="C571" s="36" t="s">
        <v>7</v>
      </c>
      <c r="D571" s="36">
        <v>6.25</v>
      </c>
      <c r="E571" s="38" t="s">
        <v>13197</v>
      </c>
      <c r="F571" s="36" t="s">
        <v>13377</v>
      </c>
    </row>
    <row r="572" spans="1:6" ht="15.75" thickBot="1" x14ac:dyDescent="0.3">
      <c r="A572" s="35">
        <v>42028</v>
      </c>
      <c r="B572" s="36" t="s">
        <v>7</v>
      </c>
      <c r="C572" s="36" t="s">
        <v>7</v>
      </c>
      <c r="D572" s="36">
        <v>10</v>
      </c>
      <c r="E572" s="38" t="s">
        <v>13659</v>
      </c>
      <c r="F572" s="36" t="s">
        <v>13806</v>
      </c>
    </row>
    <row r="573" spans="1:6" ht="15.75" thickBot="1" x14ac:dyDescent="0.3">
      <c r="A573" s="35">
        <v>42028</v>
      </c>
      <c r="B573" s="36" t="s">
        <v>7</v>
      </c>
      <c r="C573" s="36" t="s">
        <v>7</v>
      </c>
      <c r="D573" s="36">
        <v>6.75</v>
      </c>
      <c r="E573" s="38" t="s">
        <v>13164</v>
      </c>
      <c r="F573" s="36" t="s">
        <v>13378</v>
      </c>
    </row>
    <row r="574" spans="1:6" ht="15.75" thickBot="1" x14ac:dyDescent="0.3">
      <c r="A574" s="35">
        <v>42028</v>
      </c>
      <c r="B574" s="36" t="s">
        <v>7</v>
      </c>
      <c r="C574" s="36" t="s">
        <v>7</v>
      </c>
      <c r="D574" s="36">
        <v>2.75</v>
      </c>
      <c r="E574" s="38" t="s">
        <v>13131</v>
      </c>
      <c r="F574" s="36" t="s">
        <v>13130</v>
      </c>
    </row>
    <row r="575" spans="1:6" ht="15.75" thickBot="1" x14ac:dyDescent="0.3">
      <c r="A575" s="35">
        <v>42028</v>
      </c>
      <c r="B575" s="36" t="s">
        <v>7</v>
      </c>
      <c r="C575" s="36" t="s">
        <v>7</v>
      </c>
      <c r="D575" s="36">
        <v>10.5</v>
      </c>
      <c r="E575" s="38" t="s">
        <v>13187</v>
      </c>
      <c r="F575" s="36" t="s">
        <v>13186</v>
      </c>
    </row>
    <row r="576" spans="1:6" ht="15.75" thickBot="1" x14ac:dyDescent="0.3">
      <c r="A576" s="35">
        <v>42028</v>
      </c>
      <c r="B576" s="36" t="s">
        <v>7</v>
      </c>
      <c r="C576" s="36" t="s">
        <v>7</v>
      </c>
      <c r="D576" s="36">
        <v>6.5</v>
      </c>
      <c r="E576" s="38" t="s">
        <v>13257</v>
      </c>
      <c r="F576" s="36" t="s">
        <v>13256</v>
      </c>
    </row>
    <row r="577" spans="1:6" ht="15.75" thickBot="1" x14ac:dyDescent="0.3">
      <c r="A577" s="35">
        <v>42028</v>
      </c>
      <c r="B577" s="36" t="s">
        <v>7</v>
      </c>
      <c r="C577" s="36" t="s">
        <v>7</v>
      </c>
      <c r="D577" s="36">
        <v>11.25</v>
      </c>
      <c r="E577" s="38" t="s">
        <v>13211</v>
      </c>
      <c r="F577" s="36" t="s">
        <v>13210</v>
      </c>
    </row>
    <row r="578" spans="1:6" ht="15.75" thickBot="1" x14ac:dyDescent="0.3">
      <c r="A578" s="35">
        <v>42028</v>
      </c>
      <c r="B578" s="36" t="s">
        <v>7</v>
      </c>
      <c r="C578" s="36" t="s">
        <v>7</v>
      </c>
      <c r="D578" s="36">
        <v>5.25</v>
      </c>
      <c r="E578" s="38" t="s">
        <v>13168</v>
      </c>
      <c r="F578" s="36" t="s">
        <v>13167</v>
      </c>
    </row>
    <row r="579" spans="1:6" ht="15.75" thickBot="1" x14ac:dyDescent="0.3">
      <c r="A579" s="35">
        <v>42028</v>
      </c>
      <c r="B579" s="36" t="s">
        <v>7</v>
      </c>
      <c r="C579" s="36" t="s">
        <v>7</v>
      </c>
      <c r="D579" s="36">
        <v>9</v>
      </c>
      <c r="E579" s="38" t="s">
        <v>13176</v>
      </c>
      <c r="F579" s="36" t="s">
        <v>13175</v>
      </c>
    </row>
    <row r="580" spans="1:6" ht="15.75" thickBot="1" x14ac:dyDescent="0.3">
      <c r="A580" s="31">
        <v>42028</v>
      </c>
      <c r="B580" s="36" t="s">
        <v>6</v>
      </c>
      <c r="C580" s="36" t="s">
        <v>7</v>
      </c>
      <c r="D580" s="36">
        <v>8.06</v>
      </c>
      <c r="E580" s="38" t="s">
        <v>13269</v>
      </c>
      <c r="F580" s="36" t="s">
        <v>13268</v>
      </c>
    </row>
    <row r="581" spans="1:6" ht="15.75" thickBot="1" x14ac:dyDescent="0.3">
      <c r="A581" s="31">
        <v>42028</v>
      </c>
      <c r="B581" s="36" t="s">
        <v>7</v>
      </c>
      <c r="C581" s="36" t="s">
        <v>7</v>
      </c>
      <c r="D581" s="36">
        <v>8.32</v>
      </c>
      <c r="E581" s="38" t="s">
        <v>13183</v>
      </c>
      <c r="F581" s="36" t="s">
        <v>13182</v>
      </c>
    </row>
    <row r="582" spans="1:6" ht="15.75" thickBot="1" x14ac:dyDescent="0.3">
      <c r="A582" s="31">
        <v>42028</v>
      </c>
      <c r="B582" s="36" t="s">
        <v>7</v>
      </c>
      <c r="C582" s="36" t="s">
        <v>7</v>
      </c>
      <c r="D582" s="36">
        <v>4.9400000000000004</v>
      </c>
      <c r="E582" s="38" t="s">
        <v>13234</v>
      </c>
      <c r="F582" s="36" t="s">
        <v>13233</v>
      </c>
    </row>
    <row r="583" spans="1:6" ht="15.75" thickBot="1" x14ac:dyDescent="0.3">
      <c r="A583" s="31">
        <v>42028</v>
      </c>
      <c r="B583" s="36" t="s">
        <v>7</v>
      </c>
      <c r="C583" s="36" t="s">
        <v>7</v>
      </c>
      <c r="D583" s="36">
        <v>8.58</v>
      </c>
      <c r="E583" s="38" t="s">
        <v>13299</v>
      </c>
      <c r="F583" s="36" t="s">
        <v>13298</v>
      </c>
    </row>
    <row r="584" spans="1:6" ht="15.75" thickBot="1" x14ac:dyDescent="0.3">
      <c r="A584" s="31">
        <v>42028</v>
      </c>
      <c r="B584" s="36" t="s">
        <v>7</v>
      </c>
      <c r="C584" s="36" t="s">
        <v>7</v>
      </c>
      <c r="D584" s="36">
        <v>11.96</v>
      </c>
      <c r="E584" s="38" t="s">
        <v>13346</v>
      </c>
      <c r="F584" s="36" t="s">
        <v>13345</v>
      </c>
    </row>
    <row r="585" spans="1:6" ht="15.75" thickBot="1" x14ac:dyDescent="0.3">
      <c r="A585" s="31">
        <v>42028</v>
      </c>
      <c r="B585" s="36" t="s">
        <v>7</v>
      </c>
      <c r="C585" s="36" t="s">
        <v>7</v>
      </c>
      <c r="D585" s="36">
        <v>5.0999999999999996</v>
      </c>
      <c r="E585" s="38" t="s">
        <v>13150</v>
      </c>
      <c r="F585" s="36" t="s">
        <v>13149</v>
      </c>
    </row>
    <row r="586" spans="1:6" ht="15.75" thickBot="1" x14ac:dyDescent="0.3">
      <c r="A586" s="31">
        <v>42028</v>
      </c>
      <c r="B586" s="36" t="s">
        <v>7</v>
      </c>
      <c r="C586" s="36" t="s">
        <v>7</v>
      </c>
      <c r="D586" s="36">
        <v>8.16</v>
      </c>
      <c r="E586" s="38" t="s">
        <v>13139</v>
      </c>
      <c r="F586" s="36" t="s">
        <v>13138</v>
      </c>
    </row>
    <row r="587" spans="1:6" ht="15.75" thickBot="1" x14ac:dyDescent="0.3">
      <c r="A587" s="31">
        <v>42028</v>
      </c>
      <c r="B587" s="36" t="s">
        <v>7</v>
      </c>
      <c r="C587" s="36" t="s">
        <v>7</v>
      </c>
      <c r="D587" s="36">
        <v>3.57</v>
      </c>
      <c r="E587" s="38" t="s">
        <v>13213</v>
      </c>
      <c r="F587" s="36" t="s">
        <v>13212</v>
      </c>
    </row>
    <row r="588" spans="1:6" ht="15.75" thickBot="1" x14ac:dyDescent="0.3">
      <c r="A588" s="31">
        <v>42028</v>
      </c>
      <c r="B588" s="36" t="s">
        <v>7</v>
      </c>
      <c r="C588" s="36" t="s">
        <v>7</v>
      </c>
      <c r="D588" s="36">
        <v>8.9250000000000007</v>
      </c>
      <c r="E588" s="38" t="s">
        <v>13227</v>
      </c>
      <c r="F588" s="36" t="s">
        <v>13226</v>
      </c>
    </row>
    <row r="589" spans="1:6" ht="15.75" thickBot="1" x14ac:dyDescent="0.3">
      <c r="A589" s="31">
        <v>42028</v>
      </c>
      <c r="B589" s="36" t="s">
        <v>7</v>
      </c>
      <c r="C589" s="36" t="s">
        <v>7</v>
      </c>
      <c r="D589" s="36">
        <v>9.4350000000000005</v>
      </c>
      <c r="E589" s="38" t="s">
        <v>13278</v>
      </c>
      <c r="F589" s="36" t="s">
        <v>13277</v>
      </c>
    </row>
    <row r="590" spans="1:6" ht="15.75" thickBot="1" x14ac:dyDescent="0.3">
      <c r="A590" s="31">
        <v>42029</v>
      </c>
      <c r="B590" s="36" t="s">
        <v>7</v>
      </c>
      <c r="C590" s="36" t="s">
        <v>7</v>
      </c>
      <c r="D590" s="36">
        <v>8.93</v>
      </c>
      <c r="E590" s="38" t="s">
        <v>13309</v>
      </c>
      <c r="F590" s="36" t="s">
        <v>13376</v>
      </c>
    </row>
    <row r="591" spans="1:6" ht="15.75" thickBot="1" x14ac:dyDescent="0.3">
      <c r="A591" s="31">
        <v>42029</v>
      </c>
      <c r="B591" s="36" t="s">
        <v>6</v>
      </c>
      <c r="C591" s="36" t="s">
        <v>7</v>
      </c>
      <c r="D591" s="36">
        <v>2.8050000000000002</v>
      </c>
      <c r="E591" s="38" t="s">
        <v>13348</v>
      </c>
      <c r="F591" s="36" t="s">
        <v>13347</v>
      </c>
    </row>
    <row r="592" spans="1:6" ht="15.75" thickBot="1" x14ac:dyDescent="0.3">
      <c r="A592" s="31">
        <v>42029</v>
      </c>
      <c r="B592" s="36" t="s">
        <v>7</v>
      </c>
      <c r="C592" s="36" t="s">
        <v>7</v>
      </c>
      <c r="D592" s="36">
        <v>4.08</v>
      </c>
      <c r="E592" s="38" t="s">
        <v>13365</v>
      </c>
      <c r="F592" s="36" t="s">
        <v>13364</v>
      </c>
    </row>
    <row r="593" spans="1:6" ht="15.75" thickBot="1" x14ac:dyDescent="0.3">
      <c r="A593" s="31">
        <v>42030</v>
      </c>
      <c r="B593" s="36" t="s">
        <v>7</v>
      </c>
      <c r="C593" s="36" t="s">
        <v>7</v>
      </c>
      <c r="D593" s="36">
        <v>6.12</v>
      </c>
      <c r="E593" s="38" t="s">
        <v>13682</v>
      </c>
      <c r="F593" s="36" t="s">
        <v>13807</v>
      </c>
    </row>
    <row r="594" spans="1:6" ht="15.75" thickBot="1" x14ac:dyDescent="0.3">
      <c r="A594" s="35">
        <v>42030</v>
      </c>
      <c r="B594" s="36" t="s">
        <v>7</v>
      </c>
      <c r="C594" s="36" t="s">
        <v>7</v>
      </c>
      <c r="D594" s="37">
        <v>7.54</v>
      </c>
      <c r="E594" s="38" t="s">
        <v>13730</v>
      </c>
      <c r="F594" s="36" t="s">
        <v>13808</v>
      </c>
    </row>
    <row r="595" spans="1:6" ht="15.75" thickBot="1" x14ac:dyDescent="0.3">
      <c r="A595" s="35">
        <v>42030</v>
      </c>
      <c r="B595" s="36" t="s">
        <v>7</v>
      </c>
      <c r="C595" s="36" t="s">
        <v>7</v>
      </c>
      <c r="D595" s="37">
        <v>15.6</v>
      </c>
      <c r="E595" s="38" t="s">
        <v>13691</v>
      </c>
      <c r="F595" s="36" t="s">
        <v>13809</v>
      </c>
    </row>
    <row r="596" spans="1:6" ht="15.75" thickBot="1" x14ac:dyDescent="0.3">
      <c r="A596" s="35">
        <v>42030</v>
      </c>
      <c r="B596" s="36" t="s">
        <v>7</v>
      </c>
      <c r="C596" s="36" t="s">
        <v>7</v>
      </c>
      <c r="D596" s="36">
        <v>8.25</v>
      </c>
      <c r="E596" s="38" t="s">
        <v>13769</v>
      </c>
      <c r="F596" s="36" t="s">
        <v>13810</v>
      </c>
    </row>
    <row r="597" spans="1:6" ht="15.75" thickBot="1" x14ac:dyDescent="0.3">
      <c r="A597" s="35">
        <v>42030</v>
      </c>
      <c r="B597" s="36" t="s">
        <v>7</v>
      </c>
      <c r="C597" s="36" t="s">
        <v>7</v>
      </c>
      <c r="D597" s="36">
        <v>4.75</v>
      </c>
      <c r="E597" s="38" t="s">
        <v>13766</v>
      </c>
      <c r="F597" s="36" t="s">
        <v>13811</v>
      </c>
    </row>
    <row r="598" spans="1:6" ht="15.75" thickBot="1" x14ac:dyDescent="0.3">
      <c r="A598" s="35">
        <v>42030</v>
      </c>
      <c r="B598" s="36" t="s">
        <v>7</v>
      </c>
      <c r="C598" s="36" t="s">
        <v>6</v>
      </c>
      <c r="D598" s="36">
        <v>6.5</v>
      </c>
      <c r="E598" s="38" t="s">
        <v>13722</v>
      </c>
      <c r="F598" s="36" t="s">
        <v>12844</v>
      </c>
    </row>
    <row r="599" spans="1:6" ht="15.75" thickBot="1" x14ac:dyDescent="0.3">
      <c r="A599" s="35">
        <v>42030</v>
      </c>
      <c r="B599" s="36" t="s">
        <v>7</v>
      </c>
      <c r="C599" s="36" t="s">
        <v>7</v>
      </c>
      <c r="D599" s="36">
        <v>7</v>
      </c>
      <c r="E599" s="38" t="s">
        <v>13665</v>
      </c>
      <c r="F599" s="36" t="s">
        <v>13812</v>
      </c>
    </row>
    <row r="600" spans="1:6" ht="15.75" thickBot="1" x14ac:dyDescent="0.3">
      <c r="A600" s="35">
        <v>42030</v>
      </c>
      <c r="B600" s="36" t="s">
        <v>7</v>
      </c>
      <c r="C600" s="36" t="s">
        <v>7</v>
      </c>
      <c r="D600" s="36">
        <v>5.25</v>
      </c>
      <c r="E600" s="38" t="s">
        <v>13789</v>
      </c>
      <c r="F600" s="36" t="s">
        <v>13813</v>
      </c>
    </row>
    <row r="601" spans="1:6" ht="15.75" thickBot="1" x14ac:dyDescent="0.3">
      <c r="A601" s="35">
        <v>42030</v>
      </c>
      <c r="B601" s="36" t="s">
        <v>7</v>
      </c>
      <c r="C601" s="36" t="s">
        <v>6</v>
      </c>
      <c r="D601" s="36">
        <v>6.5</v>
      </c>
      <c r="E601" s="38" t="s">
        <v>13722</v>
      </c>
      <c r="F601" s="36" t="s">
        <v>12844</v>
      </c>
    </row>
    <row r="602" spans="1:6" ht="15.75" thickBot="1" x14ac:dyDescent="0.3">
      <c r="A602" s="31">
        <v>42030</v>
      </c>
      <c r="B602" s="36" t="s">
        <v>7</v>
      </c>
      <c r="C602" s="36" t="s">
        <v>7</v>
      </c>
      <c r="D602" s="36">
        <v>3.06</v>
      </c>
      <c r="E602" s="38" t="s">
        <v>13671</v>
      </c>
      <c r="F602" s="36" t="s">
        <v>13814</v>
      </c>
    </row>
    <row r="603" spans="1:6" ht="15.75" thickBot="1" x14ac:dyDescent="0.3">
      <c r="A603" s="31">
        <v>42030</v>
      </c>
      <c r="B603" s="36" t="s">
        <v>7</v>
      </c>
      <c r="C603" s="36" t="s">
        <v>7</v>
      </c>
      <c r="D603" s="36">
        <v>6.12</v>
      </c>
      <c r="E603" s="38" t="s">
        <v>13682</v>
      </c>
      <c r="F603" s="36" t="s">
        <v>13681</v>
      </c>
    </row>
    <row r="604" spans="1:6" ht="15.75" thickBot="1" x14ac:dyDescent="0.3">
      <c r="A604" s="35">
        <v>42031</v>
      </c>
      <c r="B604" s="36" t="s">
        <v>6</v>
      </c>
      <c r="C604" s="36" t="s">
        <v>7</v>
      </c>
      <c r="D604" s="37">
        <v>7.54</v>
      </c>
      <c r="E604" s="38" t="s">
        <v>13641</v>
      </c>
      <c r="F604" s="36" t="s">
        <v>13815</v>
      </c>
    </row>
    <row r="605" spans="1:6" ht="15.75" thickBot="1" x14ac:dyDescent="0.3">
      <c r="A605" s="35">
        <v>42031</v>
      </c>
      <c r="B605" s="36" t="s">
        <v>6</v>
      </c>
      <c r="C605" s="36" t="s">
        <v>7</v>
      </c>
      <c r="D605" s="36">
        <v>6.5</v>
      </c>
      <c r="E605" s="38" t="s">
        <v>13637</v>
      </c>
      <c r="F605" s="36" t="s">
        <v>13816</v>
      </c>
    </row>
    <row r="606" spans="1:6" ht="15.75" thickBot="1" x14ac:dyDescent="0.3">
      <c r="A606" s="35">
        <v>42031</v>
      </c>
      <c r="B606" s="36" t="s">
        <v>7</v>
      </c>
      <c r="C606" s="36" t="s">
        <v>7</v>
      </c>
      <c r="D606" s="36">
        <v>6.5</v>
      </c>
      <c r="E606" s="38" t="s">
        <v>13728</v>
      </c>
      <c r="F606" s="36" t="s">
        <v>13817</v>
      </c>
    </row>
    <row r="607" spans="1:6" ht="15.75" thickBot="1" x14ac:dyDescent="0.3">
      <c r="A607" s="35">
        <v>42031</v>
      </c>
      <c r="B607" s="36" t="s">
        <v>7</v>
      </c>
      <c r="C607" s="36" t="s">
        <v>7</v>
      </c>
      <c r="D607" s="36">
        <v>7.75</v>
      </c>
      <c r="E607" s="38" t="s">
        <v>13706</v>
      </c>
      <c r="F607" s="36" t="s">
        <v>13818</v>
      </c>
    </row>
    <row r="608" spans="1:6" ht="15.75" thickBot="1" x14ac:dyDescent="0.3">
      <c r="A608" s="35">
        <v>42031</v>
      </c>
      <c r="B608" s="36" t="s">
        <v>7</v>
      </c>
      <c r="C608" s="36" t="s">
        <v>7</v>
      </c>
      <c r="D608" s="36">
        <v>7</v>
      </c>
      <c r="E608" s="38" t="s">
        <v>13755</v>
      </c>
      <c r="F608" s="36" t="s">
        <v>13819</v>
      </c>
    </row>
    <row r="609" spans="1:6" ht="15.75" thickBot="1" x14ac:dyDescent="0.3">
      <c r="A609" s="35">
        <v>42031</v>
      </c>
      <c r="B609" s="36" t="s">
        <v>7</v>
      </c>
      <c r="C609" s="36" t="s">
        <v>7</v>
      </c>
      <c r="D609" s="36">
        <v>5</v>
      </c>
      <c r="E609" s="38" t="s">
        <v>13764</v>
      </c>
      <c r="F609" s="36" t="s">
        <v>13820</v>
      </c>
    </row>
    <row r="610" spans="1:6" ht="15.75" thickBot="1" x14ac:dyDescent="0.3">
      <c r="A610" s="35">
        <v>42031</v>
      </c>
      <c r="B610" s="36" t="s">
        <v>7</v>
      </c>
      <c r="C610" s="36" t="s">
        <v>7</v>
      </c>
      <c r="D610" s="36">
        <v>6.5</v>
      </c>
      <c r="E610" s="38" t="s">
        <v>13771</v>
      </c>
      <c r="F610" s="36" t="s">
        <v>13821</v>
      </c>
    </row>
    <row r="611" spans="1:6" ht="15.75" thickBot="1" x14ac:dyDescent="0.3">
      <c r="A611" s="35">
        <v>42031</v>
      </c>
      <c r="B611" s="36" t="s">
        <v>7</v>
      </c>
      <c r="C611" s="36" t="s">
        <v>7</v>
      </c>
      <c r="D611" s="36">
        <v>10</v>
      </c>
      <c r="E611" s="38" t="s">
        <v>13775</v>
      </c>
      <c r="F611" s="36" t="s">
        <v>13822</v>
      </c>
    </row>
    <row r="612" spans="1:6" ht="15.75" thickBot="1" x14ac:dyDescent="0.3">
      <c r="A612" s="31">
        <v>42031</v>
      </c>
      <c r="B612" s="36" t="s">
        <v>7</v>
      </c>
      <c r="C612" s="36" t="s">
        <v>7</v>
      </c>
      <c r="D612" s="36">
        <v>8.67</v>
      </c>
      <c r="E612" s="38" t="s">
        <v>13751</v>
      </c>
      <c r="F612" s="36" t="s">
        <v>13750</v>
      </c>
    </row>
    <row r="613" spans="1:6" ht="15.75" thickBot="1" x14ac:dyDescent="0.3">
      <c r="A613" s="31">
        <v>42032</v>
      </c>
      <c r="B613" s="36" t="s">
        <v>7</v>
      </c>
      <c r="C613" s="36" t="s">
        <v>7</v>
      </c>
      <c r="D613" s="37">
        <v>6.8849999999999998</v>
      </c>
      <c r="E613" s="38" t="s">
        <v>13654</v>
      </c>
      <c r="F613" s="36" t="s">
        <v>13823</v>
      </c>
    </row>
    <row r="614" spans="1:6" ht="15.75" thickBot="1" x14ac:dyDescent="0.3">
      <c r="A614" s="31">
        <v>42032</v>
      </c>
      <c r="B614" s="36" t="s">
        <v>7</v>
      </c>
      <c r="C614" s="36" t="s">
        <v>7</v>
      </c>
      <c r="D614" s="36">
        <v>5</v>
      </c>
      <c r="E614" s="38" t="s">
        <v>13744</v>
      </c>
      <c r="F614" s="36" t="s">
        <v>13743</v>
      </c>
    </row>
    <row r="615" spans="1:6" ht="15.75" thickBot="1" x14ac:dyDescent="0.3">
      <c r="A615" s="35">
        <v>42032</v>
      </c>
      <c r="B615" s="36" t="s">
        <v>7</v>
      </c>
      <c r="C615" s="36" t="s">
        <v>7</v>
      </c>
      <c r="D615" s="37">
        <v>6.76</v>
      </c>
      <c r="E615" s="38" t="s">
        <v>13719</v>
      </c>
      <c r="F615" s="36" t="s">
        <v>13824</v>
      </c>
    </row>
    <row r="616" spans="1:6" ht="15.75" thickBot="1" x14ac:dyDescent="0.3">
      <c r="A616" s="35">
        <v>42032</v>
      </c>
      <c r="B616" s="36" t="s">
        <v>7</v>
      </c>
      <c r="C616" s="36" t="s">
        <v>7</v>
      </c>
      <c r="D616" s="36">
        <v>12.5</v>
      </c>
      <c r="E616" s="38" t="s">
        <v>13746</v>
      </c>
      <c r="F616" s="36" t="s">
        <v>13825</v>
      </c>
    </row>
    <row r="617" spans="1:6" ht="15.75" thickBot="1" x14ac:dyDescent="0.3">
      <c r="A617" s="35">
        <v>42032</v>
      </c>
      <c r="B617" s="36" t="s">
        <v>7</v>
      </c>
      <c r="C617" s="36" t="s">
        <v>7</v>
      </c>
      <c r="D617" s="36">
        <v>7.25</v>
      </c>
      <c r="E617" s="38" t="s">
        <v>13678</v>
      </c>
      <c r="F617" s="36" t="s">
        <v>13826</v>
      </c>
    </row>
    <row r="618" spans="1:6" ht="15.75" thickBot="1" x14ac:dyDescent="0.3">
      <c r="A618" s="35">
        <v>42032</v>
      </c>
      <c r="B618" s="36" t="s">
        <v>7</v>
      </c>
      <c r="C618" s="36" t="s">
        <v>7</v>
      </c>
      <c r="D618" s="36">
        <v>5.25</v>
      </c>
      <c r="E618" s="38" t="s">
        <v>13663</v>
      </c>
      <c r="F618" s="36" t="s">
        <v>13827</v>
      </c>
    </row>
    <row r="619" spans="1:6" ht="15.75" thickBot="1" x14ac:dyDescent="0.3">
      <c r="A619" s="35">
        <v>42032</v>
      </c>
      <c r="B619" s="36" t="s">
        <v>7</v>
      </c>
      <c r="C619" s="36" t="s">
        <v>7</v>
      </c>
      <c r="D619" s="36">
        <v>13.5</v>
      </c>
      <c r="E619" s="38" t="s">
        <v>13721</v>
      </c>
      <c r="F619" s="36" t="s">
        <v>13828</v>
      </c>
    </row>
    <row r="620" spans="1:6" ht="15.75" thickBot="1" x14ac:dyDescent="0.3">
      <c r="A620" s="35">
        <v>42032</v>
      </c>
      <c r="B620" s="36" t="s">
        <v>7</v>
      </c>
      <c r="C620" s="36" t="s">
        <v>7</v>
      </c>
      <c r="D620" s="36">
        <v>6.75</v>
      </c>
      <c r="E620" s="38" t="s">
        <v>13628</v>
      </c>
      <c r="F620" s="36" t="s">
        <v>13829</v>
      </c>
    </row>
    <row r="621" spans="1:6" ht="15.75" thickBot="1" x14ac:dyDescent="0.3">
      <c r="A621" s="35">
        <v>42032</v>
      </c>
      <c r="B621" s="36" t="s">
        <v>7</v>
      </c>
      <c r="C621" s="36" t="s">
        <v>7</v>
      </c>
      <c r="D621" s="36">
        <v>11</v>
      </c>
      <c r="E621" s="38" t="s">
        <v>13734</v>
      </c>
      <c r="F621" s="36" t="s">
        <v>13830</v>
      </c>
    </row>
    <row r="622" spans="1:6" ht="15.75" thickBot="1" x14ac:dyDescent="0.3">
      <c r="A622" s="31">
        <v>42032</v>
      </c>
      <c r="B622" s="36" t="s">
        <v>7</v>
      </c>
      <c r="C622" s="36" t="s">
        <v>7</v>
      </c>
      <c r="D622" s="36">
        <v>8.67</v>
      </c>
      <c r="E622" s="38" t="s">
        <v>13748</v>
      </c>
      <c r="F622" s="36" t="s">
        <v>13747</v>
      </c>
    </row>
    <row r="623" spans="1:6" ht="15.75" thickBot="1" x14ac:dyDescent="0.3">
      <c r="A623" s="31">
        <v>42032</v>
      </c>
      <c r="B623" s="36" t="s">
        <v>7</v>
      </c>
      <c r="C623" s="36" t="s">
        <v>7</v>
      </c>
      <c r="D623" s="36">
        <v>5.8650000000000002</v>
      </c>
      <c r="E623" s="38" t="s">
        <v>13669</v>
      </c>
      <c r="F623" s="36" t="s">
        <v>13668</v>
      </c>
    </row>
    <row r="624" spans="1:6" ht="15.75" thickBot="1" x14ac:dyDescent="0.3">
      <c r="A624" s="31">
        <v>42032</v>
      </c>
      <c r="B624" s="36" t="s">
        <v>7</v>
      </c>
      <c r="C624" s="36" t="s">
        <v>7</v>
      </c>
      <c r="D624" s="36">
        <v>8.9250000000000007</v>
      </c>
      <c r="E624" s="38" t="s">
        <v>13710</v>
      </c>
      <c r="F624" s="36" t="s">
        <v>13709</v>
      </c>
    </row>
    <row r="625" spans="1:6" ht="15.75" thickBot="1" x14ac:dyDescent="0.3">
      <c r="A625" s="35">
        <v>42033</v>
      </c>
      <c r="B625" s="36" t="s">
        <v>7</v>
      </c>
      <c r="C625" s="36" t="s">
        <v>7</v>
      </c>
      <c r="D625" s="36">
        <v>4</v>
      </c>
      <c r="E625" s="38" t="s">
        <v>13726</v>
      </c>
      <c r="F625" s="36" t="s">
        <v>13725</v>
      </c>
    </row>
    <row r="626" spans="1:6" ht="15.75" thickBot="1" x14ac:dyDescent="0.3">
      <c r="A626" s="35">
        <v>42033</v>
      </c>
      <c r="B626" s="36" t="s">
        <v>7</v>
      </c>
      <c r="C626" s="36" t="s">
        <v>7</v>
      </c>
      <c r="D626" s="36">
        <v>7.25</v>
      </c>
      <c r="E626" s="38" t="s">
        <v>13780</v>
      </c>
      <c r="F626" s="36" t="s">
        <v>13831</v>
      </c>
    </row>
    <row r="627" spans="1:6" ht="15.75" thickBot="1" x14ac:dyDescent="0.3">
      <c r="A627" s="35">
        <v>42033</v>
      </c>
      <c r="B627" s="36" t="s">
        <v>7</v>
      </c>
      <c r="C627" s="36" t="s">
        <v>7</v>
      </c>
      <c r="D627" s="36">
        <v>6.5</v>
      </c>
      <c r="E627" s="38" t="s">
        <v>13647</v>
      </c>
      <c r="F627" s="36" t="s">
        <v>13832</v>
      </c>
    </row>
    <row r="628" spans="1:6" ht="15.75" thickBot="1" x14ac:dyDescent="0.3">
      <c r="A628" s="35">
        <v>42033</v>
      </c>
      <c r="B628" s="36" t="s">
        <v>7</v>
      </c>
      <c r="C628" s="36" t="s">
        <v>7</v>
      </c>
      <c r="D628" s="36">
        <v>4</v>
      </c>
      <c r="E628" s="38" t="s">
        <v>13645</v>
      </c>
      <c r="F628" s="36" t="s">
        <v>13644</v>
      </c>
    </row>
    <row r="629" spans="1:6" ht="15.75" thickBot="1" x14ac:dyDescent="0.3">
      <c r="A629" s="35">
        <v>42033</v>
      </c>
      <c r="B629" s="36" t="s">
        <v>7</v>
      </c>
      <c r="C629" s="36" t="s">
        <v>7</v>
      </c>
      <c r="D629" s="36">
        <v>5.5</v>
      </c>
      <c r="E629" s="38" t="s">
        <v>13778</v>
      </c>
      <c r="F629" s="36" t="s">
        <v>13777</v>
      </c>
    </row>
    <row r="630" spans="1:6" ht="15.75" thickBot="1" x14ac:dyDescent="0.3">
      <c r="A630" s="31">
        <v>42034</v>
      </c>
      <c r="B630" s="36" t="s">
        <v>7</v>
      </c>
      <c r="C630" s="36" t="s">
        <v>7</v>
      </c>
      <c r="D630" s="36">
        <v>8.9250000000000007</v>
      </c>
      <c r="E630" s="38" t="s">
        <v>13742</v>
      </c>
      <c r="F630" s="36" t="s">
        <v>13833</v>
      </c>
    </row>
    <row r="631" spans="1:6" ht="15.75" thickBot="1" x14ac:dyDescent="0.3">
      <c r="A631" s="31">
        <v>42034</v>
      </c>
      <c r="B631" s="36" t="s">
        <v>7</v>
      </c>
      <c r="C631" s="36" t="s">
        <v>7</v>
      </c>
      <c r="D631" s="36">
        <v>3.8250000000000002</v>
      </c>
      <c r="E631" s="38" t="s">
        <v>13652</v>
      </c>
      <c r="F631" s="36" t="s">
        <v>13834</v>
      </c>
    </row>
    <row r="632" spans="1:6" ht="15.75" thickBot="1" x14ac:dyDescent="0.3">
      <c r="A632" s="35">
        <v>42034</v>
      </c>
      <c r="B632" s="36" t="s">
        <v>7</v>
      </c>
      <c r="C632" s="36" t="s">
        <v>7</v>
      </c>
      <c r="D632" s="37">
        <v>8.84</v>
      </c>
      <c r="E632" s="38" t="s">
        <v>13782</v>
      </c>
      <c r="F632" s="36" t="s">
        <v>13835</v>
      </c>
    </row>
    <row r="633" spans="1:6" ht="15.75" thickBot="1" x14ac:dyDescent="0.3">
      <c r="A633" s="35">
        <v>42034</v>
      </c>
      <c r="B633" s="36" t="s">
        <v>7</v>
      </c>
      <c r="C633" s="36" t="s">
        <v>7</v>
      </c>
      <c r="D633" s="36">
        <v>8.5</v>
      </c>
      <c r="E633" s="38" t="s">
        <v>13791</v>
      </c>
      <c r="F633" s="36" t="s">
        <v>13836</v>
      </c>
    </row>
    <row r="634" spans="1:6" ht="15.75" thickBot="1" x14ac:dyDescent="0.3">
      <c r="A634" s="35">
        <v>42034</v>
      </c>
      <c r="B634" s="36" t="s">
        <v>7</v>
      </c>
      <c r="C634" s="36" t="s">
        <v>7</v>
      </c>
      <c r="D634" s="36">
        <v>8.75</v>
      </c>
      <c r="E634" s="38" t="s">
        <v>13786</v>
      </c>
      <c r="F634" s="36" t="s">
        <v>13837</v>
      </c>
    </row>
    <row r="635" spans="1:6" ht="15.75" thickBot="1" x14ac:dyDescent="0.3">
      <c r="A635" s="35">
        <v>42034</v>
      </c>
      <c r="B635" s="36" t="s">
        <v>7</v>
      </c>
      <c r="C635" s="36" t="s">
        <v>7</v>
      </c>
      <c r="D635" s="36">
        <v>6.25</v>
      </c>
      <c r="E635" s="38" t="s">
        <v>13717</v>
      </c>
      <c r="F635" s="36" t="s">
        <v>13838</v>
      </c>
    </row>
    <row r="636" spans="1:6" ht="15.75" thickBot="1" x14ac:dyDescent="0.3">
      <c r="A636" s="35">
        <v>42034</v>
      </c>
      <c r="B636" s="36" t="s">
        <v>7</v>
      </c>
      <c r="C636" s="36" t="s">
        <v>7</v>
      </c>
      <c r="D636" s="36">
        <v>11</v>
      </c>
      <c r="E636" s="38" t="s">
        <v>13626</v>
      </c>
      <c r="F636" s="36" t="s">
        <v>13839</v>
      </c>
    </row>
    <row r="637" spans="1:6" ht="15.75" thickBot="1" x14ac:dyDescent="0.3">
      <c r="A637" s="35">
        <v>42034</v>
      </c>
      <c r="B637" s="36" t="s">
        <v>7</v>
      </c>
      <c r="C637" s="36" t="s">
        <v>7</v>
      </c>
      <c r="D637" s="36">
        <v>7.25</v>
      </c>
      <c r="E637" s="38" t="s">
        <v>13724</v>
      </c>
      <c r="F637" s="36" t="s">
        <v>13840</v>
      </c>
    </row>
    <row r="638" spans="1:6" ht="15.75" thickBot="1" x14ac:dyDescent="0.3">
      <c r="A638" s="31">
        <v>42034</v>
      </c>
      <c r="B638" s="36" t="s">
        <v>7</v>
      </c>
      <c r="C638" s="36" t="s">
        <v>7</v>
      </c>
      <c r="D638" s="36">
        <v>7.65</v>
      </c>
      <c r="E638" s="38" t="s">
        <v>13784</v>
      </c>
      <c r="F638" s="36" t="s">
        <v>13783</v>
      </c>
    </row>
    <row r="639" spans="1:6" ht="15.75" thickBot="1" x14ac:dyDescent="0.3">
      <c r="A639" s="31">
        <v>42034</v>
      </c>
      <c r="B639" s="36" t="s">
        <v>7</v>
      </c>
      <c r="C639" s="36" t="s">
        <v>7</v>
      </c>
      <c r="D639" s="36">
        <v>11.984999999999999</v>
      </c>
      <c r="E639" s="38" t="s">
        <v>13712</v>
      </c>
      <c r="F639" s="36" t="s">
        <v>13711</v>
      </c>
    </row>
    <row r="640" spans="1:6" ht="15.75" thickBot="1" x14ac:dyDescent="0.3">
      <c r="A640" s="31">
        <v>42034</v>
      </c>
      <c r="B640" s="36" t="s">
        <v>7</v>
      </c>
      <c r="C640" s="36" t="s">
        <v>7</v>
      </c>
      <c r="D640" s="36">
        <v>3.57</v>
      </c>
      <c r="E640" s="38" t="s">
        <v>13736</v>
      </c>
      <c r="F640" s="36" t="s">
        <v>13735</v>
      </c>
    </row>
    <row r="641" spans="1:6" ht="15.75" thickBot="1" x14ac:dyDescent="0.3">
      <c r="A641" s="31">
        <v>42034</v>
      </c>
      <c r="B641" s="36" t="s">
        <v>7</v>
      </c>
      <c r="C641" s="36" t="s">
        <v>7</v>
      </c>
      <c r="D641" s="36">
        <v>2.5499999999999998</v>
      </c>
      <c r="E641" s="38" t="s">
        <v>13621</v>
      </c>
      <c r="F641" s="36" t="s">
        <v>13620</v>
      </c>
    </row>
    <row r="642" spans="1:6" ht="15.75" thickBot="1" x14ac:dyDescent="0.3">
      <c r="A642" s="35">
        <v>42035</v>
      </c>
      <c r="B642" s="36" t="s">
        <v>7</v>
      </c>
      <c r="C642" s="36" t="s">
        <v>7</v>
      </c>
      <c r="D642" s="37">
        <v>9.8800000000000008</v>
      </c>
      <c r="E642" s="38" t="s">
        <v>13667</v>
      </c>
      <c r="F642" s="36" t="s">
        <v>13841</v>
      </c>
    </row>
    <row r="643" spans="1:6" ht="15.75" thickBot="1" x14ac:dyDescent="0.3">
      <c r="A643" s="35">
        <v>42035</v>
      </c>
      <c r="B643" s="36" t="s">
        <v>7</v>
      </c>
      <c r="C643" s="36" t="s">
        <v>7</v>
      </c>
      <c r="D643" s="37">
        <v>3.12</v>
      </c>
      <c r="E643" s="38" t="s">
        <v>13623</v>
      </c>
      <c r="F643" s="36" t="s">
        <v>13842</v>
      </c>
    </row>
    <row r="644" spans="1:6" ht="15.75" thickBot="1" x14ac:dyDescent="0.3">
      <c r="A644" s="35">
        <v>42035</v>
      </c>
      <c r="B644" s="36" t="s">
        <v>7</v>
      </c>
      <c r="C644" s="36" t="s">
        <v>7</v>
      </c>
      <c r="D644" s="37">
        <v>5.46</v>
      </c>
      <c r="E644" s="38" t="s">
        <v>13708</v>
      </c>
      <c r="F644" s="36" t="s">
        <v>13843</v>
      </c>
    </row>
    <row r="645" spans="1:6" ht="15.75" thickBot="1" x14ac:dyDescent="0.3">
      <c r="A645" s="35">
        <v>42035</v>
      </c>
      <c r="B645" s="36" t="s">
        <v>7</v>
      </c>
      <c r="C645" s="36" t="s">
        <v>7</v>
      </c>
      <c r="D645" s="37">
        <v>5.72</v>
      </c>
      <c r="E645" s="38" t="s">
        <v>13680</v>
      </c>
      <c r="F645" s="36" t="s">
        <v>13844</v>
      </c>
    </row>
    <row r="646" spans="1:6" ht="15.75" thickBot="1" x14ac:dyDescent="0.3">
      <c r="A646" s="35">
        <v>42035</v>
      </c>
      <c r="B646" s="36" t="s">
        <v>7</v>
      </c>
      <c r="C646" s="36" t="s">
        <v>7</v>
      </c>
      <c r="D646" s="36">
        <v>7.5</v>
      </c>
      <c r="E646" s="38" t="s">
        <v>13696</v>
      </c>
      <c r="F646" s="36" t="s">
        <v>13845</v>
      </c>
    </row>
    <row r="647" spans="1:6" ht="15.75" thickBot="1" x14ac:dyDescent="0.3">
      <c r="A647" s="35">
        <v>42035</v>
      </c>
      <c r="B647" s="36" t="s">
        <v>7</v>
      </c>
      <c r="C647" s="36" t="s">
        <v>7</v>
      </c>
      <c r="D647" s="36">
        <v>4.5</v>
      </c>
      <c r="E647" s="38" t="s">
        <v>13762</v>
      </c>
      <c r="F647" s="36" t="s">
        <v>13846</v>
      </c>
    </row>
    <row r="648" spans="1:6" ht="15.75" thickBot="1" x14ac:dyDescent="0.3">
      <c r="A648" s="35">
        <v>42035</v>
      </c>
      <c r="B648" s="36" t="s">
        <v>7</v>
      </c>
      <c r="C648" s="36" t="s">
        <v>7</v>
      </c>
      <c r="D648" s="36">
        <v>11</v>
      </c>
      <c r="E648" s="38" t="s">
        <v>13794</v>
      </c>
      <c r="F648" s="36" t="s">
        <v>13847</v>
      </c>
    </row>
    <row r="649" spans="1:6" ht="15.75" thickBot="1" x14ac:dyDescent="0.3">
      <c r="A649" s="35">
        <v>42035</v>
      </c>
      <c r="B649" s="36" t="s">
        <v>7</v>
      </c>
      <c r="C649" s="36" t="s">
        <v>7</v>
      </c>
      <c r="D649" s="36">
        <v>2.5</v>
      </c>
      <c r="E649" s="38" t="s">
        <v>13732</v>
      </c>
      <c r="F649" s="36" t="s">
        <v>13848</v>
      </c>
    </row>
    <row r="650" spans="1:6" ht="15.75" thickBot="1" x14ac:dyDescent="0.3">
      <c r="A650" s="35">
        <v>42035</v>
      </c>
      <c r="B650" s="36" t="s">
        <v>7</v>
      </c>
      <c r="C650" s="36" t="s">
        <v>7</v>
      </c>
      <c r="D650" s="36">
        <v>10.25</v>
      </c>
      <c r="E650" s="38" t="s">
        <v>13689</v>
      </c>
      <c r="F650" s="36" t="s">
        <v>13849</v>
      </c>
    </row>
    <row r="651" spans="1:6" ht="15.75" thickBot="1" x14ac:dyDescent="0.3">
      <c r="A651" s="35">
        <v>42035</v>
      </c>
      <c r="B651" s="36" t="s">
        <v>7</v>
      </c>
      <c r="C651" s="36" t="s">
        <v>7</v>
      </c>
      <c r="D651" s="36">
        <v>8.25</v>
      </c>
      <c r="E651" s="38" t="s">
        <v>13787</v>
      </c>
      <c r="F651" s="36" t="s">
        <v>11437</v>
      </c>
    </row>
    <row r="652" spans="1:6" ht="15.75" thickBot="1" x14ac:dyDescent="0.3">
      <c r="A652" s="35">
        <v>42035</v>
      </c>
      <c r="B652" s="36" t="s">
        <v>7</v>
      </c>
      <c r="C652" s="36" t="s">
        <v>7</v>
      </c>
      <c r="D652" s="36">
        <v>6.5</v>
      </c>
      <c r="E652" s="38" t="s">
        <v>13757</v>
      </c>
      <c r="F652" s="36" t="s">
        <v>13850</v>
      </c>
    </row>
    <row r="653" spans="1:6" ht="15.75" thickBot="1" x14ac:dyDescent="0.3">
      <c r="A653" s="35">
        <v>42035</v>
      </c>
      <c r="B653" s="36" t="s">
        <v>7</v>
      </c>
      <c r="C653" s="36" t="s">
        <v>7</v>
      </c>
      <c r="D653" s="36">
        <v>12</v>
      </c>
      <c r="E653" s="38" t="s">
        <v>13702</v>
      </c>
      <c r="F653" s="36" t="s">
        <v>13851</v>
      </c>
    </row>
    <row r="654" spans="1:6" ht="15.75" thickBot="1" x14ac:dyDescent="0.3">
      <c r="A654" s="31">
        <v>42035</v>
      </c>
      <c r="B654" s="36" t="s">
        <v>7</v>
      </c>
      <c r="C654" s="36" t="s">
        <v>7</v>
      </c>
      <c r="D654" s="36">
        <v>7.3949999999999996</v>
      </c>
      <c r="E654" s="38" t="s">
        <v>13630</v>
      </c>
      <c r="F654" s="36" t="s">
        <v>13852</v>
      </c>
    </row>
    <row r="655" spans="1:6" ht="15.75" thickBot="1" x14ac:dyDescent="0.3">
      <c r="A655" s="31">
        <v>42035</v>
      </c>
      <c r="B655" s="36" t="s">
        <v>7</v>
      </c>
      <c r="C655" s="36" t="s">
        <v>7</v>
      </c>
      <c r="D655" s="36">
        <v>6.12</v>
      </c>
      <c r="E655" s="38" t="s">
        <v>13759</v>
      </c>
      <c r="F655" s="36" t="s">
        <v>13758</v>
      </c>
    </row>
    <row r="656" spans="1:6" ht="15.75" thickBot="1" x14ac:dyDescent="0.3">
      <c r="A656" s="31">
        <v>42035</v>
      </c>
      <c r="B656" s="36" t="s">
        <v>7</v>
      </c>
      <c r="C656" s="36" t="s">
        <v>7</v>
      </c>
      <c r="D656" s="36">
        <v>5.8650000000000002</v>
      </c>
      <c r="E656" s="38" t="s">
        <v>13635</v>
      </c>
      <c r="F656" s="36" t="s">
        <v>13634</v>
      </c>
    </row>
    <row r="657" spans="1:6" ht="15.75" thickBot="1" x14ac:dyDescent="0.3">
      <c r="A657" s="31">
        <v>42035</v>
      </c>
      <c r="B657" s="36" t="s">
        <v>7</v>
      </c>
      <c r="C657" s="36" t="s">
        <v>7</v>
      </c>
      <c r="D657" s="36">
        <v>5.61</v>
      </c>
      <c r="E657" s="38" t="s">
        <v>13685</v>
      </c>
      <c r="F657" s="36" t="s">
        <v>13684</v>
      </c>
    </row>
    <row r="658" spans="1:6" ht="15.75" thickBot="1" x14ac:dyDescent="0.3">
      <c r="A658" s="31">
        <v>42036</v>
      </c>
      <c r="B658" s="36" t="s">
        <v>7</v>
      </c>
      <c r="C658" s="36" t="s">
        <v>7</v>
      </c>
      <c r="D658" s="36">
        <v>4.08</v>
      </c>
      <c r="E658" s="38" t="s">
        <v>13661</v>
      </c>
      <c r="F658" s="36" t="s">
        <v>13853</v>
      </c>
    </row>
    <row r="659" spans="1:6" ht="15.75" thickBot="1" x14ac:dyDescent="0.3">
      <c r="A659" s="35">
        <v>42036</v>
      </c>
      <c r="B659" s="36" t="s">
        <v>7</v>
      </c>
      <c r="C659" s="36" t="s">
        <v>7</v>
      </c>
      <c r="D659" s="36">
        <v>9.75</v>
      </c>
      <c r="E659" s="38" t="s">
        <v>13657</v>
      </c>
      <c r="F659" s="36" t="s">
        <v>13854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W545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41913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12745</v>
      </c>
      <c r="B3" t="s">
        <v>12652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13125</v>
      </c>
      <c r="B4" t="s">
        <v>13126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12496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12286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13127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12755</v>
      </c>
      <c r="B12" t="s">
        <v>12663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13128</v>
      </c>
      <c r="B22" t="s">
        <v>13129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13130</v>
      </c>
      <c r="B38" t="s">
        <v>13131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13617</v>
      </c>
      <c r="B41" t="s">
        <v>13618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12976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13132</v>
      </c>
      <c r="B52" t="s">
        <v>13068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12976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12976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12124</v>
      </c>
      <c r="B62" t="s">
        <v>12125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12358</v>
      </c>
      <c r="B66" t="s">
        <v>12359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12976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12360</v>
      </c>
      <c r="B81" t="s">
        <v>12361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12976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12980</v>
      </c>
      <c r="B113" t="s">
        <v>12919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12976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13619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12287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12118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12703</v>
      </c>
      <c r="B129" t="s">
        <v>12610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12288</v>
      </c>
      <c r="B130" t="s">
        <v>12289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12976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13010</v>
      </c>
      <c r="B135" t="s">
        <v>12951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12496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13620</v>
      </c>
      <c r="B141" t="s">
        <v>13621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12267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12976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13622</v>
      </c>
      <c r="B171" t="s">
        <v>13623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13133</v>
      </c>
      <c r="B179" t="s">
        <v>13134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12704</v>
      </c>
      <c r="B191" t="s">
        <v>12611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13624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13135</v>
      </c>
      <c r="B203" t="s">
        <v>13063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12290</v>
      </c>
      <c r="B213" t="s">
        <v>12291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12978</v>
      </c>
      <c r="B226" t="s">
        <v>12917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12502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13002</v>
      </c>
      <c r="B234" t="s">
        <v>12941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13625</v>
      </c>
      <c r="B254" t="s">
        <v>13626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12746</v>
      </c>
      <c r="B261" t="s">
        <v>12653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13136</v>
      </c>
      <c r="B281" t="s">
        <v>13137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13040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12976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13627</v>
      </c>
      <c r="B295" t="s">
        <v>13628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13629</v>
      </c>
      <c r="B296" t="s">
        <v>13630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12821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12981</v>
      </c>
      <c r="B318" t="s">
        <v>12920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12122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13138</v>
      </c>
      <c r="B319" t="s">
        <v>13139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12126</v>
      </c>
      <c r="B324" t="s">
        <v>12110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12671</v>
      </c>
      <c r="B330" t="s">
        <v>12577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12747</v>
      </c>
      <c r="B351" t="s">
        <v>12654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13127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13140</v>
      </c>
      <c r="B353" t="s">
        <v>13141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12496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13142</v>
      </c>
      <c r="B371" t="s">
        <v>13143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13631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12672</v>
      </c>
      <c r="B401" t="s">
        <v>12578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12362</v>
      </c>
      <c r="B407" t="s">
        <v>12363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12779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12976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13624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13632</v>
      </c>
      <c r="B446" t="s">
        <v>13633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12500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12725</v>
      </c>
      <c r="B468" t="s">
        <v>12632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12364</v>
      </c>
      <c r="B471" t="s">
        <v>12365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12366</v>
      </c>
      <c r="B496" t="s">
        <v>12367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12292</v>
      </c>
      <c r="B504" t="s">
        <v>12293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12772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12127</v>
      </c>
      <c r="B517" t="s">
        <v>12080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12726</v>
      </c>
      <c r="B522" t="s">
        <v>12633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13144</v>
      </c>
      <c r="B539" t="s">
        <v>13145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13146</v>
      </c>
      <c r="Q539" t="s">
        <v>12498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12101</v>
      </c>
      <c r="B569" t="s">
        <v>12100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12976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13147</v>
      </c>
      <c r="B573" t="s">
        <v>12655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13634</v>
      </c>
      <c r="B574" t="s">
        <v>13635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13148</v>
      </c>
      <c r="B580" t="s">
        <v>12098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12128</v>
      </c>
      <c r="B581" t="s">
        <v>12072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12982</v>
      </c>
      <c r="B584" t="s">
        <v>12921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12705</v>
      </c>
      <c r="B602" t="s">
        <v>12612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12368</v>
      </c>
      <c r="B603" t="s">
        <v>12369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12210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13149</v>
      </c>
      <c r="B614" t="s">
        <v>13150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12828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13023</v>
      </c>
      <c r="B638" t="s">
        <v>12963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13151</v>
      </c>
      <c r="B649" t="s">
        <v>13152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12210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12294</v>
      </c>
      <c r="B651" t="s">
        <v>12295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12767</v>
      </c>
      <c r="B656" t="s">
        <v>12668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12370</v>
      </c>
      <c r="B669" t="s">
        <v>12371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13036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13153</v>
      </c>
      <c r="B670" t="s">
        <v>13154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13636</v>
      </c>
      <c r="B685" t="s">
        <v>13637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13155</v>
      </c>
      <c r="B687" t="s">
        <v>13156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13157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12372</v>
      </c>
      <c r="B692" t="s">
        <v>12373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12976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13638</v>
      </c>
      <c r="B718" t="s">
        <v>13639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12496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13043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13043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12736</v>
      </c>
      <c r="B728" t="s">
        <v>12643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13158</v>
      </c>
      <c r="B745" t="s">
        <v>13159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12492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12748</v>
      </c>
      <c r="B756" t="s">
        <v>12656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12976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12976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13040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12976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13640</v>
      </c>
      <c r="B790" t="s">
        <v>13641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13281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12374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13160</v>
      </c>
      <c r="B804" t="s">
        <v>13161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12496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13162</v>
      </c>
      <c r="B817" t="s">
        <v>13061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13163</v>
      </c>
      <c r="B821" t="s">
        <v>13164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12296</v>
      </c>
      <c r="B830" t="s">
        <v>12297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13642</v>
      </c>
      <c r="B834" t="s">
        <v>13643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12821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12976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13165</v>
      </c>
      <c r="B837" t="s">
        <v>13166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12129</v>
      </c>
      <c r="B848" t="s">
        <v>12112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12092</v>
      </c>
      <c r="B877" t="s">
        <v>12091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13644</v>
      </c>
      <c r="B893" t="s">
        <v>13645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12756</v>
      </c>
      <c r="B894" t="s">
        <v>12434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13167</v>
      </c>
      <c r="B915" t="s">
        <v>13168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12275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13646</v>
      </c>
      <c r="B916" t="s">
        <v>13647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12275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13648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13169</v>
      </c>
      <c r="B952" t="s">
        <v>13170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12439</v>
      </c>
      <c r="B955" t="s">
        <v>12438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13649</v>
      </c>
      <c r="B972" t="s">
        <v>13650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12298</v>
      </c>
      <c r="B980" t="s">
        <v>12299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12706</v>
      </c>
      <c r="B982" t="s">
        <v>12613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12500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12130</v>
      </c>
      <c r="B985" t="s">
        <v>12131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13011</v>
      </c>
      <c r="B991" t="s">
        <v>12952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12566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12749</v>
      </c>
      <c r="B1013" t="s">
        <v>12657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12983</v>
      </c>
      <c r="B1032" t="s">
        <v>12922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12737</v>
      </c>
      <c r="B1057" t="s">
        <v>12644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12375</v>
      </c>
      <c r="B1072" t="s">
        <v>12097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13171</v>
      </c>
      <c r="B1083" t="s">
        <v>13172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13651</v>
      </c>
      <c r="B1085" t="s">
        <v>13652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12707</v>
      </c>
      <c r="B1093" t="s">
        <v>12614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12500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12976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12300</v>
      </c>
      <c r="B1110" t="s">
        <v>12301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13173</v>
      </c>
      <c r="B1119" t="s">
        <v>13174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13175</v>
      </c>
      <c r="B1122" t="s">
        <v>13176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12673</v>
      </c>
      <c r="B1125" t="s">
        <v>12579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13177</v>
      </c>
      <c r="B1136" t="s">
        <v>13178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12271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13179</v>
      </c>
      <c r="B1151" t="s">
        <v>13180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13179</v>
      </c>
      <c r="B1152" t="s">
        <v>13181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13182</v>
      </c>
      <c r="B1153" t="s">
        <v>13183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13184</v>
      </c>
      <c r="B1168" t="s">
        <v>13185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13186</v>
      </c>
      <c r="B1169" t="s">
        <v>13187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13188</v>
      </c>
      <c r="B1184" t="s">
        <v>13189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12674</v>
      </c>
      <c r="B1199" t="s">
        <v>12580</v>
      </c>
      <c r="C1199">
        <v>10.455</v>
      </c>
      <c r="D1199" t="s">
        <v>3893</v>
      </c>
      <c r="E1199" t="s">
        <v>12374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12500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12376</v>
      </c>
      <c r="B1220" t="s">
        <v>12377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13190</v>
      </c>
      <c r="B1229" t="s">
        <v>13191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12565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13127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13192</v>
      </c>
      <c r="B1257" t="s">
        <v>13193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12794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13653</v>
      </c>
      <c r="B1258" t="s">
        <v>13654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12794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13194</v>
      </c>
      <c r="B1261" t="s">
        <v>13195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12496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12750</v>
      </c>
      <c r="B1276" t="s">
        <v>12658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12675</v>
      </c>
      <c r="B1279" t="s">
        <v>12581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12751</v>
      </c>
      <c r="B1283" t="s">
        <v>12659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13196</v>
      </c>
      <c r="B1287" t="s">
        <v>13197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13655</v>
      </c>
      <c r="B1297" t="s">
        <v>13656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13655</v>
      </c>
      <c r="B1298" t="s">
        <v>13657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12757</v>
      </c>
      <c r="B1311" t="s">
        <v>12432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13198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12079</v>
      </c>
      <c r="B1312" t="s">
        <v>12078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13199</v>
      </c>
      <c r="B1314" t="s">
        <v>13200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12738</v>
      </c>
      <c r="B1324" t="s">
        <v>12645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12976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13658</v>
      </c>
      <c r="B1339" t="s">
        <v>13659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13041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12077</v>
      </c>
      <c r="B1354" t="s">
        <v>12076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13024</v>
      </c>
      <c r="B1363" t="s">
        <v>12964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12500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13660</v>
      </c>
      <c r="B1367" t="s">
        <v>13661</v>
      </c>
      <c r="C1367">
        <v>4.08</v>
      </c>
      <c r="D1367" t="s">
        <v>3893</v>
      </c>
      <c r="E1367" t="s">
        <v>12374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12378</v>
      </c>
      <c r="B1368" t="s">
        <v>12379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12380</v>
      </c>
      <c r="B1369" t="s">
        <v>12381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12676</v>
      </c>
      <c r="B1379" t="s">
        <v>12582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13662</v>
      </c>
      <c r="B1395" t="s">
        <v>13663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13012</v>
      </c>
      <c r="B1400" t="s">
        <v>12953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12976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13201</v>
      </c>
      <c r="B1409" t="s">
        <v>13202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12071</v>
      </c>
      <c r="B1423" t="s">
        <v>12070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12773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13204</v>
      </c>
      <c r="B1437" t="s">
        <v>13205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12565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13206</v>
      </c>
      <c r="B1453" t="s">
        <v>13207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12976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12283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13208</v>
      </c>
      <c r="B1456" t="s">
        <v>13209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13042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13042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13042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12984</v>
      </c>
      <c r="B1462" t="s">
        <v>12923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13210</v>
      </c>
      <c r="B1468" t="s">
        <v>13211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12382</v>
      </c>
      <c r="B1478" t="s">
        <v>12383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13212</v>
      </c>
      <c r="B1508" t="s">
        <v>13213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12677</v>
      </c>
      <c r="B1535" t="s">
        <v>12583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13214</v>
      </c>
      <c r="B1551" t="s">
        <v>13215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13216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13664</v>
      </c>
      <c r="B1558" t="s">
        <v>13665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13217</v>
      </c>
      <c r="B1562" t="s">
        <v>13218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12302</v>
      </c>
      <c r="B1565" t="s">
        <v>12303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13219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13220</v>
      </c>
      <c r="B1578" t="s">
        <v>13221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13025</v>
      </c>
      <c r="B1586" t="s">
        <v>12965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12103</v>
      </c>
      <c r="B1589" t="s">
        <v>12102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13222</v>
      </c>
      <c r="B1602" t="s">
        <v>13223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13146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13224</v>
      </c>
      <c r="B1603" t="s">
        <v>13225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12205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13666</v>
      </c>
      <c r="B1605" t="s">
        <v>13667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13226</v>
      </c>
      <c r="B1617" t="s">
        <v>13227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12205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13668</v>
      </c>
      <c r="B1621" t="s">
        <v>13669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12205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12132</v>
      </c>
      <c r="B1623" t="s">
        <v>12133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13670</v>
      </c>
      <c r="B1624" t="s">
        <v>13671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13672</v>
      </c>
      <c r="B1628" t="s">
        <v>13673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12727</v>
      </c>
      <c r="B1629" t="s">
        <v>12634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13228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12708</v>
      </c>
      <c r="B1649" t="s">
        <v>12615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13203</v>
      </c>
      <c r="Q1649" t="s">
        <v>12500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12976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12384</v>
      </c>
      <c r="B1656" t="s">
        <v>12385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12215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13674</v>
      </c>
      <c r="B1679" t="s">
        <v>13675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13229</v>
      </c>
      <c r="B1687" t="s">
        <v>13230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12976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12283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13676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12678</v>
      </c>
      <c r="B1700" t="s">
        <v>12584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12287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13039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12728</v>
      </c>
      <c r="B1723" t="s">
        <v>12635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12496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12134</v>
      </c>
      <c r="B1741" t="s">
        <v>12135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13677</v>
      </c>
      <c r="B1750" t="s">
        <v>13678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12985</v>
      </c>
      <c r="B1752" t="s">
        <v>12924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12566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12136</v>
      </c>
      <c r="B1762" t="s">
        <v>12108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13679</v>
      </c>
      <c r="B1791" t="s">
        <v>13680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12739</v>
      </c>
      <c r="B1806" t="s">
        <v>12646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13231</v>
      </c>
      <c r="B1821" t="s">
        <v>13232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12986</v>
      </c>
      <c r="B1823" t="s">
        <v>12925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12976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12976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12976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12987</v>
      </c>
      <c r="B1853" t="s">
        <v>12926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13233</v>
      </c>
      <c r="B1876" t="s">
        <v>13234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12496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13235</v>
      </c>
      <c r="B1883" t="s">
        <v>13236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12976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13237</v>
      </c>
      <c r="B1906" t="s">
        <v>13238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12821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13239</v>
      </c>
      <c r="B1917" t="s">
        <v>13076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13681</v>
      </c>
      <c r="B1921" t="s">
        <v>13682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12090</v>
      </c>
      <c r="B1923" t="s">
        <v>12089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13683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13684</v>
      </c>
      <c r="B1950" t="s">
        <v>13685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12205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12976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13686</v>
      </c>
      <c r="B1988" t="s">
        <v>13687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12709</v>
      </c>
      <c r="B1991" t="s">
        <v>12616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13021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13013</v>
      </c>
      <c r="B2040" t="s">
        <v>12954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13240</v>
      </c>
      <c r="B2041" t="s">
        <v>13241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13242</v>
      </c>
      <c r="B2043" t="s">
        <v>13243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12137</v>
      </c>
      <c r="B2056" t="s">
        <v>12138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12119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12139</v>
      </c>
      <c r="B2071" t="s">
        <v>12140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13688</v>
      </c>
      <c r="B2074" t="s">
        <v>13689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12304</v>
      </c>
      <c r="B2079" t="s">
        <v>12305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12306</v>
      </c>
      <c r="B2083" t="s">
        <v>12307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12308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13690</v>
      </c>
      <c r="B2098" t="s">
        <v>13691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12309</v>
      </c>
      <c r="B2121" t="s">
        <v>12141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12309</v>
      </c>
      <c r="B2122" t="s">
        <v>12142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12976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12988</v>
      </c>
      <c r="B2141" t="s">
        <v>12927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13244</v>
      </c>
      <c r="B2179" t="s">
        <v>13245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13246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13692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13693</v>
      </c>
      <c r="B2211" t="s">
        <v>13694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12496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12386</v>
      </c>
      <c r="B2240" t="s">
        <v>12387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13695</v>
      </c>
      <c r="B2250" t="s">
        <v>13696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13648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13026</v>
      </c>
      <c r="B2263" t="s">
        <v>12966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12287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13247</v>
      </c>
      <c r="B2269" t="s">
        <v>13248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12670</v>
      </c>
      <c r="B2271" t="s">
        <v>12576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12976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12283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13697</v>
      </c>
      <c r="B2294" t="s">
        <v>13698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12496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12976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13699</v>
      </c>
      <c r="B2315" t="s">
        <v>13700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12758</v>
      </c>
      <c r="B2320" t="s">
        <v>12430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13701</v>
      </c>
      <c r="B2323" t="s">
        <v>13702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12759</v>
      </c>
      <c r="B2338" t="s">
        <v>12436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13249</v>
      </c>
      <c r="B2346" t="s">
        <v>13065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12679</v>
      </c>
      <c r="B2371" t="s">
        <v>12585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12388</v>
      </c>
      <c r="B2381" t="s">
        <v>12389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12207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12388</v>
      </c>
      <c r="B2382" t="s">
        <v>12390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13027</v>
      </c>
      <c r="B2398" t="s">
        <v>12967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12710</v>
      </c>
      <c r="B2415" t="s">
        <v>12617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12989</v>
      </c>
      <c r="B2425" t="s">
        <v>12928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12976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12976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12680</v>
      </c>
      <c r="B2439" t="s">
        <v>12586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13250</v>
      </c>
      <c r="B2476" t="s">
        <v>13251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12310</v>
      </c>
      <c r="B2478" t="s">
        <v>12311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13703</v>
      </c>
      <c r="B2479" t="s">
        <v>13704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12979</v>
      </c>
      <c r="B2489" t="s">
        <v>12918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13252</v>
      </c>
      <c r="B2495" t="s">
        <v>13253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12215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13254</v>
      </c>
      <c r="B2497" t="s">
        <v>13255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12267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13014</v>
      </c>
      <c r="B2506" t="s">
        <v>12955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13256</v>
      </c>
      <c r="B2525" t="s">
        <v>13257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13035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13258</v>
      </c>
      <c r="B2548" t="s">
        <v>13259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12976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12283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13705</v>
      </c>
      <c r="B2560" t="s">
        <v>13706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13260</v>
      </c>
      <c r="B2563" t="s">
        <v>13261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12976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13707</v>
      </c>
      <c r="B2573" t="s">
        <v>13708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12312</v>
      </c>
      <c r="B2584" t="s">
        <v>12313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12990</v>
      </c>
      <c r="B2589" t="s">
        <v>12929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12681</v>
      </c>
      <c r="B2610" t="s">
        <v>12587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12496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12084</v>
      </c>
      <c r="B2645" t="s">
        <v>12083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12391</v>
      </c>
      <c r="B2650" t="s">
        <v>12392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13040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12729</v>
      </c>
      <c r="B2665" t="s">
        <v>12636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12976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13262</v>
      </c>
      <c r="B2719" t="s">
        <v>13263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12682</v>
      </c>
      <c r="B2721" t="s">
        <v>12588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13264</v>
      </c>
      <c r="B2731" t="s">
        <v>13265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12991</v>
      </c>
      <c r="B2732" t="s">
        <v>12930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12482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13709</v>
      </c>
      <c r="B2743" t="s">
        <v>13710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12287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12711</v>
      </c>
      <c r="B2758" t="s">
        <v>12618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12496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12143</v>
      </c>
      <c r="B2778" t="s">
        <v>12144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13711</v>
      </c>
      <c r="B2779" t="s">
        <v>13712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13713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12393</v>
      </c>
      <c r="B2790" t="s">
        <v>12394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12122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12107</v>
      </c>
      <c r="B2796" t="s">
        <v>12106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13266</v>
      </c>
      <c r="B2797" t="s">
        <v>13267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12395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12395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13268</v>
      </c>
      <c r="B2819" t="s">
        <v>13269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12145</v>
      </c>
      <c r="B2826" t="s">
        <v>12146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13270</v>
      </c>
      <c r="B2827" t="s">
        <v>13271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13714</v>
      </c>
      <c r="B2833" t="s">
        <v>13715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12500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12441</v>
      </c>
      <c r="B2834" t="s">
        <v>12440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12287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13003</v>
      </c>
      <c r="B2846" t="s">
        <v>12942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12147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12147</v>
      </c>
      <c r="B2855" t="s">
        <v>12148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12120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12780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12780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12760</v>
      </c>
      <c r="B2877" t="s">
        <v>12664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12976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12396</v>
      </c>
      <c r="B2886" t="s">
        <v>12397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12976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13272</v>
      </c>
      <c r="B2887" t="s">
        <v>13072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12976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12740</v>
      </c>
      <c r="B2888" t="s">
        <v>12647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12976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12992</v>
      </c>
      <c r="B2904" t="s">
        <v>12931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12683</v>
      </c>
      <c r="B2907" t="s">
        <v>12589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13273</v>
      </c>
      <c r="B2915" t="s">
        <v>13274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12492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13275</v>
      </c>
      <c r="B2919" t="s">
        <v>13276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12821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12993</v>
      </c>
      <c r="B2939" t="s">
        <v>12932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12096</v>
      </c>
      <c r="B2941" t="s">
        <v>12095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12768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13004</v>
      </c>
      <c r="B2949" t="s">
        <v>12943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12500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13716</v>
      </c>
      <c r="B2955" t="s">
        <v>13717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13038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12287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12712</v>
      </c>
      <c r="B2974" t="s">
        <v>12619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13277</v>
      </c>
      <c r="B2985" t="s">
        <v>13278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13279</v>
      </c>
      <c r="B2989" t="s">
        <v>13280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12149</v>
      </c>
      <c r="B3017" t="s">
        <v>12150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12976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12398</v>
      </c>
      <c r="B3037" t="s">
        <v>12399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12994</v>
      </c>
      <c r="B3043" t="s">
        <v>12933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12496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12684</v>
      </c>
      <c r="B3050" t="s">
        <v>12590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13718</v>
      </c>
      <c r="B3059" t="s">
        <v>13719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13720</v>
      </c>
      <c r="B3071" t="s">
        <v>13721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12685</v>
      </c>
      <c r="B3073" t="s">
        <v>13722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13146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12685</v>
      </c>
      <c r="B3074" t="s">
        <v>12591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13281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13040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13282</v>
      </c>
      <c r="B3089" t="s">
        <v>13283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12151</v>
      </c>
      <c r="B3096" t="s">
        <v>12152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12121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12400</v>
      </c>
      <c r="B3100" t="s">
        <v>12401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13284</v>
      </c>
      <c r="B3103" t="s">
        <v>13285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13286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12402</v>
      </c>
      <c r="B3114" t="s">
        <v>12403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12976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13723</v>
      </c>
      <c r="B3131" t="s">
        <v>13724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12404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12686</v>
      </c>
      <c r="B3146" t="s">
        <v>12592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12153</v>
      </c>
      <c r="B3148" t="s">
        <v>12154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12687</v>
      </c>
      <c r="B3174" t="s">
        <v>12593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13287</v>
      </c>
      <c r="B3191" t="s">
        <v>13288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13035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13015</v>
      </c>
      <c r="B3195" t="s">
        <v>12956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12265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12976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13725</v>
      </c>
      <c r="B3223" t="s">
        <v>13726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12976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13727</v>
      </c>
      <c r="B3237" t="s">
        <v>13728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12995</v>
      </c>
      <c r="B3243" t="s">
        <v>12934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12821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12976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12976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12761</v>
      </c>
      <c r="B3314" t="s">
        <v>12442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12122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13729</v>
      </c>
      <c r="B3319" t="s">
        <v>13730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13731</v>
      </c>
      <c r="B3333" t="s">
        <v>13732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12236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12314</v>
      </c>
      <c r="B3342" t="s">
        <v>12315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13037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13005</v>
      </c>
      <c r="B3345" t="s">
        <v>12944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13733</v>
      </c>
      <c r="B3349" t="s">
        <v>13734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12976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12287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12316</v>
      </c>
      <c r="B3369" t="s">
        <v>12317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13735</v>
      </c>
      <c r="B3372" t="s">
        <v>13736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12976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12752</v>
      </c>
      <c r="B3386" t="s">
        <v>12660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12976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12976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12976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12155</v>
      </c>
      <c r="B3438" t="s">
        <v>12081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13289</v>
      </c>
      <c r="B3444" t="s">
        <v>13290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13737</v>
      </c>
      <c r="Q3444" t="s">
        <v>13246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12976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11711</v>
      </c>
      <c r="B3458" t="s">
        <v>12594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12713</v>
      </c>
      <c r="B3462" t="s">
        <v>12620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12976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12283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12741</v>
      </c>
      <c r="B3507" t="s">
        <v>12648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13738</v>
      </c>
      <c r="B3515" t="s">
        <v>13739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13740</v>
      </c>
      <c r="K3515" t="s">
        <v>12976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12976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12099</v>
      </c>
      <c r="B3552" t="s">
        <v>12087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13016</v>
      </c>
      <c r="B3561" t="s">
        <v>12957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12500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13741</v>
      </c>
      <c r="B3566" t="s">
        <v>13742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13035</v>
      </c>
      <c r="Q3566" t="s">
        <v>12506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13743</v>
      </c>
      <c r="B3568" t="s">
        <v>13744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12156</v>
      </c>
      <c r="B3570" t="s">
        <v>12157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13745</v>
      </c>
      <c r="B3577" t="s">
        <v>13746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13291</v>
      </c>
      <c r="B3587" t="s">
        <v>13292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12730</v>
      </c>
      <c r="B3591" t="s">
        <v>12637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12714</v>
      </c>
      <c r="B3600" t="s">
        <v>12621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13293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12158</v>
      </c>
      <c r="B3608" t="s">
        <v>12159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12318</v>
      </c>
      <c r="B3611" t="s">
        <v>12160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13747</v>
      </c>
      <c r="B3614" t="s">
        <v>13748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13472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12688</v>
      </c>
      <c r="B3627" t="s">
        <v>12595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12689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12472</v>
      </c>
      <c r="B3633" t="s">
        <v>12471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13294</v>
      </c>
      <c r="B3638" t="s">
        <v>13295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13296</v>
      </c>
      <c r="B3643" t="s">
        <v>13297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12996</v>
      </c>
      <c r="B3653" t="s">
        <v>12935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13006</v>
      </c>
      <c r="B3654" t="s">
        <v>12945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12205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13298</v>
      </c>
      <c r="B3655" t="s">
        <v>13299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13300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13017</v>
      </c>
      <c r="B3662" t="s">
        <v>12958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12287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13301</v>
      </c>
      <c r="B3677" t="s">
        <v>13302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13303</v>
      </c>
      <c r="B3696" t="s">
        <v>13304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12976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13303</v>
      </c>
      <c r="B3697" t="s">
        <v>13305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12976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12161</v>
      </c>
      <c r="B3711" t="s">
        <v>12162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12976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12319</v>
      </c>
      <c r="B3749" t="s">
        <v>12320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12210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12975</v>
      </c>
      <c r="B3751" t="s">
        <v>12914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13749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13018</v>
      </c>
      <c r="B3781" t="s">
        <v>12959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12774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12976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12094</v>
      </c>
      <c r="B3805" t="s">
        <v>12093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12715</v>
      </c>
      <c r="B3807" t="s">
        <v>12622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12976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13750</v>
      </c>
      <c r="B3810" t="s">
        <v>13751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12565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12163</v>
      </c>
      <c r="B3819" t="s">
        <v>12164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13127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12405</v>
      </c>
      <c r="B3826" t="s">
        <v>12406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13306</v>
      </c>
      <c r="B3827" t="s">
        <v>13307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13308</v>
      </c>
      <c r="B3828" t="s">
        <v>13309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13040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12690</v>
      </c>
      <c r="B3842" t="s">
        <v>12596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12753</v>
      </c>
      <c r="B3868" t="s">
        <v>12661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12976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12407</v>
      </c>
      <c r="B3888" t="s">
        <v>12408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13752</v>
      </c>
      <c r="B3892" t="s">
        <v>13753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12203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13310</v>
      </c>
      <c r="B3901" t="s">
        <v>12410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12321</v>
      </c>
      <c r="B3904" t="s">
        <v>12322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12308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13754</v>
      </c>
      <c r="B3909" t="s">
        <v>13755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12731</v>
      </c>
      <c r="B3918" t="s">
        <v>12638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13311</v>
      </c>
      <c r="B3924" t="s">
        <v>13312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12267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12716</v>
      </c>
      <c r="B3932" t="s">
        <v>12623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12500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13756</v>
      </c>
      <c r="B3934" t="s">
        <v>13757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12411</v>
      </c>
      <c r="B3940" t="s">
        <v>12412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12267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12742</v>
      </c>
      <c r="B3941" t="s">
        <v>12649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12267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12997</v>
      </c>
      <c r="B3963" t="s">
        <v>12936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13313</v>
      </c>
      <c r="B3970" t="s">
        <v>13314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12323</v>
      </c>
      <c r="B3989" t="s">
        <v>12324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12323</v>
      </c>
      <c r="B3990" t="s">
        <v>12325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12323</v>
      </c>
      <c r="B3991" t="s">
        <v>12326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13036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12775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13648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13315</v>
      </c>
      <c r="B4002" t="s">
        <v>13316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13317</v>
      </c>
      <c r="B4003" t="s">
        <v>13318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12691</v>
      </c>
      <c r="B4008" t="s">
        <v>12597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13040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12976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12762</v>
      </c>
      <c r="B4041" t="s">
        <v>12665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13319</v>
      </c>
      <c r="B4062" t="s">
        <v>13320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13321</v>
      </c>
      <c r="B4104" t="s">
        <v>13322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12565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13758</v>
      </c>
      <c r="B4119" t="s">
        <v>13759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13472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12743</v>
      </c>
      <c r="B4132" t="s">
        <v>12650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12165</v>
      </c>
      <c r="B4134" t="s">
        <v>12166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12976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13037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12763</v>
      </c>
      <c r="B4154" t="s">
        <v>12666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12976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13323</v>
      </c>
      <c r="B4162" t="s">
        <v>13324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13325</v>
      </c>
      <c r="B4180" t="s">
        <v>13074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13760</v>
      </c>
      <c r="B4196" t="s">
        <v>12946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12207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12764</v>
      </c>
      <c r="B4208" t="s">
        <v>12444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13019</v>
      </c>
      <c r="B4223" t="s">
        <v>12960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13326</v>
      </c>
      <c r="B4224" t="s">
        <v>12949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12976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13761</v>
      </c>
      <c r="B4231" t="s">
        <v>13762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12976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12283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12167</v>
      </c>
      <c r="B4238" t="s">
        <v>12168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12717</v>
      </c>
      <c r="B4243" t="s">
        <v>12624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12287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12765</v>
      </c>
      <c r="B4251" t="s">
        <v>12667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12976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12718</v>
      </c>
      <c r="B4256" t="s">
        <v>12625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12976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12283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13327</v>
      </c>
      <c r="B4258" t="s">
        <v>13328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13329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12744</v>
      </c>
      <c r="B4262" t="s">
        <v>12651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13330</v>
      </c>
      <c r="B4263" t="s">
        <v>13331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13028</v>
      </c>
      <c r="B4276" t="s">
        <v>12968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12105</v>
      </c>
      <c r="B4279" t="s">
        <v>12104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13763</v>
      </c>
      <c r="B4284" t="s">
        <v>13764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12413</v>
      </c>
      <c r="B4289" t="s">
        <v>12414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12976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12415</v>
      </c>
      <c r="B4323" t="s">
        <v>12416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12122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13332</v>
      </c>
      <c r="B4331" t="s">
        <v>13070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13333</v>
      </c>
      <c r="B4349" t="s">
        <v>13334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13335</v>
      </c>
      <c r="B4355" t="s">
        <v>13336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12565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12771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12732</v>
      </c>
      <c r="B4372" t="s">
        <v>12639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13337</v>
      </c>
      <c r="B4374" t="s">
        <v>13338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12733</v>
      </c>
      <c r="B4385" t="s">
        <v>12640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13020</v>
      </c>
      <c r="B4390" t="s">
        <v>12961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12264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13021</v>
      </c>
      <c r="Q4390" t="s">
        <v>12265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13339</v>
      </c>
      <c r="B4404" t="s">
        <v>13340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12821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12327</v>
      </c>
      <c r="B4420" t="s">
        <v>12328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12075</v>
      </c>
      <c r="B4421" t="s">
        <v>12074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13765</v>
      </c>
      <c r="B4430" t="s">
        <v>13766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12236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13767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13022</v>
      </c>
      <c r="B4434" t="s">
        <v>12962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12506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12692</v>
      </c>
      <c r="B4440" t="s">
        <v>12598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13341</v>
      </c>
      <c r="B4450" t="s">
        <v>13342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13768</v>
      </c>
      <c r="B4456" t="s">
        <v>13769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13343</v>
      </c>
      <c r="B4463" t="s">
        <v>13344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13770</v>
      </c>
      <c r="B4488" t="s">
        <v>13771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12275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12778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12976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12976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12693</v>
      </c>
      <c r="B4552" t="s">
        <v>12599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12329</v>
      </c>
      <c r="B4553" t="s">
        <v>12330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12331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12976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13772</v>
      </c>
      <c r="B4564" t="s">
        <v>13773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12770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12478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12417</v>
      </c>
      <c r="B4567" t="s">
        <v>12418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12719</v>
      </c>
      <c r="B4578" t="s">
        <v>12626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13007</v>
      </c>
      <c r="B4582" t="s">
        <v>12947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12976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12287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12169</v>
      </c>
      <c r="B4626" t="s">
        <v>12170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12122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13345</v>
      </c>
      <c r="B4629" t="s">
        <v>13346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12496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13774</v>
      </c>
      <c r="B4652" t="s">
        <v>13775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12976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13029</v>
      </c>
      <c r="B4658" t="s">
        <v>12969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12976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12419</v>
      </c>
      <c r="B4688" t="s">
        <v>12420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12998</v>
      </c>
      <c r="B4691" t="s">
        <v>12937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12332</v>
      </c>
      <c r="B4694" t="s">
        <v>12333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12999</v>
      </c>
      <c r="B4698" t="s">
        <v>12938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12171</v>
      </c>
      <c r="B4718" t="s">
        <v>12085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12334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13347</v>
      </c>
      <c r="B4760" t="s">
        <v>13348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13349</v>
      </c>
      <c r="B4764" t="s">
        <v>13350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12335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12720</v>
      </c>
      <c r="B4781" t="s">
        <v>12627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13351</v>
      </c>
      <c r="B4786" t="s">
        <v>13352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12172</v>
      </c>
      <c r="B4795" t="s">
        <v>12173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13008</v>
      </c>
      <c r="B4833" t="s">
        <v>12948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12205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12976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13353</v>
      </c>
      <c r="B4858" t="s">
        <v>13354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12565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12694</v>
      </c>
      <c r="B4860" t="s">
        <v>12600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13776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12694</v>
      </c>
      <c r="B4861" t="s">
        <v>12601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12695</v>
      </c>
      <c r="B4863" t="s">
        <v>12602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12976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12754</v>
      </c>
      <c r="B4873" t="s">
        <v>12662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13355</v>
      </c>
      <c r="B4876" t="s">
        <v>13356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12976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13357</v>
      </c>
      <c r="B4898" t="s">
        <v>13358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12776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12777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13030</v>
      </c>
      <c r="B4933" t="s">
        <v>12970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13359</v>
      </c>
      <c r="B4953" t="s">
        <v>13360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12696</v>
      </c>
      <c r="B4968" t="s">
        <v>12603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13035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12734</v>
      </c>
      <c r="B4986" t="s">
        <v>12641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12976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13031</v>
      </c>
      <c r="B4995" t="s">
        <v>12971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12976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12242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13032</v>
      </c>
      <c r="B4997" t="s">
        <v>12972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12976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12242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13361</v>
      </c>
      <c r="B5011" t="s">
        <v>13362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12735</v>
      </c>
      <c r="B5013" t="s">
        <v>12642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12697</v>
      </c>
      <c r="B5015" t="s">
        <v>12604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12421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12721</v>
      </c>
      <c r="B5030" t="s">
        <v>12628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12336</v>
      </c>
      <c r="B5036" t="s">
        <v>12337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12976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12976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13777</v>
      </c>
      <c r="B5047" t="s">
        <v>13778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13363</v>
      </c>
      <c r="B5059" t="s">
        <v>12915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12976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13364</v>
      </c>
      <c r="B5063" t="s">
        <v>13365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13779</v>
      </c>
      <c r="B5078" t="s">
        <v>13780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13366</v>
      </c>
      <c r="B5088" t="s">
        <v>13367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12976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12977</v>
      </c>
      <c r="B5090" t="s">
        <v>12916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13648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13000</v>
      </c>
      <c r="B5108" t="s">
        <v>12939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13035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13781</v>
      </c>
      <c r="B5119" t="s">
        <v>13782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12769</v>
      </c>
      <c r="B5121" t="s">
        <v>12669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12698</v>
      </c>
      <c r="B5150" t="s">
        <v>12605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13783</v>
      </c>
      <c r="B5167" t="s">
        <v>13784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12205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13009</v>
      </c>
      <c r="B5178" t="s">
        <v>12950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12422</v>
      </c>
      <c r="B5184" t="s">
        <v>12423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12174</v>
      </c>
      <c r="B5185" t="s">
        <v>12175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13785</v>
      </c>
      <c r="B5186" t="s">
        <v>13786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12976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12338</v>
      </c>
      <c r="B5191" t="s">
        <v>12339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12308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13787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12424</v>
      </c>
      <c r="B5230" t="s">
        <v>12425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12770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12815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13033</v>
      </c>
      <c r="B5244" t="s">
        <v>12973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13788</v>
      </c>
      <c r="B5247" t="s">
        <v>13789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12176</v>
      </c>
      <c r="B5253" t="s">
        <v>12177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12123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13001</v>
      </c>
      <c r="B5262" t="s">
        <v>12940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12506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13368</v>
      </c>
      <c r="B5268" t="s">
        <v>13369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12821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12178</v>
      </c>
      <c r="B5278" t="s">
        <v>12179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13790</v>
      </c>
      <c r="B5293" t="s">
        <v>13791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13034</v>
      </c>
      <c r="B5313" t="s">
        <v>12974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12722</v>
      </c>
      <c r="B5323" t="s">
        <v>12629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12699</v>
      </c>
      <c r="B5335" t="s">
        <v>12606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13792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12723</v>
      </c>
      <c r="B5345" t="s">
        <v>12630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13370</v>
      </c>
      <c r="B5352" t="s">
        <v>13371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12700</v>
      </c>
      <c r="B5355" t="s">
        <v>12607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12426</v>
      </c>
      <c r="B5361" t="s">
        <v>12427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12701</v>
      </c>
      <c r="B5377" t="s">
        <v>12608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13281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13372</v>
      </c>
      <c r="B5384" t="s">
        <v>13373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12180</v>
      </c>
      <c r="B5386" t="s">
        <v>12114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12181</v>
      </c>
      <c r="B5403" t="s">
        <v>12182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13793</v>
      </c>
      <c r="B5409" t="s">
        <v>13794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12976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12283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12976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13795</v>
      </c>
      <c r="B5418" t="s">
        <v>13796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12340</v>
      </c>
      <c r="B5426" t="s">
        <v>12341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12976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12724</v>
      </c>
      <c r="B5440" t="s">
        <v>12631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12428</v>
      </c>
      <c r="B5442" t="s">
        <v>12429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13374</v>
      </c>
      <c r="B5444" t="s">
        <v>13375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12766</v>
      </c>
      <c r="B5445" t="s">
        <v>12446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12122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12342</v>
      </c>
      <c r="B5447" t="s">
        <v>12343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12702</v>
      </c>
      <c r="B5450" t="s">
        <v>12609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13035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13767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workbookViewId="0">
      <selection activeCell="A234" sqref="A234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43" t="s">
        <v>2221</v>
      </c>
      <c r="B1" s="43" t="s">
        <v>2222</v>
      </c>
      <c r="C1" s="43" t="s">
        <v>2223</v>
      </c>
      <c r="D1" s="44" t="s">
        <v>2224</v>
      </c>
      <c r="E1" s="43" t="s">
        <v>13887</v>
      </c>
      <c r="F1" s="43" t="s">
        <v>13888</v>
      </c>
    </row>
    <row r="2" spans="1:6" x14ac:dyDescent="0.25">
      <c r="A2" s="19">
        <v>1</v>
      </c>
      <c r="B2" s="19" t="s">
        <v>2225</v>
      </c>
      <c r="C2" s="19" t="s">
        <v>2226</v>
      </c>
      <c r="D2" s="45">
        <v>1</v>
      </c>
      <c r="E2" s="19"/>
      <c r="F2" s="19"/>
    </row>
    <row r="3" spans="1:6" x14ac:dyDescent="0.25">
      <c r="A3" s="19">
        <v>2</v>
      </c>
      <c r="B3" s="19" t="s">
        <v>2227</v>
      </c>
      <c r="C3" s="19" t="s">
        <v>2228</v>
      </c>
      <c r="D3" s="45">
        <v>0</v>
      </c>
      <c r="E3" s="19"/>
      <c r="F3" s="19"/>
    </row>
    <row r="4" spans="1:6" x14ac:dyDescent="0.25">
      <c r="A4" s="19">
        <v>3</v>
      </c>
      <c r="B4" s="19" t="s">
        <v>2229</v>
      </c>
      <c r="C4" s="19" t="s">
        <v>2232</v>
      </c>
      <c r="D4" s="45">
        <v>1</v>
      </c>
      <c r="E4" s="19"/>
      <c r="F4" s="19"/>
    </row>
    <row r="5" spans="1:6" x14ac:dyDescent="0.25">
      <c r="A5" s="19">
        <v>18</v>
      </c>
      <c r="B5" s="19" t="s">
        <v>2233</v>
      </c>
      <c r="C5" s="19" t="s">
        <v>2234</v>
      </c>
      <c r="D5" s="45">
        <v>0</v>
      </c>
      <c r="E5" s="19"/>
      <c r="F5" s="19"/>
    </row>
    <row r="6" spans="1:6" x14ac:dyDescent="0.25">
      <c r="A6" s="19">
        <v>19</v>
      </c>
      <c r="B6" s="19" t="s">
        <v>2235</v>
      </c>
      <c r="C6" s="19" t="s">
        <v>2236</v>
      </c>
      <c r="D6" s="45">
        <v>1</v>
      </c>
      <c r="E6" s="19"/>
      <c r="F6" s="19"/>
    </row>
    <row r="7" spans="1:6" x14ac:dyDescent="0.25">
      <c r="A7" s="19">
        <v>20</v>
      </c>
      <c r="B7" s="19" t="s">
        <v>2237</v>
      </c>
      <c r="C7" s="19" t="s">
        <v>2239</v>
      </c>
      <c r="D7" s="45">
        <v>1</v>
      </c>
      <c r="E7" s="19"/>
      <c r="F7" s="19"/>
    </row>
    <row r="8" spans="1:6" x14ac:dyDescent="0.25">
      <c r="A8" s="19">
        <v>879</v>
      </c>
      <c r="B8" s="19" t="s">
        <v>12119</v>
      </c>
      <c r="C8" s="19" t="s">
        <v>2240</v>
      </c>
      <c r="D8" s="45">
        <v>0</v>
      </c>
      <c r="E8" s="19"/>
      <c r="F8" s="19"/>
    </row>
    <row r="9" spans="1:6" x14ac:dyDescent="0.25">
      <c r="A9" s="19">
        <v>22</v>
      </c>
      <c r="B9" s="19" t="s">
        <v>2241</v>
      </c>
      <c r="C9" s="19" t="s">
        <v>2242</v>
      </c>
      <c r="D9" s="45">
        <v>1</v>
      </c>
      <c r="E9" s="19"/>
      <c r="F9" s="19"/>
    </row>
    <row r="10" spans="1:6" x14ac:dyDescent="0.25">
      <c r="A10" s="19">
        <v>23</v>
      </c>
      <c r="B10" s="19" t="s">
        <v>2243</v>
      </c>
      <c r="C10" s="19" t="s">
        <v>2244</v>
      </c>
      <c r="D10" s="45">
        <v>3</v>
      </c>
      <c r="E10" s="19"/>
      <c r="F10" s="19"/>
    </row>
    <row r="11" spans="1:6" x14ac:dyDescent="0.25">
      <c r="A11" s="19">
        <v>24</v>
      </c>
      <c r="B11" s="19" t="s">
        <v>2245</v>
      </c>
      <c r="C11" s="19" t="s">
        <v>2246</v>
      </c>
      <c r="D11" s="45">
        <v>0</v>
      </c>
      <c r="E11" s="19"/>
      <c r="F11" s="19"/>
    </row>
    <row r="12" spans="1:6" x14ac:dyDescent="0.25">
      <c r="A12" s="19">
        <v>26</v>
      </c>
      <c r="B12" s="19" t="s">
        <v>2247</v>
      </c>
      <c r="C12" s="19" t="s">
        <v>2248</v>
      </c>
      <c r="D12" s="45">
        <v>1</v>
      </c>
      <c r="E12" s="19" t="s">
        <v>6</v>
      </c>
      <c r="F12" s="19"/>
    </row>
    <row r="13" spans="1:6" x14ac:dyDescent="0.25">
      <c r="A13" s="19">
        <v>27</v>
      </c>
      <c r="B13" s="19" t="s">
        <v>2249</v>
      </c>
      <c r="C13" s="19" t="s">
        <v>2250</v>
      </c>
      <c r="D13" s="45">
        <v>6</v>
      </c>
      <c r="E13" s="19"/>
      <c r="F13" s="19"/>
    </row>
    <row r="14" spans="1:6" x14ac:dyDescent="0.25">
      <c r="A14" s="19">
        <v>28</v>
      </c>
      <c r="B14" s="19" t="s">
        <v>2251</v>
      </c>
      <c r="C14" s="19" t="s">
        <v>2252</v>
      </c>
      <c r="D14" s="45">
        <v>1</v>
      </c>
      <c r="E14" s="19"/>
      <c r="F14" s="19"/>
    </row>
    <row r="15" spans="1:6" x14ac:dyDescent="0.25">
      <c r="A15" s="19">
        <v>29</v>
      </c>
      <c r="B15" s="19" t="s">
        <v>2253</v>
      </c>
      <c r="C15" s="19" t="s">
        <v>2254</v>
      </c>
      <c r="D15" s="45">
        <v>6</v>
      </c>
      <c r="E15" s="19" t="s">
        <v>6</v>
      </c>
      <c r="F15" s="19"/>
    </row>
    <row r="16" spans="1:6" x14ac:dyDescent="0.25">
      <c r="A16" s="19">
        <v>30</v>
      </c>
      <c r="B16" s="19" t="s">
        <v>2255</v>
      </c>
      <c r="C16" s="19" t="s">
        <v>2256</v>
      </c>
      <c r="D16" s="45">
        <v>9</v>
      </c>
      <c r="E16" s="19" t="s">
        <v>6</v>
      </c>
      <c r="F16" s="19"/>
    </row>
    <row r="17" spans="1:6" x14ac:dyDescent="0.25">
      <c r="A17" s="19">
        <v>31</v>
      </c>
      <c r="B17" s="19" t="s">
        <v>2257</v>
      </c>
      <c r="C17" s="19" t="s">
        <v>2258</v>
      </c>
      <c r="D17" s="45">
        <v>1</v>
      </c>
      <c r="E17" s="19"/>
      <c r="F17" s="19"/>
    </row>
    <row r="18" spans="1:6" x14ac:dyDescent="0.25">
      <c r="A18" s="19">
        <v>32</v>
      </c>
      <c r="B18" s="19" t="s">
        <v>2259</v>
      </c>
      <c r="C18" s="19" t="s">
        <v>2260</v>
      </c>
      <c r="D18" s="45">
        <v>1</v>
      </c>
      <c r="E18" s="19"/>
      <c r="F18" s="19"/>
    </row>
    <row r="19" spans="1:6" x14ac:dyDescent="0.25">
      <c r="A19" s="19">
        <v>33</v>
      </c>
      <c r="B19" s="19" t="s">
        <v>2261</v>
      </c>
      <c r="C19" s="19" t="s">
        <v>2262</v>
      </c>
      <c r="D19" s="45">
        <v>1</v>
      </c>
      <c r="E19" s="19"/>
      <c r="F19" s="19"/>
    </row>
    <row r="20" spans="1:6" x14ac:dyDescent="0.25">
      <c r="A20" s="19">
        <v>34</v>
      </c>
      <c r="B20" s="19" t="s">
        <v>2263</v>
      </c>
      <c r="C20" s="19" t="s">
        <v>2264</v>
      </c>
      <c r="D20" s="45">
        <v>3</v>
      </c>
      <c r="E20" s="19"/>
      <c r="F20" s="19"/>
    </row>
    <row r="21" spans="1:6" x14ac:dyDescent="0.25">
      <c r="A21" s="19">
        <v>35</v>
      </c>
      <c r="B21" s="19" t="s">
        <v>2265</v>
      </c>
      <c r="C21" s="19" t="s">
        <v>2266</v>
      </c>
      <c r="D21" s="45">
        <v>1</v>
      </c>
      <c r="E21" s="19"/>
      <c r="F21" s="19"/>
    </row>
    <row r="22" spans="1:6" x14ac:dyDescent="0.25">
      <c r="A22" s="19">
        <v>36</v>
      </c>
      <c r="B22" s="19" t="s">
        <v>2267</v>
      </c>
      <c r="C22" s="19" t="s">
        <v>2268</v>
      </c>
      <c r="D22" s="45">
        <v>1</v>
      </c>
      <c r="E22" s="19"/>
      <c r="F22" s="19"/>
    </row>
    <row r="23" spans="1:6" x14ac:dyDescent="0.25">
      <c r="A23" s="19">
        <v>37</v>
      </c>
      <c r="B23" s="19" t="s">
        <v>2269</v>
      </c>
      <c r="C23" s="19" t="s">
        <v>2270</v>
      </c>
      <c r="D23" s="45">
        <v>6</v>
      </c>
      <c r="E23" s="19"/>
      <c r="F23" s="19"/>
    </row>
    <row r="24" spans="1:6" x14ac:dyDescent="0.25">
      <c r="A24" s="19">
        <v>38</v>
      </c>
      <c r="B24" s="19" t="s">
        <v>2271</v>
      </c>
      <c r="C24" s="19" t="s">
        <v>2272</v>
      </c>
      <c r="D24" s="45">
        <v>1</v>
      </c>
      <c r="E24" s="19"/>
      <c r="F24" s="19"/>
    </row>
    <row r="25" spans="1:6" x14ac:dyDescent="0.25">
      <c r="A25" s="19">
        <v>39</v>
      </c>
      <c r="B25" s="19" t="s">
        <v>2273</v>
      </c>
      <c r="C25" s="19" t="s">
        <v>2274</v>
      </c>
      <c r="D25" s="45">
        <v>0</v>
      </c>
      <c r="E25" s="19"/>
      <c r="F25" s="19"/>
    </row>
    <row r="26" spans="1:6" x14ac:dyDescent="0.25">
      <c r="A26" s="19">
        <v>40</v>
      </c>
      <c r="B26" s="19" t="s">
        <v>2275</v>
      </c>
      <c r="C26" s="19" t="s">
        <v>2276</v>
      </c>
      <c r="D26" s="45">
        <v>6</v>
      </c>
      <c r="E26" s="19"/>
      <c r="F26" s="19"/>
    </row>
    <row r="27" spans="1:6" x14ac:dyDescent="0.25">
      <c r="A27" s="19">
        <v>41</v>
      </c>
      <c r="B27" s="19" t="s">
        <v>2277</v>
      </c>
      <c r="C27" s="19" t="s">
        <v>2278</v>
      </c>
      <c r="D27" s="45">
        <v>4</v>
      </c>
      <c r="E27" s="19"/>
      <c r="F27" s="19"/>
    </row>
    <row r="28" spans="1:6" x14ac:dyDescent="0.25">
      <c r="A28" s="19">
        <v>42</v>
      </c>
      <c r="B28" s="19" t="s">
        <v>2279</v>
      </c>
      <c r="C28" s="19" t="s">
        <v>2280</v>
      </c>
      <c r="D28" s="45">
        <v>1</v>
      </c>
      <c r="E28" s="19"/>
      <c r="F28" s="19"/>
    </row>
    <row r="29" spans="1:6" x14ac:dyDescent="0.25">
      <c r="A29" s="19">
        <v>43</v>
      </c>
      <c r="B29" s="19" t="s">
        <v>2281</v>
      </c>
      <c r="C29" s="19" t="s">
        <v>2282</v>
      </c>
      <c r="D29" s="45">
        <v>0</v>
      </c>
      <c r="E29" s="19"/>
      <c r="F29" s="19"/>
    </row>
    <row r="30" spans="1:6" x14ac:dyDescent="0.25">
      <c r="A30" s="19">
        <v>44</v>
      </c>
      <c r="B30" s="19" t="s">
        <v>2283</v>
      </c>
      <c r="C30" s="19" t="s">
        <v>2284</v>
      </c>
      <c r="D30" s="45">
        <v>1</v>
      </c>
      <c r="E30" s="19"/>
      <c r="F30" s="19"/>
    </row>
    <row r="31" spans="1:6" x14ac:dyDescent="0.25">
      <c r="A31" s="19">
        <v>45</v>
      </c>
      <c r="B31" s="19" t="s">
        <v>2285</v>
      </c>
      <c r="C31" s="19" t="s">
        <v>2286</v>
      </c>
      <c r="D31" s="45">
        <v>1</v>
      </c>
      <c r="E31" s="19"/>
      <c r="F31" s="19"/>
    </row>
    <row r="32" spans="1:6" x14ac:dyDescent="0.25">
      <c r="A32" s="19">
        <v>46</v>
      </c>
      <c r="B32" s="19" t="s">
        <v>2287</v>
      </c>
      <c r="C32" s="19" t="s">
        <v>2288</v>
      </c>
      <c r="D32" s="45">
        <v>1</v>
      </c>
      <c r="E32" s="19"/>
      <c r="F32" s="19"/>
    </row>
    <row r="33" spans="1:6" x14ac:dyDescent="0.25">
      <c r="A33" s="19">
        <v>47</v>
      </c>
      <c r="B33" s="19" t="s">
        <v>2289</v>
      </c>
      <c r="C33" s="19" t="s">
        <v>2290</v>
      </c>
      <c r="D33" s="45">
        <v>1</v>
      </c>
      <c r="E33" s="19"/>
      <c r="F33" s="19"/>
    </row>
    <row r="34" spans="1:6" x14ac:dyDescent="0.25">
      <c r="A34" s="19">
        <v>49</v>
      </c>
      <c r="B34" s="19" t="s">
        <v>2291</v>
      </c>
      <c r="C34" s="19" t="s">
        <v>2292</v>
      </c>
      <c r="D34" s="45">
        <v>1</v>
      </c>
      <c r="E34" s="19"/>
      <c r="F34" s="19"/>
    </row>
    <row r="35" spans="1:6" x14ac:dyDescent="0.25">
      <c r="A35" s="19">
        <v>50</v>
      </c>
      <c r="B35" s="19" t="s">
        <v>2293</v>
      </c>
      <c r="C35" s="19" t="s">
        <v>2294</v>
      </c>
      <c r="D35" s="45">
        <v>1</v>
      </c>
      <c r="E35" s="19"/>
      <c r="F35" s="19"/>
    </row>
    <row r="36" spans="1:6" x14ac:dyDescent="0.25">
      <c r="A36" s="19">
        <v>51</v>
      </c>
      <c r="B36" s="19" t="s">
        <v>2295</v>
      </c>
      <c r="C36" s="19" t="s">
        <v>2296</v>
      </c>
      <c r="D36" s="45">
        <v>1</v>
      </c>
      <c r="E36" s="19"/>
      <c r="F36" s="19"/>
    </row>
    <row r="37" spans="1:6" x14ac:dyDescent="0.25">
      <c r="A37" s="19">
        <v>52</v>
      </c>
      <c r="B37" s="19" t="s">
        <v>2297</v>
      </c>
      <c r="C37" s="19" t="s">
        <v>2298</v>
      </c>
      <c r="D37" s="45">
        <v>1</v>
      </c>
      <c r="E37" s="19"/>
      <c r="F37" s="19"/>
    </row>
    <row r="38" spans="1:6" x14ac:dyDescent="0.25">
      <c r="A38" s="19">
        <v>53</v>
      </c>
      <c r="B38" s="19" t="s">
        <v>2299</v>
      </c>
      <c r="C38" s="19" t="s">
        <v>2300</v>
      </c>
      <c r="D38" s="45">
        <v>1</v>
      </c>
      <c r="E38" s="19"/>
      <c r="F38" s="19"/>
    </row>
    <row r="39" spans="1:6" x14ac:dyDescent="0.25">
      <c r="A39" s="19">
        <v>54</v>
      </c>
      <c r="B39" s="19" t="s">
        <v>2301</v>
      </c>
      <c r="C39" s="19" t="s">
        <v>2302</v>
      </c>
      <c r="D39" s="45">
        <v>1</v>
      </c>
      <c r="E39" s="19"/>
      <c r="F39" s="19"/>
    </row>
    <row r="40" spans="1:6" x14ac:dyDescent="0.25">
      <c r="A40" s="19">
        <v>55</v>
      </c>
      <c r="B40" s="19" t="s">
        <v>2303</v>
      </c>
      <c r="C40" s="19" t="s">
        <v>2304</v>
      </c>
      <c r="D40" s="45">
        <v>1</v>
      </c>
      <c r="E40" s="19"/>
      <c r="F40" s="19"/>
    </row>
    <row r="41" spans="1:6" x14ac:dyDescent="0.25">
      <c r="A41" s="19">
        <v>56</v>
      </c>
      <c r="B41" s="19" t="s">
        <v>2305</v>
      </c>
      <c r="C41" s="19" t="s">
        <v>2306</v>
      </c>
      <c r="D41" s="45">
        <v>1</v>
      </c>
      <c r="E41" s="19"/>
      <c r="F41" s="19"/>
    </row>
    <row r="42" spans="1:6" x14ac:dyDescent="0.25">
      <c r="A42" s="19">
        <v>57</v>
      </c>
      <c r="B42" s="19" t="s">
        <v>2307</v>
      </c>
      <c r="C42" s="19" t="s">
        <v>2308</v>
      </c>
      <c r="D42" s="45">
        <v>6</v>
      </c>
      <c r="E42" s="19"/>
      <c r="F42" s="19"/>
    </row>
    <row r="43" spans="1:6" x14ac:dyDescent="0.25">
      <c r="A43" s="19">
        <v>58</v>
      </c>
      <c r="B43" s="19" t="s">
        <v>2309</v>
      </c>
      <c r="C43" s="19" t="s">
        <v>2310</v>
      </c>
      <c r="D43" s="45">
        <v>1</v>
      </c>
      <c r="E43" s="19"/>
      <c r="F43" s="19"/>
    </row>
    <row r="44" spans="1:6" x14ac:dyDescent="0.25">
      <c r="A44" s="19">
        <v>59</v>
      </c>
      <c r="B44" s="19" t="s">
        <v>2311</v>
      </c>
      <c r="C44" s="19" t="s">
        <v>2312</v>
      </c>
      <c r="D44" s="45">
        <v>6</v>
      </c>
      <c r="E44" s="19"/>
      <c r="F44" s="19"/>
    </row>
    <row r="45" spans="1:6" x14ac:dyDescent="0.25">
      <c r="A45" s="19">
        <v>61</v>
      </c>
      <c r="B45" s="19" t="s">
        <v>2313</v>
      </c>
      <c r="C45" s="19" t="s">
        <v>2314</v>
      </c>
      <c r="D45" s="45">
        <v>1</v>
      </c>
      <c r="E45" s="19"/>
      <c r="F45" s="19"/>
    </row>
    <row r="46" spans="1:6" x14ac:dyDescent="0.25">
      <c r="A46" s="19">
        <v>62</v>
      </c>
      <c r="B46" s="19" t="s">
        <v>2315</v>
      </c>
      <c r="C46" s="19" t="s">
        <v>2316</v>
      </c>
      <c r="D46" s="45">
        <v>1</v>
      </c>
      <c r="E46" s="19"/>
      <c r="F46" s="19"/>
    </row>
    <row r="47" spans="1:6" x14ac:dyDescent="0.25">
      <c r="A47" s="19">
        <v>63</v>
      </c>
      <c r="B47" s="19" t="s">
        <v>2317</v>
      </c>
      <c r="C47" s="19" t="s">
        <v>2318</v>
      </c>
      <c r="D47" s="45">
        <v>5</v>
      </c>
      <c r="E47" s="19"/>
      <c r="F47" s="19"/>
    </row>
    <row r="48" spans="1:6" x14ac:dyDescent="0.25">
      <c r="A48" s="19">
        <v>64</v>
      </c>
      <c r="B48" s="19" t="s">
        <v>2319</v>
      </c>
      <c r="C48" s="19" t="s">
        <v>2320</v>
      </c>
      <c r="D48" s="45">
        <v>1</v>
      </c>
      <c r="E48" s="19"/>
      <c r="F48" s="19"/>
    </row>
    <row r="49" spans="1:6" x14ac:dyDescent="0.25">
      <c r="A49" s="19">
        <v>65</v>
      </c>
      <c r="B49" s="19" t="s">
        <v>2321</v>
      </c>
      <c r="C49" s="19" t="s">
        <v>2322</v>
      </c>
      <c r="D49" s="45">
        <v>1</v>
      </c>
      <c r="E49" s="19"/>
      <c r="F49" s="19"/>
    </row>
    <row r="50" spans="1:6" x14ac:dyDescent="0.25">
      <c r="A50" s="19">
        <v>66</v>
      </c>
      <c r="B50" s="19" t="s">
        <v>2323</v>
      </c>
      <c r="C50" s="19" t="s">
        <v>2324</v>
      </c>
      <c r="D50" s="45">
        <v>9</v>
      </c>
      <c r="E50" s="19"/>
      <c r="F50" s="19"/>
    </row>
    <row r="51" spans="1:6" x14ac:dyDescent="0.25">
      <c r="A51" s="19">
        <v>67</v>
      </c>
      <c r="B51" s="19" t="s">
        <v>2325</v>
      </c>
      <c r="C51" s="19" t="s">
        <v>2326</v>
      </c>
      <c r="D51" s="45">
        <v>1</v>
      </c>
      <c r="E51" s="19"/>
      <c r="F51" s="19"/>
    </row>
    <row r="52" spans="1:6" x14ac:dyDescent="0.25">
      <c r="A52" s="19">
        <v>70</v>
      </c>
      <c r="B52" s="19" t="s">
        <v>2327</v>
      </c>
      <c r="C52" s="19" t="s">
        <v>2328</v>
      </c>
      <c r="D52" s="45">
        <v>9</v>
      </c>
      <c r="E52" s="19" t="s">
        <v>6</v>
      </c>
      <c r="F52" s="19"/>
    </row>
    <row r="53" spans="1:6" x14ac:dyDescent="0.25">
      <c r="A53" s="19">
        <v>71</v>
      </c>
      <c r="B53" s="19" t="s">
        <v>2329</v>
      </c>
      <c r="C53" s="19" t="s">
        <v>2330</v>
      </c>
      <c r="D53" s="45">
        <v>1</v>
      </c>
      <c r="E53" s="46" t="s">
        <v>6</v>
      </c>
      <c r="F53" s="19"/>
    </row>
    <row r="54" spans="1:6" x14ac:dyDescent="0.25">
      <c r="A54" s="19">
        <v>72</v>
      </c>
      <c r="B54" s="19" t="s">
        <v>2331</v>
      </c>
      <c r="C54" s="19" t="s">
        <v>2332</v>
      </c>
      <c r="D54" s="45">
        <v>1</v>
      </c>
      <c r="E54" s="19"/>
      <c r="F54" s="19"/>
    </row>
    <row r="55" spans="1:6" x14ac:dyDescent="0.25">
      <c r="A55" s="19">
        <v>73</v>
      </c>
      <c r="B55" s="19" t="s">
        <v>2333</v>
      </c>
      <c r="C55" s="19" t="s">
        <v>2334</v>
      </c>
      <c r="D55" s="45">
        <v>1</v>
      </c>
      <c r="E55" s="19"/>
      <c r="F55" s="19"/>
    </row>
    <row r="56" spans="1:6" x14ac:dyDescent="0.25">
      <c r="A56" s="19">
        <v>74</v>
      </c>
      <c r="B56" s="19" t="s">
        <v>2335</v>
      </c>
      <c r="C56" s="19" t="s">
        <v>2336</v>
      </c>
      <c r="D56" s="45">
        <v>1</v>
      </c>
      <c r="E56" s="19"/>
      <c r="F56" s="19"/>
    </row>
    <row r="57" spans="1:6" x14ac:dyDescent="0.25">
      <c r="A57" s="19">
        <v>75</v>
      </c>
      <c r="B57" s="19" t="s">
        <v>2337</v>
      </c>
      <c r="C57" s="19" t="s">
        <v>2338</v>
      </c>
      <c r="D57" s="45">
        <v>9</v>
      </c>
      <c r="E57" s="19"/>
      <c r="F57" s="19"/>
    </row>
    <row r="58" spans="1:6" x14ac:dyDescent="0.25">
      <c r="A58" s="19">
        <v>76</v>
      </c>
      <c r="B58" s="19" t="s">
        <v>2339</v>
      </c>
      <c r="C58" s="19" t="s">
        <v>2340</v>
      </c>
      <c r="D58" s="45">
        <v>1</v>
      </c>
      <c r="E58" s="19"/>
      <c r="F58" s="19"/>
    </row>
    <row r="59" spans="1:6" x14ac:dyDescent="0.25">
      <c r="A59" s="19">
        <v>77</v>
      </c>
      <c r="B59" s="19" t="s">
        <v>2341</v>
      </c>
      <c r="C59" s="19" t="s">
        <v>2342</v>
      </c>
      <c r="D59" s="45">
        <v>1</v>
      </c>
      <c r="E59" s="19"/>
      <c r="F59" s="19"/>
    </row>
    <row r="60" spans="1:6" x14ac:dyDescent="0.25">
      <c r="A60" s="19">
        <v>78</v>
      </c>
      <c r="B60" s="19" t="s">
        <v>2343</v>
      </c>
      <c r="C60" s="19" t="s">
        <v>2344</v>
      </c>
      <c r="D60" s="45">
        <v>9</v>
      </c>
      <c r="E60" s="19" t="s">
        <v>6</v>
      </c>
      <c r="F60" s="19"/>
    </row>
    <row r="61" spans="1:6" x14ac:dyDescent="0.25">
      <c r="A61" s="19">
        <v>79</v>
      </c>
      <c r="B61" s="19" t="s">
        <v>2345</v>
      </c>
      <c r="C61" s="19" t="s">
        <v>2346</v>
      </c>
      <c r="D61" s="45">
        <v>1</v>
      </c>
      <c r="E61" s="19"/>
      <c r="F61" s="19"/>
    </row>
    <row r="62" spans="1:6" x14ac:dyDescent="0.25">
      <c r="A62" s="19">
        <v>80</v>
      </c>
      <c r="B62" s="19" t="s">
        <v>2347</v>
      </c>
      <c r="C62" s="19" t="s">
        <v>751</v>
      </c>
      <c r="D62" s="45">
        <v>9</v>
      </c>
      <c r="E62" s="19" t="s">
        <v>6</v>
      </c>
      <c r="F62" s="19"/>
    </row>
    <row r="63" spans="1:6" x14ac:dyDescent="0.25">
      <c r="A63" s="19">
        <v>81</v>
      </c>
      <c r="B63" s="19" t="s">
        <v>2348</v>
      </c>
      <c r="C63" s="19" t="s">
        <v>2349</v>
      </c>
      <c r="D63" s="45">
        <v>9</v>
      </c>
      <c r="E63" s="19" t="s">
        <v>6</v>
      </c>
      <c r="F63" s="19"/>
    </row>
    <row r="64" spans="1:6" x14ac:dyDescent="0.25">
      <c r="A64" s="19">
        <v>82</v>
      </c>
      <c r="B64" s="19" t="s">
        <v>2350</v>
      </c>
      <c r="C64" s="19" t="s">
        <v>2351</v>
      </c>
      <c r="D64" s="45">
        <v>1</v>
      </c>
      <c r="E64" s="19"/>
      <c r="F64" s="19"/>
    </row>
    <row r="65" spans="1:6" x14ac:dyDescent="0.25">
      <c r="A65" s="19">
        <v>83</v>
      </c>
      <c r="B65" s="19" t="s">
        <v>2352</v>
      </c>
      <c r="C65" s="19" t="s">
        <v>2353</v>
      </c>
      <c r="D65" s="45">
        <v>1</v>
      </c>
      <c r="E65" s="19"/>
      <c r="F65" s="19"/>
    </row>
    <row r="66" spans="1:6" x14ac:dyDescent="0.25">
      <c r="A66" s="19">
        <v>84</v>
      </c>
      <c r="B66" s="19" t="s">
        <v>2354</v>
      </c>
      <c r="C66" s="19" t="s">
        <v>2355</v>
      </c>
      <c r="D66" s="45">
        <v>1</v>
      </c>
      <c r="E66" s="19"/>
      <c r="F66" s="19"/>
    </row>
    <row r="67" spans="1:6" x14ac:dyDescent="0.25">
      <c r="A67" s="19">
        <v>85</v>
      </c>
      <c r="B67" s="19" t="s">
        <v>2356</v>
      </c>
      <c r="C67" s="19" t="s">
        <v>2357</v>
      </c>
      <c r="D67" s="45">
        <v>15</v>
      </c>
      <c r="E67" s="19"/>
      <c r="F67" s="19"/>
    </row>
    <row r="68" spans="1:6" x14ac:dyDescent="0.25">
      <c r="A68" s="19">
        <v>86</v>
      </c>
      <c r="B68" s="19" t="s">
        <v>2358</v>
      </c>
      <c r="C68" s="19" t="s">
        <v>2359</v>
      </c>
      <c r="D68" s="45">
        <v>6</v>
      </c>
      <c r="E68" s="19"/>
      <c r="F68" s="19"/>
    </row>
    <row r="69" spans="1:6" x14ac:dyDescent="0.25">
      <c r="A69" s="19">
        <v>87</v>
      </c>
      <c r="B69" s="19" t="s">
        <v>2360</v>
      </c>
      <c r="C69" s="19" t="s">
        <v>2361</v>
      </c>
      <c r="D69" s="45">
        <v>1</v>
      </c>
      <c r="E69" s="19"/>
      <c r="F69" s="19"/>
    </row>
    <row r="70" spans="1:6" x14ac:dyDescent="0.25">
      <c r="A70" s="19">
        <v>88</v>
      </c>
      <c r="B70" s="19" t="s">
        <v>2362</v>
      </c>
      <c r="C70" s="19" t="s">
        <v>2363</v>
      </c>
      <c r="D70" s="45">
        <v>1</v>
      </c>
      <c r="E70" s="19"/>
      <c r="F70" s="19"/>
    </row>
    <row r="71" spans="1:6" x14ac:dyDescent="0.25">
      <c r="A71" s="19">
        <v>89</v>
      </c>
      <c r="B71" s="19" t="s">
        <v>2364</v>
      </c>
      <c r="C71" s="19" t="s">
        <v>2365</v>
      </c>
      <c r="D71" s="45">
        <v>1</v>
      </c>
      <c r="E71" s="19"/>
      <c r="F71" s="19"/>
    </row>
    <row r="72" spans="1:6" x14ac:dyDescent="0.25">
      <c r="A72" s="19">
        <v>90</v>
      </c>
      <c r="B72" s="19" t="s">
        <v>2366</v>
      </c>
      <c r="C72" s="19" t="s">
        <v>2367</v>
      </c>
      <c r="D72" s="45">
        <v>1</v>
      </c>
      <c r="E72" s="19" t="s">
        <v>6</v>
      </c>
      <c r="F72" s="19"/>
    </row>
    <row r="73" spans="1:6" x14ac:dyDescent="0.25">
      <c r="A73" s="19">
        <v>91</v>
      </c>
      <c r="B73" s="19" t="s">
        <v>2368</v>
      </c>
      <c r="C73" s="19" t="s">
        <v>2369</v>
      </c>
      <c r="D73" s="45">
        <v>1</v>
      </c>
      <c r="E73" s="19"/>
      <c r="F73" s="19"/>
    </row>
    <row r="74" spans="1:6" x14ac:dyDescent="0.25">
      <c r="A74" s="19">
        <v>92</v>
      </c>
      <c r="B74" s="19" t="s">
        <v>2370</v>
      </c>
      <c r="C74" s="19" t="s">
        <v>2371</v>
      </c>
      <c r="D74" s="45">
        <v>1</v>
      </c>
      <c r="E74" s="19"/>
      <c r="F74" s="19"/>
    </row>
    <row r="75" spans="1:6" x14ac:dyDescent="0.25">
      <c r="A75" s="19">
        <v>93</v>
      </c>
      <c r="B75" s="19" t="s">
        <v>2372</v>
      </c>
      <c r="C75" s="19" t="s">
        <v>2373</v>
      </c>
      <c r="D75" s="45">
        <v>1</v>
      </c>
      <c r="E75" s="19"/>
      <c r="F75" s="19"/>
    </row>
    <row r="76" spans="1:6" x14ac:dyDescent="0.25">
      <c r="A76" s="19">
        <v>94</v>
      </c>
      <c r="B76" s="19" t="s">
        <v>2374</v>
      </c>
      <c r="C76" s="19" t="s">
        <v>2375</v>
      </c>
      <c r="D76" s="45">
        <v>1</v>
      </c>
      <c r="E76" s="19"/>
      <c r="F76" s="19"/>
    </row>
    <row r="77" spans="1:6" x14ac:dyDescent="0.25">
      <c r="A77" s="19">
        <v>95</v>
      </c>
      <c r="B77" s="19" t="s">
        <v>2376</v>
      </c>
      <c r="C77" s="19" t="s">
        <v>2377</v>
      </c>
      <c r="D77" s="45">
        <v>1</v>
      </c>
      <c r="E77" s="19"/>
      <c r="F77" s="19"/>
    </row>
    <row r="78" spans="1:6" x14ac:dyDescent="0.25">
      <c r="A78" s="19">
        <v>96</v>
      </c>
      <c r="B78" s="19" t="s">
        <v>2378</v>
      </c>
      <c r="C78" s="19" t="s">
        <v>2379</v>
      </c>
      <c r="D78" s="45">
        <v>1</v>
      </c>
      <c r="E78" s="19"/>
      <c r="F78" s="19"/>
    </row>
    <row r="79" spans="1:6" x14ac:dyDescent="0.25">
      <c r="A79" s="19">
        <v>97</v>
      </c>
      <c r="B79" s="19" t="s">
        <v>2380</v>
      </c>
      <c r="C79" s="19" t="s">
        <v>2381</v>
      </c>
      <c r="D79" s="45">
        <v>1</v>
      </c>
      <c r="E79" s="19"/>
      <c r="F79" s="19"/>
    </row>
    <row r="80" spans="1:6" x14ac:dyDescent="0.25">
      <c r="A80" s="19">
        <v>98</v>
      </c>
      <c r="B80" s="19" t="s">
        <v>2382</v>
      </c>
      <c r="C80" s="19" t="s">
        <v>2383</v>
      </c>
      <c r="D80" s="45">
        <v>1</v>
      </c>
      <c r="E80" s="19"/>
      <c r="F80" s="19"/>
    </row>
    <row r="81" spans="1:6" x14ac:dyDescent="0.25">
      <c r="A81" s="19">
        <v>99</v>
      </c>
      <c r="B81" s="19" t="s">
        <v>2384</v>
      </c>
      <c r="C81" s="19" t="s">
        <v>2385</v>
      </c>
      <c r="D81" s="45">
        <v>1</v>
      </c>
      <c r="E81" s="19"/>
      <c r="F81" s="19"/>
    </row>
    <row r="82" spans="1:6" x14ac:dyDescent="0.25">
      <c r="A82" s="19">
        <v>100</v>
      </c>
      <c r="B82" s="19" t="s">
        <v>2386</v>
      </c>
      <c r="C82" s="19" t="s">
        <v>2387</v>
      </c>
      <c r="D82" s="45">
        <v>1</v>
      </c>
      <c r="E82" s="19"/>
      <c r="F82" s="19"/>
    </row>
    <row r="83" spans="1:6" x14ac:dyDescent="0.25">
      <c r="A83" s="19">
        <v>101</v>
      </c>
      <c r="B83" s="19" t="s">
        <v>2388</v>
      </c>
      <c r="C83" s="19" t="s">
        <v>2389</v>
      </c>
      <c r="D83" s="45">
        <v>1</v>
      </c>
      <c r="E83" s="19"/>
      <c r="F83" s="19"/>
    </row>
    <row r="84" spans="1:6" x14ac:dyDescent="0.25">
      <c r="A84" s="19">
        <v>102</v>
      </c>
      <c r="B84" s="19" t="s">
        <v>2390</v>
      </c>
      <c r="C84" s="19" t="s">
        <v>2391</v>
      </c>
      <c r="D84" s="45">
        <v>1</v>
      </c>
      <c r="E84" s="19"/>
      <c r="F84" s="19"/>
    </row>
    <row r="85" spans="1:6" x14ac:dyDescent="0.25">
      <c r="A85" s="19">
        <v>103</v>
      </c>
      <c r="B85" s="19" t="s">
        <v>2392</v>
      </c>
      <c r="C85" s="19" t="s">
        <v>2393</v>
      </c>
      <c r="D85" s="45">
        <v>1</v>
      </c>
      <c r="E85" s="19"/>
      <c r="F85" s="19"/>
    </row>
    <row r="86" spans="1:6" x14ac:dyDescent="0.25">
      <c r="A86" s="19">
        <v>104</v>
      </c>
      <c r="B86" s="19" t="s">
        <v>2394</v>
      </c>
      <c r="C86" s="19" t="s">
        <v>2395</v>
      </c>
      <c r="D86" s="45">
        <v>1</v>
      </c>
      <c r="E86" s="19"/>
      <c r="F86" s="19"/>
    </row>
    <row r="87" spans="1:6" x14ac:dyDescent="0.25">
      <c r="A87" s="19">
        <v>105</v>
      </c>
      <c r="B87" s="19" t="s">
        <v>2396</v>
      </c>
      <c r="C87" s="19" t="s">
        <v>2397</v>
      </c>
      <c r="D87" s="45">
        <v>1</v>
      </c>
      <c r="E87" s="19"/>
      <c r="F87" s="19"/>
    </row>
    <row r="88" spans="1:6" x14ac:dyDescent="0.25">
      <c r="A88" s="19">
        <v>106</v>
      </c>
      <c r="B88" s="19" t="s">
        <v>2398</v>
      </c>
      <c r="C88" s="19" t="s">
        <v>2399</v>
      </c>
      <c r="D88" s="45">
        <v>1</v>
      </c>
      <c r="E88" s="19"/>
      <c r="F88" s="19"/>
    </row>
    <row r="89" spans="1:6" x14ac:dyDescent="0.25">
      <c r="A89" s="19">
        <v>107</v>
      </c>
      <c r="B89" s="19" t="s">
        <v>2400</v>
      </c>
      <c r="C89" s="19" t="s">
        <v>2401</v>
      </c>
      <c r="D89" s="45">
        <v>1</v>
      </c>
      <c r="E89" s="19"/>
      <c r="F89" s="19"/>
    </row>
    <row r="90" spans="1:6" x14ac:dyDescent="0.25">
      <c r="A90" s="19">
        <v>108</v>
      </c>
      <c r="B90" s="19" t="s">
        <v>2402</v>
      </c>
      <c r="C90" s="19" t="s">
        <v>2403</v>
      </c>
      <c r="D90" s="45">
        <v>1</v>
      </c>
      <c r="E90" s="19"/>
      <c r="F90" s="19"/>
    </row>
    <row r="91" spans="1:6" x14ac:dyDescent="0.25">
      <c r="A91" s="19">
        <v>109</v>
      </c>
      <c r="B91" s="19" t="s">
        <v>2404</v>
      </c>
      <c r="C91" s="19" t="s">
        <v>2405</v>
      </c>
      <c r="D91" s="45">
        <v>1</v>
      </c>
      <c r="E91" s="19"/>
      <c r="F91" s="19"/>
    </row>
    <row r="92" spans="1:6" x14ac:dyDescent="0.25">
      <c r="A92" s="19">
        <v>110</v>
      </c>
      <c r="B92" s="19" t="s">
        <v>2406</v>
      </c>
      <c r="C92" s="19" t="s">
        <v>2408</v>
      </c>
      <c r="D92" s="45">
        <v>1</v>
      </c>
      <c r="E92" s="19"/>
      <c r="F92" s="19"/>
    </row>
    <row r="93" spans="1:6" x14ac:dyDescent="0.25">
      <c r="A93" s="19">
        <v>111</v>
      </c>
      <c r="B93" s="19" t="s">
        <v>2409</v>
      </c>
      <c r="C93" s="19" t="s">
        <v>2410</v>
      </c>
      <c r="D93" s="45">
        <v>1</v>
      </c>
      <c r="E93" s="19"/>
      <c r="F93" s="19"/>
    </row>
    <row r="94" spans="1:6" x14ac:dyDescent="0.25">
      <c r="A94" s="19">
        <v>112</v>
      </c>
      <c r="B94" s="19" t="s">
        <v>2411</v>
      </c>
      <c r="C94" s="19" t="s">
        <v>2412</v>
      </c>
      <c r="D94" s="45">
        <v>1</v>
      </c>
      <c r="E94" s="19"/>
      <c r="F94" s="19"/>
    </row>
    <row r="95" spans="1:6" x14ac:dyDescent="0.25">
      <c r="A95" s="19">
        <v>113</v>
      </c>
      <c r="B95" s="19" t="s">
        <v>2413</v>
      </c>
      <c r="C95" s="19" t="s">
        <v>2414</v>
      </c>
      <c r="D95" s="45">
        <v>1</v>
      </c>
      <c r="E95" s="19"/>
      <c r="F95" s="19"/>
    </row>
    <row r="96" spans="1:6" x14ac:dyDescent="0.25">
      <c r="A96" s="19">
        <v>114</v>
      </c>
      <c r="B96" s="19" t="s">
        <v>2415</v>
      </c>
      <c r="C96" s="19" t="s">
        <v>2416</v>
      </c>
      <c r="D96" s="45">
        <v>1</v>
      </c>
      <c r="E96" s="19"/>
      <c r="F96" s="19"/>
    </row>
    <row r="97" spans="1:6" x14ac:dyDescent="0.25">
      <c r="A97" s="19">
        <v>115</v>
      </c>
      <c r="B97" s="19" t="s">
        <v>2417</v>
      </c>
      <c r="C97" s="19" t="s">
        <v>2418</v>
      </c>
      <c r="D97" s="45">
        <v>1</v>
      </c>
      <c r="E97" s="19"/>
      <c r="F97" s="19"/>
    </row>
    <row r="98" spans="1:6" x14ac:dyDescent="0.25">
      <c r="A98" s="19">
        <v>116</v>
      </c>
      <c r="B98" s="19" t="s">
        <v>2419</v>
      </c>
      <c r="C98" s="19" t="s">
        <v>2420</v>
      </c>
      <c r="D98" s="45">
        <v>1</v>
      </c>
      <c r="E98" s="19"/>
      <c r="F98" s="19"/>
    </row>
    <row r="99" spans="1:6" x14ac:dyDescent="0.25">
      <c r="A99" s="19">
        <v>117</v>
      </c>
      <c r="B99" s="19" t="s">
        <v>2421</v>
      </c>
      <c r="C99" s="19" t="s">
        <v>2422</v>
      </c>
      <c r="D99" s="45">
        <v>1</v>
      </c>
      <c r="E99" s="19"/>
      <c r="F99" s="19"/>
    </row>
    <row r="100" spans="1:6" x14ac:dyDescent="0.25">
      <c r="A100" s="19">
        <v>118</v>
      </c>
      <c r="B100" s="19" t="s">
        <v>2423</v>
      </c>
      <c r="C100" s="19" t="s">
        <v>2424</v>
      </c>
      <c r="D100" s="45">
        <v>1</v>
      </c>
      <c r="E100" s="19"/>
      <c r="F100" s="19"/>
    </row>
    <row r="101" spans="1:6" x14ac:dyDescent="0.25">
      <c r="A101" s="19">
        <v>119</v>
      </c>
      <c r="B101" s="19" t="s">
        <v>2425</v>
      </c>
      <c r="C101" s="19" t="s">
        <v>2426</v>
      </c>
      <c r="D101" s="45">
        <v>1</v>
      </c>
      <c r="E101" s="19"/>
      <c r="F101" s="19"/>
    </row>
    <row r="102" spans="1:6" x14ac:dyDescent="0.25">
      <c r="A102" s="19">
        <v>120</v>
      </c>
      <c r="B102" s="19" t="s">
        <v>2427</v>
      </c>
      <c r="C102" s="19" t="s">
        <v>2428</v>
      </c>
      <c r="D102" s="45">
        <v>1</v>
      </c>
      <c r="E102" s="19"/>
      <c r="F102" s="19"/>
    </row>
    <row r="103" spans="1:6" x14ac:dyDescent="0.25">
      <c r="A103" s="19">
        <v>121</v>
      </c>
      <c r="B103" s="19" t="s">
        <v>2429</v>
      </c>
      <c r="C103" s="19" t="s">
        <v>2430</v>
      </c>
      <c r="D103" s="45">
        <v>3</v>
      </c>
      <c r="E103" s="19"/>
      <c r="F103" s="19"/>
    </row>
    <row r="104" spans="1:6" x14ac:dyDescent="0.25">
      <c r="A104" s="19">
        <v>122</v>
      </c>
      <c r="B104" s="19" t="s">
        <v>2431</v>
      </c>
      <c r="C104" s="19" t="s">
        <v>2432</v>
      </c>
      <c r="D104" s="45">
        <v>1</v>
      </c>
      <c r="E104" s="19"/>
      <c r="F104" s="19"/>
    </row>
    <row r="105" spans="1:6" x14ac:dyDescent="0.25">
      <c r="A105" s="19">
        <v>123</v>
      </c>
      <c r="B105" s="19" t="s">
        <v>2433</v>
      </c>
      <c r="C105" s="19" t="s">
        <v>2434</v>
      </c>
      <c r="D105" s="45">
        <v>1</v>
      </c>
      <c r="E105" s="19"/>
      <c r="F105" s="19"/>
    </row>
    <row r="106" spans="1:6" x14ac:dyDescent="0.25">
      <c r="A106" s="19">
        <v>124</v>
      </c>
      <c r="B106" s="19" t="s">
        <v>2435</v>
      </c>
      <c r="C106" s="19" t="s">
        <v>2436</v>
      </c>
      <c r="D106" s="45">
        <v>1</v>
      </c>
      <c r="E106" s="19"/>
      <c r="F106" s="19"/>
    </row>
    <row r="107" spans="1:6" x14ac:dyDescent="0.25">
      <c r="A107" s="19">
        <v>125</v>
      </c>
      <c r="B107" s="19" t="s">
        <v>2437</v>
      </c>
      <c r="C107" s="19" t="s">
        <v>2438</v>
      </c>
      <c r="D107" s="45">
        <v>1</v>
      </c>
      <c r="E107" s="19"/>
      <c r="F107" s="19"/>
    </row>
    <row r="108" spans="1:6" x14ac:dyDescent="0.25">
      <c r="A108" s="19">
        <v>126</v>
      </c>
      <c r="B108" s="19" t="s">
        <v>2439</v>
      </c>
      <c r="C108" s="19" t="s">
        <v>2441</v>
      </c>
      <c r="D108" s="45">
        <v>1</v>
      </c>
      <c r="E108" s="19"/>
      <c r="F108" s="19"/>
    </row>
    <row r="109" spans="1:6" x14ac:dyDescent="0.25">
      <c r="A109" s="19">
        <v>127</v>
      </c>
      <c r="B109" s="19" t="s">
        <v>2442</v>
      </c>
      <c r="C109" s="19" t="s">
        <v>2232</v>
      </c>
      <c r="D109" s="45">
        <v>1</v>
      </c>
      <c r="E109" s="19"/>
      <c r="F109" s="19"/>
    </row>
    <row r="110" spans="1:6" x14ac:dyDescent="0.25">
      <c r="A110" s="19">
        <v>128</v>
      </c>
      <c r="B110" s="19" t="s">
        <v>2443</v>
      </c>
      <c r="C110" s="19" t="s">
        <v>2444</v>
      </c>
      <c r="D110" s="45">
        <v>1</v>
      </c>
      <c r="E110" s="19"/>
      <c r="F110" s="19"/>
    </row>
    <row r="111" spans="1:6" x14ac:dyDescent="0.25">
      <c r="A111" s="19">
        <v>129</v>
      </c>
      <c r="B111" s="19" t="s">
        <v>2445</v>
      </c>
      <c r="C111" s="19" t="s">
        <v>2446</v>
      </c>
      <c r="D111" s="45">
        <v>0</v>
      </c>
      <c r="E111" s="19"/>
      <c r="F111" s="19"/>
    </row>
    <row r="112" spans="1:6" x14ac:dyDescent="0.25">
      <c r="A112" s="19">
        <v>130</v>
      </c>
      <c r="B112" s="19" t="s">
        <v>2447</v>
      </c>
      <c r="C112" s="19" t="s">
        <v>2448</v>
      </c>
      <c r="D112" s="45">
        <v>1</v>
      </c>
      <c r="E112" s="19"/>
      <c r="F112" s="19"/>
    </row>
    <row r="113" spans="1:6" x14ac:dyDescent="0.25">
      <c r="A113" s="19">
        <v>132</v>
      </c>
      <c r="B113" s="19" t="s">
        <v>2449</v>
      </c>
      <c r="C113" s="19" t="s">
        <v>2450</v>
      </c>
      <c r="D113" s="45">
        <v>0</v>
      </c>
      <c r="E113" s="19"/>
      <c r="F113" s="19"/>
    </row>
    <row r="114" spans="1:6" x14ac:dyDescent="0.25">
      <c r="A114" s="19">
        <v>133</v>
      </c>
      <c r="B114" s="19" t="s">
        <v>2451</v>
      </c>
      <c r="C114" s="19" t="s">
        <v>2452</v>
      </c>
      <c r="D114" s="45">
        <v>6</v>
      </c>
      <c r="E114" s="19"/>
      <c r="F114" s="19"/>
    </row>
    <row r="115" spans="1:6" x14ac:dyDescent="0.25">
      <c r="A115" s="19">
        <v>134</v>
      </c>
      <c r="B115" s="19" t="s">
        <v>2453</v>
      </c>
      <c r="C115" s="19" t="s">
        <v>2454</v>
      </c>
      <c r="D115" s="45">
        <v>1</v>
      </c>
      <c r="E115" s="19"/>
      <c r="F115" s="19"/>
    </row>
    <row r="116" spans="1:6" x14ac:dyDescent="0.25">
      <c r="A116" s="19">
        <v>136</v>
      </c>
      <c r="B116" s="19" t="s">
        <v>2455</v>
      </c>
      <c r="C116" s="19" t="s">
        <v>2456</v>
      </c>
      <c r="D116" s="45">
        <v>1</v>
      </c>
      <c r="E116" s="19"/>
      <c r="F116" s="19"/>
    </row>
    <row r="117" spans="1:6" x14ac:dyDescent="0.25">
      <c r="A117" s="19">
        <v>137</v>
      </c>
      <c r="B117" s="19" t="s">
        <v>2457</v>
      </c>
      <c r="C117" s="19" t="s">
        <v>2458</v>
      </c>
      <c r="D117" s="45">
        <v>1</v>
      </c>
      <c r="E117" s="19"/>
      <c r="F117" s="19"/>
    </row>
    <row r="118" spans="1:6" x14ac:dyDescent="0.25">
      <c r="A118" s="19">
        <v>138</v>
      </c>
      <c r="B118" s="19" t="s">
        <v>2459</v>
      </c>
      <c r="C118" s="19" t="s">
        <v>2460</v>
      </c>
      <c r="D118" s="45">
        <v>1</v>
      </c>
      <c r="E118" s="19"/>
      <c r="F118" s="19"/>
    </row>
    <row r="119" spans="1:6" x14ac:dyDescent="0.25">
      <c r="A119" s="19">
        <v>139</v>
      </c>
      <c r="B119" s="19" t="s">
        <v>2461</v>
      </c>
      <c r="C119" s="19" t="s">
        <v>2462</v>
      </c>
      <c r="D119" s="45">
        <v>1</v>
      </c>
      <c r="E119" s="19"/>
      <c r="F119" s="19"/>
    </row>
    <row r="120" spans="1:6" x14ac:dyDescent="0.25">
      <c r="A120" s="19">
        <v>140</v>
      </c>
      <c r="B120" s="19" t="s">
        <v>2463</v>
      </c>
      <c r="C120" s="19" t="s">
        <v>2465</v>
      </c>
      <c r="D120" s="45">
        <v>1</v>
      </c>
      <c r="E120" s="19"/>
      <c r="F120" s="19"/>
    </row>
    <row r="121" spans="1:6" x14ac:dyDescent="0.25">
      <c r="A121" s="19">
        <v>141</v>
      </c>
      <c r="B121" s="19" t="s">
        <v>2466</v>
      </c>
      <c r="C121" s="19" t="s">
        <v>2467</v>
      </c>
      <c r="D121" s="45">
        <v>1</v>
      </c>
      <c r="E121" s="19"/>
      <c r="F121" s="19"/>
    </row>
    <row r="122" spans="1:6" x14ac:dyDescent="0.25">
      <c r="A122" s="19">
        <v>142</v>
      </c>
      <c r="B122" s="19" t="s">
        <v>2468</v>
      </c>
      <c r="C122" s="19" t="s">
        <v>2469</v>
      </c>
      <c r="D122" s="45">
        <v>1</v>
      </c>
      <c r="E122" s="19"/>
      <c r="F122" s="19"/>
    </row>
    <row r="123" spans="1:6" x14ac:dyDescent="0.25">
      <c r="A123" s="19">
        <v>143</v>
      </c>
      <c r="B123" s="19" t="s">
        <v>2470</v>
      </c>
      <c r="C123" s="19" t="s">
        <v>2471</v>
      </c>
      <c r="D123" s="45">
        <v>1</v>
      </c>
      <c r="E123" s="19"/>
      <c r="F123" s="19"/>
    </row>
    <row r="124" spans="1:6" x14ac:dyDescent="0.25">
      <c r="A124" s="19">
        <v>144</v>
      </c>
      <c r="B124" s="19" t="s">
        <v>2472</v>
      </c>
      <c r="C124" s="19" t="s">
        <v>2448</v>
      </c>
      <c r="D124" s="45">
        <v>1</v>
      </c>
      <c r="E124" s="19"/>
      <c r="F124" s="19"/>
    </row>
    <row r="125" spans="1:6" x14ac:dyDescent="0.25">
      <c r="A125" s="19">
        <v>145</v>
      </c>
      <c r="B125" s="19" t="s">
        <v>2473</v>
      </c>
      <c r="C125" s="19" t="s">
        <v>2474</v>
      </c>
      <c r="D125" s="45">
        <v>1</v>
      </c>
      <c r="E125" s="19"/>
      <c r="F125" s="19"/>
    </row>
    <row r="126" spans="1:6" x14ac:dyDescent="0.25">
      <c r="A126" s="19">
        <v>146</v>
      </c>
      <c r="B126" s="19" t="s">
        <v>2475</v>
      </c>
      <c r="C126" s="19" t="s">
        <v>2476</v>
      </c>
      <c r="D126" s="45">
        <v>1</v>
      </c>
      <c r="E126" s="19"/>
      <c r="F126" s="19"/>
    </row>
    <row r="127" spans="1:6" x14ac:dyDescent="0.25">
      <c r="A127" s="19">
        <v>147</v>
      </c>
      <c r="B127" s="19" t="s">
        <v>2477</v>
      </c>
      <c r="C127" s="19" t="s">
        <v>2478</v>
      </c>
      <c r="D127" s="45">
        <v>1</v>
      </c>
      <c r="E127" s="19"/>
      <c r="F127" s="19"/>
    </row>
    <row r="128" spans="1:6" x14ac:dyDescent="0.25">
      <c r="A128" s="19">
        <v>148</v>
      </c>
      <c r="B128" s="19" t="s">
        <v>2479</v>
      </c>
      <c r="C128" s="19" t="s">
        <v>2480</v>
      </c>
      <c r="D128" s="45">
        <v>1</v>
      </c>
      <c r="E128" s="19"/>
      <c r="F128" s="19"/>
    </row>
    <row r="129" spans="1:6" x14ac:dyDescent="0.25">
      <c r="A129" s="19">
        <v>149</v>
      </c>
      <c r="B129" s="19" t="s">
        <v>2481</v>
      </c>
      <c r="C129" s="19" t="s">
        <v>2482</v>
      </c>
      <c r="D129" s="45">
        <v>1</v>
      </c>
      <c r="E129" s="19"/>
      <c r="F129" s="19"/>
    </row>
    <row r="130" spans="1:6" x14ac:dyDescent="0.25">
      <c r="A130" s="19">
        <v>150</v>
      </c>
      <c r="B130" s="19" t="s">
        <v>2483</v>
      </c>
      <c r="C130" s="19" t="s">
        <v>2484</v>
      </c>
      <c r="D130" s="45">
        <v>1</v>
      </c>
      <c r="E130" s="19"/>
      <c r="F130" s="19"/>
    </row>
    <row r="131" spans="1:6" x14ac:dyDescent="0.25">
      <c r="A131" s="19">
        <v>151</v>
      </c>
      <c r="B131" s="19" t="s">
        <v>2485</v>
      </c>
      <c r="C131" s="19" t="s">
        <v>2486</v>
      </c>
      <c r="D131" s="45">
        <v>1</v>
      </c>
      <c r="E131" s="19"/>
      <c r="F131" s="19"/>
    </row>
    <row r="132" spans="1:6" x14ac:dyDescent="0.25">
      <c r="A132" s="19">
        <v>152</v>
      </c>
      <c r="B132" s="19" t="s">
        <v>2487</v>
      </c>
      <c r="C132" s="19" t="s">
        <v>2488</v>
      </c>
      <c r="D132" s="45">
        <v>1</v>
      </c>
      <c r="E132" s="19"/>
      <c r="F132" s="19"/>
    </row>
    <row r="133" spans="1:6" x14ac:dyDescent="0.25">
      <c r="A133" s="19">
        <v>153</v>
      </c>
      <c r="B133" s="19" t="s">
        <v>2489</v>
      </c>
      <c r="C133" s="19" t="s">
        <v>2490</v>
      </c>
      <c r="D133" s="45">
        <v>1</v>
      </c>
      <c r="E133" s="19"/>
      <c r="F133" s="19"/>
    </row>
    <row r="134" spans="1:6" x14ac:dyDescent="0.25">
      <c r="A134" s="19">
        <v>154</v>
      </c>
      <c r="B134" s="19" t="s">
        <v>2491</v>
      </c>
      <c r="C134" s="19" t="s">
        <v>2492</v>
      </c>
      <c r="D134" s="45">
        <v>1</v>
      </c>
      <c r="E134" s="19"/>
      <c r="F134" s="19"/>
    </row>
    <row r="135" spans="1:6" x14ac:dyDescent="0.25">
      <c r="A135" s="19">
        <v>155</v>
      </c>
      <c r="B135" s="19" t="s">
        <v>2493</v>
      </c>
      <c r="C135" s="19" t="s">
        <v>2494</v>
      </c>
      <c r="D135" s="45">
        <v>1</v>
      </c>
      <c r="E135" s="19"/>
      <c r="F135" s="19"/>
    </row>
    <row r="136" spans="1:6" x14ac:dyDescent="0.25">
      <c r="A136" s="19">
        <v>156</v>
      </c>
      <c r="B136" s="19" t="s">
        <v>2495</v>
      </c>
      <c r="C136" s="19" t="s">
        <v>2496</v>
      </c>
      <c r="D136" s="45">
        <v>1</v>
      </c>
      <c r="E136" s="19"/>
      <c r="F136" s="19"/>
    </row>
    <row r="137" spans="1:6" x14ac:dyDescent="0.25">
      <c r="A137" s="19">
        <v>157</v>
      </c>
      <c r="B137" s="19" t="s">
        <v>2497</v>
      </c>
      <c r="C137" s="19" t="s">
        <v>2498</v>
      </c>
      <c r="D137" s="45">
        <v>1</v>
      </c>
      <c r="E137" s="19"/>
      <c r="F137" s="19"/>
    </row>
    <row r="138" spans="1:6" x14ac:dyDescent="0.25">
      <c r="A138" s="19">
        <v>158</v>
      </c>
      <c r="B138" s="19" t="s">
        <v>2499</v>
      </c>
      <c r="C138" s="19" t="s">
        <v>2500</v>
      </c>
      <c r="D138" s="45">
        <v>1</v>
      </c>
      <c r="E138" s="19"/>
      <c r="F138" s="19"/>
    </row>
    <row r="139" spans="1:6" x14ac:dyDescent="0.25">
      <c r="A139" s="19">
        <v>159</v>
      </c>
      <c r="B139" s="19" t="s">
        <v>2501</v>
      </c>
      <c r="C139" s="19" t="s">
        <v>2502</v>
      </c>
      <c r="D139" s="45">
        <v>1</v>
      </c>
      <c r="E139" s="19"/>
      <c r="F139" s="19"/>
    </row>
    <row r="140" spans="1:6" x14ac:dyDescent="0.25">
      <c r="A140" s="19">
        <v>160</v>
      </c>
      <c r="B140" s="19" t="s">
        <v>2503</v>
      </c>
      <c r="C140" s="19" t="s">
        <v>2504</v>
      </c>
      <c r="D140" s="45">
        <v>1</v>
      </c>
      <c r="E140" s="19"/>
      <c r="F140" s="19"/>
    </row>
    <row r="141" spans="1:6" x14ac:dyDescent="0.25">
      <c r="A141" s="19">
        <v>161</v>
      </c>
      <c r="B141" s="19" t="s">
        <v>2505</v>
      </c>
      <c r="C141" s="19" t="s">
        <v>2506</v>
      </c>
      <c r="D141" s="45">
        <v>1</v>
      </c>
      <c r="E141" s="19"/>
      <c r="F141" s="19"/>
    </row>
    <row r="142" spans="1:6" x14ac:dyDescent="0.25">
      <c r="A142" s="19">
        <v>162</v>
      </c>
      <c r="B142" s="19" t="s">
        <v>2507</v>
      </c>
      <c r="C142" s="19" t="s">
        <v>2508</v>
      </c>
      <c r="D142" s="45">
        <v>1</v>
      </c>
      <c r="E142" s="19"/>
      <c r="F142" s="19"/>
    </row>
    <row r="143" spans="1:6" x14ac:dyDescent="0.25">
      <c r="A143" s="19">
        <v>163</v>
      </c>
      <c r="B143" s="19" t="s">
        <v>2509</v>
      </c>
      <c r="C143" s="19" t="s">
        <v>2510</v>
      </c>
      <c r="D143" s="45">
        <v>1</v>
      </c>
      <c r="E143" s="19"/>
      <c r="F143" s="19"/>
    </row>
    <row r="144" spans="1:6" x14ac:dyDescent="0.25">
      <c r="A144" s="19">
        <v>164</v>
      </c>
      <c r="B144" s="19" t="s">
        <v>2511</v>
      </c>
      <c r="C144" s="19" t="s">
        <v>2512</v>
      </c>
      <c r="D144" s="45">
        <v>1</v>
      </c>
      <c r="E144" s="19"/>
      <c r="F144" s="19"/>
    </row>
    <row r="145" spans="1:6" x14ac:dyDescent="0.25">
      <c r="A145" s="19">
        <v>165</v>
      </c>
      <c r="B145" s="19" t="s">
        <v>2513</v>
      </c>
      <c r="C145" s="19" t="s">
        <v>2514</v>
      </c>
      <c r="D145" s="45">
        <v>9</v>
      </c>
      <c r="E145" s="19"/>
      <c r="F145" s="19"/>
    </row>
    <row r="146" spans="1:6" x14ac:dyDescent="0.25">
      <c r="A146" s="19">
        <v>166</v>
      </c>
      <c r="B146" s="19" t="s">
        <v>2515</v>
      </c>
      <c r="C146" s="19" t="s">
        <v>2516</v>
      </c>
      <c r="D146" s="45">
        <v>1</v>
      </c>
      <c r="E146" s="19"/>
      <c r="F146" s="19"/>
    </row>
    <row r="147" spans="1:6" x14ac:dyDescent="0.25">
      <c r="A147" s="19">
        <v>167</v>
      </c>
      <c r="B147" s="19" t="s">
        <v>2517</v>
      </c>
      <c r="C147" s="19" t="s">
        <v>2518</v>
      </c>
      <c r="D147" s="45">
        <v>1</v>
      </c>
      <c r="E147" s="19"/>
      <c r="F147" s="19"/>
    </row>
    <row r="148" spans="1:6" x14ac:dyDescent="0.25">
      <c r="A148" s="19">
        <v>168</v>
      </c>
      <c r="B148" s="19" t="s">
        <v>2519</v>
      </c>
      <c r="C148" s="19" t="s">
        <v>2520</v>
      </c>
      <c r="D148" s="45">
        <v>1</v>
      </c>
      <c r="E148" s="19"/>
      <c r="F148" s="19"/>
    </row>
    <row r="149" spans="1:6" x14ac:dyDescent="0.25">
      <c r="A149" s="19">
        <v>169</v>
      </c>
      <c r="B149" s="19" t="s">
        <v>2521</v>
      </c>
      <c r="C149" s="19" t="s">
        <v>2522</v>
      </c>
      <c r="D149" s="45">
        <v>1</v>
      </c>
      <c r="E149" s="19"/>
      <c r="F149" s="19"/>
    </row>
    <row r="150" spans="1:6" x14ac:dyDescent="0.25">
      <c r="A150" s="19">
        <v>170</v>
      </c>
      <c r="B150" s="19" t="s">
        <v>2523</v>
      </c>
      <c r="C150" s="19" t="s">
        <v>2524</v>
      </c>
      <c r="D150" s="45">
        <v>1</v>
      </c>
      <c r="E150" s="19"/>
      <c r="F150" s="19"/>
    </row>
    <row r="151" spans="1:6" x14ac:dyDescent="0.25">
      <c r="A151" s="19">
        <v>171</v>
      </c>
      <c r="B151" s="19" t="s">
        <v>2525</v>
      </c>
      <c r="C151" s="19" t="s">
        <v>2526</v>
      </c>
      <c r="D151" s="45">
        <v>9</v>
      </c>
      <c r="E151" s="19"/>
      <c r="F151" s="19"/>
    </row>
    <row r="152" spans="1:6" x14ac:dyDescent="0.25">
      <c r="A152" s="19">
        <v>172</v>
      </c>
      <c r="B152" s="19" t="s">
        <v>2527</v>
      </c>
      <c r="C152" s="19" t="s">
        <v>2528</v>
      </c>
      <c r="D152" s="45">
        <v>9</v>
      </c>
      <c r="E152" s="19"/>
      <c r="F152" s="19"/>
    </row>
    <row r="153" spans="1:6" x14ac:dyDescent="0.25">
      <c r="A153" s="19">
        <v>173</v>
      </c>
      <c r="B153" s="19" t="s">
        <v>2529</v>
      </c>
      <c r="C153" s="19" t="s">
        <v>2530</v>
      </c>
      <c r="D153" s="45">
        <v>9</v>
      </c>
      <c r="E153" s="19"/>
      <c r="F153" s="19"/>
    </row>
    <row r="154" spans="1:6" x14ac:dyDescent="0.25">
      <c r="A154" s="19">
        <v>174</v>
      </c>
      <c r="B154" s="19" t="s">
        <v>2531</v>
      </c>
      <c r="C154" s="19" t="s">
        <v>2532</v>
      </c>
      <c r="D154" s="45">
        <v>9</v>
      </c>
      <c r="E154" s="19" t="s">
        <v>6</v>
      </c>
      <c r="F154" s="19"/>
    </row>
    <row r="155" spans="1:6" x14ac:dyDescent="0.25">
      <c r="A155" s="19">
        <v>175</v>
      </c>
      <c r="B155" s="19" t="s">
        <v>2533</v>
      </c>
      <c r="C155" s="19" t="s">
        <v>2534</v>
      </c>
      <c r="D155" s="45">
        <v>1</v>
      </c>
      <c r="E155" s="19"/>
      <c r="F155" s="19"/>
    </row>
    <row r="156" spans="1:6" x14ac:dyDescent="0.25">
      <c r="A156" s="19">
        <v>176</v>
      </c>
      <c r="B156" s="19" t="s">
        <v>2535</v>
      </c>
      <c r="C156" s="19" t="s">
        <v>2536</v>
      </c>
      <c r="D156" s="45">
        <v>1</v>
      </c>
      <c r="E156" s="19"/>
      <c r="F156" s="19"/>
    </row>
    <row r="157" spans="1:6" x14ac:dyDescent="0.25">
      <c r="A157" s="19">
        <v>177</v>
      </c>
      <c r="B157" s="19" t="s">
        <v>2537</v>
      </c>
      <c r="C157" s="19" t="s">
        <v>2538</v>
      </c>
      <c r="D157" s="45">
        <v>1</v>
      </c>
      <c r="E157" s="19"/>
      <c r="F157" s="19"/>
    </row>
    <row r="158" spans="1:6" x14ac:dyDescent="0.25">
      <c r="A158" s="19">
        <v>178</v>
      </c>
      <c r="B158" s="19" t="s">
        <v>2539</v>
      </c>
      <c r="C158" s="19" t="s">
        <v>2540</v>
      </c>
      <c r="D158" s="45">
        <v>1</v>
      </c>
      <c r="E158" s="19"/>
      <c r="F158" s="19"/>
    </row>
    <row r="159" spans="1:6" x14ac:dyDescent="0.25">
      <c r="A159" s="19">
        <v>179</v>
      </c>
      <c r="B159" s="19" t="s">
        <v>2541</v>
      </c>
      <c r="C159" s="19" t="s">
        <v>2542</v>
      </c>
      <c r="D159" s="45">
        <v>1</v>
      </c>
      <c r="E159" s="19"/>
      <c r="F159" s="19"/>
    </row>
    <row r="160" spans="1:6" x14ac:dyDescent="0.25">
      <c r="A160" s="19">
        <v>180</v>
      </c>
      <c r="B160" s="19" t="s">
        <v>2543</v>
      </c>
      <c r="C160" s="19" t="s">
        <v>2544</v>
      </c>
      <c r="D160" s="45">
        <v>6</v>
      </c>
      <c r="E160" s="19"/>
      <c r="F160" s="19"/>
    </row>
    <row r="161" spans="1:6" x14ac:dyDescent="0.25">
      <c r="A161" s="19">
        <v>181</v>
      </c>
      <c r="B161" s="19" t="s">
        <v>2545</v>
      </c>
      <c r="C161" s="19" t="s">
        <v>2546</v>
      </c>
      <c r="D161" s="45">
        <v>1</v>
      </c>
      <c r="E161" s="19"/>
      <c r="F161" s="19"/>
    </row>
    <row r="162" spans="1:6" x14ac:dyDescent="0.25">
      <c r="A162" s="19">
        <v>182</v>
      </c>
      <c r="B162" s="19" t="s">
        <v>2547</v>
      </c>
      <c r="C162" s="19" t="s">
        <v>2548</v>
      </c>
      <c r="D162" s="45">
        <v>1</v>
      </c>
      <c r="E162" s="19"/>
      <c r="F162" s="19"/>
    </row>
    <row r="163" spans="1:6" x14ac:dyDescent="0.25">
      <c r="A163" s="19">
        <v>183</v>
      </c>
      <c r="B163" s="19" t="s">
        <v>2549</v>
      </c>
      <c r="C163" s="19" t="s">
        <v>2550</v>
      </c>
      <c r="D163" s="45">
        <v>1</v>
      </c>
      <c r="E163" s="19"/>
      <c r="F163" s="19"/>
    </row>
    <row r="164" spans="1:6" x14ac:dyDescent="0.25">
      <c r="A164" s="19">
        <v>184</v>
      </c>
      <c r="B164" s="19" t="s">
        <v>2551</v>
      </c>
      <c r="C164" s="19" t="s">
        <v>2552</v>
      </c>
      <c r="D164" s="45">
        <v>1</v>
      </c>
      <c r="E164" s="19"/>
      <c r="F164" s="19"/>
    </row>
    <row r="165" spans="1:6" x14ac:dyDescent="0.25">
      <c r="A165" s="19">
        <v>185</v>
      </c>
      <c r="B165" s="19" t="s">
        <v>2553</v>
      </c>
      <c r="C165" s="19" t="s">
        <v>2554</v>
      </c>
      <c r="D165" s="45">
        <v>6</v>
      </c>
      <c r="E165" s="19"/>
      <c r="F165" s="19"/>
    </row>
    <row r="166" spans="1:6" x14ac:dyDescent="0.25">
      <c r="A166" s="19">
        <v>186</v>
      </c>
      <c r="B166" s="19" t="s">
        <v>2555</v>
      </c>
      <c r="C166" s="19" t="s">
        <v>2556</v>
      </c>
      <c r="D166" s="45">
        <v>1</v>
      </c>
      <c r="E166" s="19"/>
      <c r="F166" s="19"/>
    </row>
    <row r="167" spans="1:6" x14ac:dyDescent="0.25">
      <c r="A167" s="19">
        <v>187</v>
      </c>
      <c r="B167" s="19" t="s">
        <v>2557</v>
      </c>
      <c r="C167" s="19" t="s">
        <v>2558</v>
      </c>
      <c r="D167" s="45">
        <v>1</v>
      </c>
      <c r="E167" s="19"/>
      <c r="F167" s="19"/>
    </row>
    <row r="168" spans="1:6" x14ac:dyDescent="0.25">
      <c r="A168" s="19">
        <v>188</v>
      </c>
      <c r="B168" s="19" t="s">
        <v>2559</v>
      </c>
      <c r="C168" s="19" t="s">
        <v>2560</v>
      </c>
      <c r="D168" s="45">
        <v>1</v>
      </c>
      <c r="E168" s="19"/>
      <c r="F168" s="19"/>
    </row>
    <row r="169" spans="1:6" x14ac:dyDescent="0.25">
      <c r="A169" s="19">
        <v>189</v>
      </c>
      <c r="B169" s="19" t="s">
        <v>2561</v>
      </c>
      <c r="C169" s="19" t="s">
        <v>2562</v>
      </c>
      <c r="D169" s="45">
        <v>1</v>
      </c>
      <c r="E169" s="19"/>
      <c r="F169" s="19"/>
    </row>
    <row r="170" spans="1:6" x14ac:dyDescent="0.25">
      <c r="A170" s="19">
        <v>190</v>
      </c>
      <c r="B170" s="19" t="s">
        <v>2563</v>
      </c>
      <c r="C170" s="19" t="s">
        <v>2564</v>
      </c>
      <c r="D170" s="45">
        <v>6</v>
      </c>
      <c r="E170" s="19"/>
      <c r="F170" s="19"/>
    </row>
    <row r="171" spans="1:6" x14ac:dyDescent="0.25">
      <c r="A171" s="19">
        <v>191</v>
      </c>
      <c r="B171" s="19" t="s">
        <v>2565</v>
      </c>
      <c r="C171" s="19" t="s">
        <v>2566</v>
      </c>
      <c r="D171" s="45">
        <v>6</v>
      </c>
      <c r="E171" s="19"/>
      <c r="F171" s="19"/>
    </row>
    <row r="172" spans="1:6" x14ac:dyDescent="0.25">
      <c r="A172" s="19">
        <v>192</v>
      </c>
      <c r="B172" s="19" t="s">
        <v>2567</v>
      </c>
      <c r="C172" s="19" t="s">
        <v>2568</v>
      </c>
      <c r="D172" s="45">
        <v>1</v>
      </c>
      <c r="E172" s="19"/>
      <c r="F172" s="19"/>
    </row>
    <row r="173" spans="1:6" x14ac:dyDescent="0.25">
      <c r="A173" s="19">
        <v>193</v>
      </c>
      <c r="B173" s="19" t="s">
        <v>2569</v>
      </c>
      <c r="C173" s="19" t="s">
        <v>2570</v>
      </c>
      <c r="D173" s="45">
        <v>0</v>
      </c>
      <c r="E173" s="19"/>
      <c r="F173" s="19"/>
    </row>
    <row r="174" spans="1:6" x14ac:dyDescent="0.25">
      <c r="A174" s="19">
        <v>194</v>
      </c>
      <c r="B174" s="19" t="s">
        <v>2571</v>
      </c>
      <c r="C174" s="19" t="s">
        <v>2572</v>
      </c>
      <c r="D174" s="45">
        <v>0</v>
      </c>
      <c r="E174" s="19"/>
      <c r="F174" s="19"/>
    </row>
    <row r="175" spans="1:6" x14ac:dyDescent="0.25">
      <c r="A175" s="19">
        <v>196</v>
      </c>
      <c r="B175" s="19" t="s">
        <v>2573</v>
      </c>
      <c r="C175" s="19" t="s">
        <v>2574</v>
      </c>
      <c r="D175" s="45">
        <v>0</v>
      </c>
      <c r="E175" s="19"/>
      <c r="F175" s="19"/>
    </row>
    <row r="176" spans="1:6" x14ac:dyDescent="0.25">
      <c r="A176" s="19">
        <v>197</v>
      </c>
      <c r="B176" s="19" t="s">
        <v>2575</v>
      </c>
      <c r="C176" s="19" t="s">
        <v>2576</v>
      </c>
      <c r="D176" s="45">
        <v>0</v>
      </c>
      <c r="E176" s="19"/>
      <c r="F176" s="19"/>
    </row>
    <row r="177" spans="1:6" x14ac:dyDescent="0.25">
      <c r="A177" s="19">
        <v>198</v>
      </c>
      <c r="B177" s="19" t="s">
        <v>2577</v>
      </c>
      <c r="C177" s="19" t="s">
        <v>2578</v>
      </c>
      <c r="D177" s="45">
        <v>0</v>
      </c>
      <c r="E177" s="19"/>
      <c r="F177" s="19"/>
    </row>
    <row r="178" spans="1:6" x14ac:dyDescent="0.25">
      <c r="A178" s="19">
        <v>199</v>
      </c>
      <c r="B178" s="19" t="s">
        <v>2579</v>
      </c>
      <c r="C178" s="19" t="s">
        <v>2580</v>
      </c>
      <c r="D178" s="45">
        <v>0</v>
      </c>
      <c r="E178" s="19"/>
      <c r="F178" s="19"/>
    </row>
    <row r="179" spans="1:6" x14ac:dyDescent="0.25">
      <c r="A179" s="19">
        <v>200</v>
      </c>
      <c r="B179" s="19" t="s">
        <v>2581</v>
      </c>
      <c r="C179" s="19" t="s">
        <v>2582</v>
      </c>
      <c r="D179" s="45">
        <v>0</v>
      </c>
      <c r="E179" s="19"/>
      <c r="F179" s="19"/>
    </row>
    <row r="180" spans="1:6" x14ac:dyDescent="0.25">
      <c r="A180" s="19">
        <v>201</v>
      </c>
      <c r="B180" s="19" t="s">
        <v>2583</v>
      </c>
      <c r="C180" s="19" t="s">
        <v>2584</v>
      </c>
      <c r="D180" s="45">
        <v>0</v>
      </c>
      <c r="E180" s="19"/>
      <c r="F180" s="19"/>
    </row>
    <row r="181" spans="1:6" x14ac:dyDescent="0.25">
      <c r="A181" s="19">
        <v>202</v>
      </c>
      <c r="B181" s="19" t="s">
        <v>2585</v>
      </c>
      <c r="C181" s="19" t="s">
        <v>2586</v>
      </c>
      <c r="D181" s="45">
        <v>6</v>
      </c>
      <c r="E181" s="19"/>
      <c r="F181" s="19"/>
    </row>
    <row r="182" spans="1:6" x14ac:dyDescent="0.25">
      <c r="A182" s="19">
        <v>203</v>
      </c>
      <c r="B182" s="19" t="s">
        <v>2587</v>
      </c>
      <c r="C182" s="19" t="s">
        <v>2588</v>
      </c>
      <c r="D182" s="45">
        <v>6</v>
      </c>
      <c r="E182" s="19"/>
      <c r="F182" s="19"/>
    </row>
    <row r="183" spans="1:6" x14ac:dyDescent="0.25">
      <c r="A183" s="19">
        <v>204</v>
      </c>
      <c r="B183" s="19" t="s">
        <v>2589</v>
      </c>
      <c r="C183" s="19" t="s">
        <v>2590</v>
      </c>
      <c r="D183" s="45">
        <v>1</v>
      </c>
      <c r="E183" s="19"/>
      <c r="F183" s="19"/>
    </row>
    <row r="184" spans="1:6" x14ac:dyDescent="0.25">
      <c r="A184" s="19">
        <v>205</v>
      </c>
      <c r="B184" s="19" t="s">
        <v>2591</v>
      </c>
      <c r="C184" s="19" t="s">
        <v>2592</v>
      </c>
      <c r="D184" s="45">
        <v>7</v>
      </c>
      <c r="E184" s="19" t="s">
        <v>6</v>
      </c>
      <c r="F184" s="19"/>
    </row>
    <row r="185" spans="1:6" x14ac:dyDescent="0.25">
      <c r="A185" s="19">
        <v>206</v>
      </c>
      <c r="B185" s="19" t="s">
        <v>2593</v>
      </c>
      <c r="C185" s="19" t="s">
        <v>2594</v>
      </c>
      <c r="D185" s="45">
        <v>1</v>
      </c>
      <c r="E185" s="19"/>
      <c r="F185" s="19"/>
    </row>
    <row r="186" spans="1:6" x14ac:dyDescent="0.25">
      <c r="A186" s="19">
        <v>208</v>
      </c>
      <c r="B186" s="19" t="s">
        <v>2595</v>
      </c>
      <c r="C186" s="19" t="s">
        <v>2594</v>
      </c>
      <c r="D186" s="45">
        <v>1</v>
      </c>
      <c r="E186" s="19"/>
      <c r="F186" s="19"/>
    </row>
    <row r="187" spans="1:6" x14ac:dyDescent="0.25">
      <c r="A187" s="19">
        <v>210</v>
      </c>
      <c r="B187" s="19" t="s">
        <v>2596</v>
      </c>
      <c r="C187" s="19" t="s">
        <v>2597</v>
      </c>
      <c r="D187" s="45">
        <v>1</v>
      </c>
      <c r="E187" s="19"/>
      <c r="F187" s="19"/>
    </row>
    <row r="188" spans="1:6" x14ac:dyDescent="0.25">
      <c r="A188" s="19">
        <v>211</v>
      </c>
      <c r="B188" s="19" t="s">
        <v>2598</v>
      </c>
      <c r="C188" s="19" t="s">
        <v>2599</v>
      </c>
      <c r="D188" s="45">
        <v>1</v>
      </c>
      <c r="E188" s="19"/>
      <c r="F188" s="19"/>
    </row>
    <row r="189" spans="1:6" x14ac:dyDescent="0.25">
      <c r="A189" s="19">
        <v>212</v>
      </c>
      <c r="B189" s="19" t="s">
        <v>2600</v>
      </c>
      <c r="C189" s="19" t="s">
        <v>2601</v>
      </c>
      <c r="D189" s="45">
        <v>1</v>
      </c>
      <c r="E189" s="19"/>
      <c r="F189" s="19"/>
    </row>
    <row r="190" spans="1:6" x14ac:dyDescent="0.25">
      <c r="A190" s="19">
        <v>213</v>
      </c>
      <c r="B190" s="19" t="s">
        <v>2602</v>
      </c>
      <c r="C190" s="19" t="s">
        <v>2603</v>
      </c>
      <c r="D190" s="45">
        <v>1</v>
      </c>
      <c r="E190" s="19"/>
      <c r="F190" s="19"/>
    </row>
    <row r="191" spans="1:6" x14ac:dyDescent="0.25">
      <c r="A191" s="19">
        <v>214</v>
      </c>
      <c r="B191" s="19" t="s">
        <v>2604</v>
      </c>
      <c r="C191" s="19" t="s">
        <v>2605</v>
      </c>
      <c r="D191" s="45">
        <v>1</v>
      </c>
      <c r="E191" s="19"/>
      <c r="F191" s="19"/>
    </row>
    <row r="192" spans="1:6" x14ac:dyDescent="0.25">
      <c r="A192" s="19">
        <v>215</v>
      </c>
      <c r="B192" s="19" t="s">
        <v>2606</v>
      </c>
      <c r="C192" s="19" t="s">
        <v>2607</v>
      </c>
      <c r="D192" s="45">
        <v>1</v>
      </c>
      <c r="E192" s="19"/>
      <c r="F192" s="19"/>
    </row>
    <row r="193" spans="1:6" x14ac:dyDescent="0.25">
      <c r="A193" s="19">
        <v>217</v>
      </c>
      <c r="B193" s="19" t="s">
        <v>2608</v>
      </c>
      <c r="C193" s="19" t="s">
        <v>2609</v>
      </c>
      <c r="D193" s="45">
        <v>6</v>
      </c>
      <c r="E193" s="19"/>
      <c r="F193" s="19"/>
    </row>
    <row r="194" spans="1:6" x14ac:dyDescent="0.25">
      <c r="A194" s="19">
        <v>218</v>
      </c>
      <c r="B194" s="19" t="s">
        <v>2610</v>
      </c>
      <c r="C194" s="19" t="s">
        <v>2611</v>
      </c>
      <c r="D194" s="45">
        <v>6</v>
      </c>
      <c r="E194" s="19"/>
      <c r="F194" s="19"/>
    </row>
    <row r="195" spans="1:6" x14ac:dyDescent="0.25">
      <c r="A195" s="19">
        <v>219</v>
      </c>
      <c r="B195" s="19" t="s">
        <v>2612</v>
      </c>
      <c r="C195" s="19" t="s">
        <v>2613</v>
      </c>
      <c r="D195" s="45">
        <v>1</v>
      </c>
      <c r="E195" s="19"/>
      <c r="F195" s="19"/>
    </row>
    <row r="196" spans="1:6" x14ac:dyDescent="0.25">
      <c r="A196" s="19">
        <v>220</v>
      </c>
      <c r="B196" s="19" t="s">
        <v>2614</v>
      </c>
      <c r="C196" s="19" t="s">
        <v>2615</v>
      </c>
      <c r="D196" s="45">
        <v>1</v>
      </c>
      <c r="E196" s="19"/>
      <c r="F196" s="19"/>
    </row>
    <row r="197" spans="1:6" x14ac:dyDescent="0.25">
      <c r="A197" s="19">
        <v>221</v>
      </c>
      <c r="B197" s="19" t="s">
        <v>2616</v>
      </c>
      <c r="C197" s="19" t="s">
        <v>2617</v>
      </c>
      <c r="D197" s="45">
        <v>1</v>
      </c>
      <c r="E197" s="19"/>
      <c r="F197" s="19"/>
    </row>
    <row r="198" spans="1:6" x14ac:dyDescent="0.25">
      <c r="A198" s="19">
        <v>222</v>
      </c>
      <c r="B198" s="19" t="s">
        <v>2618</v>
      </c>
      <c r="C198" s="19" t="s">
        <v>2619</v>
      </c>
      <c r="D198" s="45">
        <v>3</v>
      </c>
      <c r="E198" s="19"/>
      <c r="F198" s="19"/>
    </row>
    <row r="199" spans="1:6" x14ac:dyDescent="0.25">
      <c r="A199" s="19">
        <v>223</v>
      </c>
      <c r="B199" s="19" t="s">
        <v>2620</v>
      </c>
      <c r="C199" s="19" t="s">
        <v>2621</v>
      </c>
      <c r="D199" s="45">
        <v>1</v>
      </c>
      <c r="E199" s="19"/>
      <c r="F199" s="19"/>
    </row>
    <row r="200" spans="1:6" x14ac:dyDescent="0.25">
      <c r="A200" s="19">
        <v>224</v>
      </c>
      <c r="B200" s="19" t="s">
        <v>2622</v>
      </c>
      <c r="C200" s="19" t="s">
        <v>2623</v>
      </c>
      <c r="D200" s="45">
        <v>1</v>
      </c>
      <c r="E200" s="19"/>
      <c r="F200" s="19"/>
    </row>
    <row r="201" spans="1:6" x14ac:dyDescent="0.25">
      <c r="A201" s="19">
        <v>225</v>
      </c>
      <c r="B201" s="19" t="s">
        <v>2624</v>
      </c>
      <c r="C201" s="19" t="s">
        <v>2625</v>
      </c>
      <c r="D201" s="45">
        <v>1</v>
      </c>
      <c r="E201" s="19"/>
      <c r="F201" s="19"/>
    </row>
    <row r="202" spans="1:6" x14ac:dyDescent="0.25">
      <c r="A202" s="19">
        <v>227</v>
      </c>
      <c r="B202" s="19" t="s">
        <v>2626</v>
      </c>
      <c r="C202" s="19" t="s">
        <v>2627</v>
      </c>
      <c r="D202" s="45">
        <v>1</v>
      </c>
      <c r="E202" s="19"/>
      <c r="F202" s="19"/>
    </row>
    <row r="203" spans="1:6" x14ac:dyDescent="0.25">
      <c r="A203" s="19">
        <v>228</v>
      </c>
      <c r="B203" s="19" t="s">
        <v>2628</v>
      </c>
      <c r="C203" s="19" t="s">
        <v>2629</v>
      </c>
      <c r="D203" s="45">
        <v>1</v>
      </c>
      <c r="E203" s="19"/>
      <c r="F203" s="19"/>
    </row>
    <row r="204" spans="1:6" x14ac:dyDescent="0.25">
      <c r="A204" s="19">
        <v>229</v>
      </c>
      <c r="B204" s="19" t="s">
        <v>2630</v>
      </c>
      <c r="C204" s="19" t="s">
        <v>2631</v>
      </c>
      <c r="D204" s="45">
        <v>1</v>
      </c>
      <c r="E204" s="19"/>
      <c r="F204" s="19"/>
    </row>
    <row r="205" spans="1:6" x14ac:dyDescent="0.25">
      <c r="A205" s="19">
        <v>230</v>
      </c>
      <c r="B205" s="19" t="s">
        <v>2632</v>
      </c>
      <c r="C205" s="19" t="s">
        <v>2633</v>
      </c>
      <c r="D205" s="45">
        <v>1</v>
      </c>
      <c r="E205" s="19"/>
      <c r="F205" s="19"/>
    </row>
    <row r="206" spans="1:6" x14ac:dyDescent="0.25">
      <c r="A206" s="19">
        <v>231</v>
      </c>
      <c r="B206" s="19" t="s">
        <v>2634</v>
      </c>
      <c r="C206" s="19" t="s">
        <v>2635</v>
      </c>
      <c r="D206" s="45">
        <v>1</v>
      </c>
      <c r="E206" s="19"/>
      <c r="F206" s="19"/>
    </row>
    <row r="207" spans="1:6" x14ac:dyDescent="0.25">
      <c r="A207" s="19">
        <v>232</v>
      </c>
      <c r="B207" s="19" t="s">
        <v>2636</v>
      </c>
      <c r="C207" s="19" t="s">
        <v>2637</v>
      </c>
      <c r="D207" s="45">
        <v>1</v>
      </c>
      <c r="E207" s="19"/>
      <c r="F207" s="19"/>
    </row>
    <row r="208" spans="1:6" x14ac:dyDescent="0.25">
      <c r="A208" s="19">
        <v>233</v>
      </c>
      <c r="B208" s="19" t="s">
        <v>2638</v>
      </c>
      <c r="C208" s="19" t="s">
        <v>2639</v>
      </c>
      <c r="D208" s="45">
        <v>1</v>
      </c>
      <c r="E208" s="19"/>
      <c r="F208" s="19"/>
    </row>
    <row r="209" spans="1:6" x14ac:dyDescent="0.25">
      <c r="A209" s="19">
        <v>234</v>
      </c>
      <c r="B209" s="19" t="s">
        <v>2640</v>
      </c>
      <c r="C209" s="19" t="s">
        <v>2641</v>
      </c>
      <c r="D209" s="45">
        <v>1</v>
      </c>
      <c r="E209" s="19"/>
      <c r="F209" s="19"/>
    </row>
    <row r="210" spans="1:6" x14ac:dyDescent="0.25">
      <c r="A210" s="19">
        <v>235</v>
      </c>
      <c r="B210" s="19" t="s">
        <v>2642</v>
      </c>
      <c r="C210" s="19" t="s">
        <v>2643</v>
      </c>
      <c r="D210" s="45">
        <v>1</v>
      </c>
      <c r="E210" s="19"/>
      <c r="F210" s="19"/>
    </row>
    <row r="211" spans="1:6" x14ac:dyDescent="0.25">
      <c r="A211" s="19">
        <v>236</v>
      </c>
      <c r="B211" s="19" t="s">
        <v>2644</v>
      </c>
      <c r="C211" s="19" t="s">
        <v>2645</v>
      </c>
      <c r="D211" s="45">
        <v>1</v>
      </c>
      <c r="E211" s="19"/>
      <c r="F211" s="19"/>
    </row>
    <row r="212" spans="1:6" x14ac:dyDescent="0.25">
      <c r="A212" s="19">
        <v>237</v>
      </c>
      <c r="B212" s="19" t="s">
        <v>2646</v>
      </c>
      <c r="C212" s="19" t="s">
        <v>2647</v>
      </c>
      <c r="D212" s="45">
        <v>1</v>
      </c>
      <c r="E212" s="19"/>
      <c r="F212" s="19"/>
    </row>
    <row r="213" spans="1:6" x14ac:dyDescent="0.25">
      <c r="A213" s="19">
        <v>238</v>
      </c>
      <c r="B213" s="19" t="s">
        <v>2648</v>
      </c>
      <c r="C213" s="19" t="s">
        <v>2649</v>
      </c>
      <c r="D213" s="45">
        <v>1</v>
      </c>
      <c r="E213" s="19"/>
      <c r="F213" s="19"/>
    </row>
    <row r="214" spans="1:6" x14ac:dyDescent="0.25">
      <c r="A214" s="19">
        <v>239</v>
      </c>
      <c r="B214" s="19" t="s">
        <v>2650</v>
      </c>
      <c r="C214" s="19" t="s">
        <v>2651</v>
      </c>
      <c r="D214" s="45">
        <v>1</v>
      </c>
      <c r="E214" s="19"/>
      <c r="F214" s="19"/>
    </row>
    <row r="215" spans="1:6" x14ac:dyDescent="0.25">
      <c r="A215" s="19">
        <v>240</v>
      </c>
      <c r="B215" s="19" t="s">
        <v>2652</v>
      </c>
      <c r="C215" s="19" t="s">
        <v>2653</v>
      </c>
      <c r="D215" s="45">
        <v>1</v>
      </c>
      <c r="E215" s="19"/>
      <c r="F215" s="19"/>
    </row>
    <row r="216" spans="1:6" x14ac:dyDescent="0.25">
      <c r="A216" s="19">
        <v>242</v>
      </c>
      <c r="B216" s="19" t="s">
        <v>2654</v>
      </c>
      <c r="C216" s="19" t="s">
        <v>2655</v>
      </c>
      <c r="D216" s="45">
        <v>1</v>
      </c>
      <c r="E216" s="19"/>
      <c r="F216" s="19"/>
    </row>
    <row r="217" spans="1:6" x14ac:dyDescent="0.25">
      <c r="A217" s="19">
        <v>243</v>
      </c>
      <c r="B217" s="19" t="s">
        <v>2656</v>
      </c>
      <c r="C217" s="19" t="s">
        <v>2657</v>
      </c>
      <c r="D217" s="45">
        <v>1</v>
      </c>
      <c r="E217" s="19"/>
      <c r="F217" s="19"/>
    </row>
    <row r="218" spans="1:6" x14ac:dyDescent="0.25">
      <c r="A218" s="19">
        <v>244</v>
      </c>
      <c r="B218" s="19" t="s">
        <v>2658</v>
      </c>
      <c r="C218" s="19" t="s">
        <v>2659</v>
      </c>
      <c r="D218" s="45">
        <v>1</v>
      </c>
      <c r="E218" s="19"/>
      <c r="F218" s="19"/>
    </row>
    <row r="219" spans="1:6" x14ac:dyDescent="0.25">
      <c r="A219" s="19">
        <v>245</v>
      </c>
      <c r="B219" s="19" t="s">
        <v>2660</v>
      </c>
      <c r="C219" s="19" t="s">
        <v>2661</v>
      </c>
      <c r="D219" s="45">
        <v>1</v>
      </c>
      <c r="E219" s="19"/>
      <c r="F219" s="19"/>
    </row>
    <row r="220" spans="1:6" x14ac:dyDescent="0.25">
      <c r="A220" s="19">
        <v>246</v>
      </c>
      <c r="B220" s="19" t="s">
        <v>2662</v>
      </c>
      <c r="C220" s="19" t="s">
        <v>2663</v>
      </c>
      <c r="D220" s="45">
        <v>1</v>
      </c>
      <c r="E220" s="19"/>
      <c r="F220" s="19"/>
    </row>
    <row r="221" spans="1:6" x14ac:dyDescent="0.25">
      <c r="A221" s="19">
        <v>247</v>
      </c>
      <c r="B221" s="19" t="s">
        <v>2664</v>
      </c>
      <c r="C221" s="19" t="s">
        <v>2665</v>
      </c>
      <c r="D221" s="45">
        <v>1</v>
      </c>
      <c r="E221" s="19"/>
      <c r="F221" s="19"/>
    </row>
    <row r="222" spans="1:6" x14ac:dyDescent="0.25">
      <c r="A222" s="19">
        <v>248</v>
      </c>
      <c r="B222" s="19" t="s">
        <v>2666</v>
      </c>
      <c r="C222" s="19" t="s">
        <v>2667</v>
      </c>
      <c r="D222" s="45">
        <v>1</v>
      </c>
      <c r="E222" s="19"/>
      <c r="F222" s="19"/>
    </row>
    <row r="223" spans="1:6" x14ac:dyDescent="0.25">
      <c r="A223" s="19">
        <v>249</v>
      </c>
      <c r="B223" s="19" t="s">
        <v>2668</v>
      </c>
      <c r="C223" s="19" t="s">
        <v>2669</v>
      </c>
      <c r="D223" s="45">
        <v>1</v>
      </c>
      <c r="E223" s="19"/>
      <c r="F223" s="19"/>
    </row>
    <row r="224" spans="1:6" x14ac:dyDescent="0.25">
      <c r="A224" s="19">
        <v>250</v>
      </c>
      <c r="B224" s="19" t="s">
        <v>2670</v>
      </c>
      <c r="C224" s="19" t="s">
        <v>2671</v>
      </c>
      <c r="D224" s="45">
        <v>1</v>
      </c>
      <c r="E224" s="19"/>
      <c r="F224" s="19"/>
    </row>
    <row r="225" spans="1:6" x14ac:dyDescent="0.25">
      <c r="A225" s="19">
        <v>251</v>
      </c>
      <c r="B225" s="19" t="s">
        <v>2672</v>
      </c>
      <c r="C225" s="19" t="s">
        <v>2673</v>
      </c>
      <c r="D225" s="45">
        <v>1</v>
      </c>
      <c r="E225" s="19"/>
      <c r="F225" s="19"/>
    </row>
    <row r="226" spans="1:6" x14ac:dyDescent="0.25">
      <c r="A226" s="19">
        <v>252</v>
      </c>
      <c r="B226" s="19" t="s">
        <v>2674</v>
      </c>
      <c r="C226" s="19" t="s">
        <v>2675</v>
      </c>
      <c r="D226" s="45">
        <v>1</v>
      </c>
      <c r="E226" s="19"/>
      <c r="F226" s="19"/>
    </row>
    <row r="227" spans="1:6" x14ac:dyDescent="0.25">
      <c r="A227" s="19">
        <v>253</v>
      </c>
      <c r="B227" s="19" t="s">
        <v>2676</v>
      </c>
      <c r="C227" s="19" t="s">
        <v>2677</v>
      </c>
      <c r="D227" s="45">
        <v>1</v>
      </c>
      <c r="E227" s="19"/>
      <c r="F227" s="19"/>
    </row>
    <row r="228" spans="1:6" x14ac:dyDescent="0.25">
      <c r="A228" s="19">
        <v>254</v>
      </c>
      <c r="B228" s="19" t="s">
        <v>2678</v>
      </c>
      <c r="C228" s="19" t="s">
        <v>2679</v>
      </c>
      <c r="D228" s="45">
        <v>1</v>
      </c>
      <c r="E228" s="19"/>
      <c r="F228" s="19"/>
    </row>
    <row r="229" spans="1:6" x14ac:dyDescent="0.25">
      <c r="A229" s="19">
        <v>255</v>
      </c>
      <c r="B229" s="19" t="s">
        <v>2680</v>
      </c>
      <c r="C229" s="19" t="s">
        <v>23</v>
      </c>
      <c r="D229" s="45">
        <v>1</v>
      </c>
      <c r="E229" s="19"/>
      <c r="F229" s="19"/>
    </row>
    <row r="230" spans="1:6" x14ac:dyDescent="0.25">
      <c r="A230" s="19">
        <v>257</v>
      </c>
      <c r="B230" s="19" t="s">
        <v>2681</v>
      </c>
      <c r="C230" s="19" t="s">
        <v>2682</v>
      </c>
      <c r="D230" s="45">
        <v>1</v>
      </c>
      <c r="E230" s="19"/>
      <c r="F230" s="19"/>
    </row>
    <row r="231" spans="1:6" x14ac:dyDescent="0.25">
      <c r="A231" s="19">
        <v>258</v>
      </c>
      <c r="B231" s="19" t="s">
        <v>2683</v>
      </c>
      <c r="C231" s="19" t="s">
        <v>2684</v>
      </c>
      <c r="D231" s="45">
        <v>1</v>
      </c>
      <c r="E231" s="19"/>
      <c r="F231" s="19"/>
    </row>
    <row r="232" spans="1:6" x14ac:dyDescent="0.25">
      <c r="A232" s="19">
        <v>259</v>
      </c>
      <c r="B232" s="19" t="s">
        <v>2685</v>
      </c>
      <c r="C232" s="19" t="s">
        <v>2686</v>
      </c>
      <c r="D232" s="45">
        <v>1</v>
      </c>
      <c r="E232" s="19"/>
      <c r="F232" s="19"/>
    </row>
    <row r="233" spans="1:6" x14ac:dyDescent="0.25">
      <c r="A233" s="19">
        <v>260</v>
      </c>
      <c r="B233" s="19" t="s">
        <v>2687</v>
      </c>
      <c r="C233" s="19" t="s">
        <v>2688</v>
      </c>
      <c r="D233" s="45">
        <v>1</v>
      </c>
      <c r="E233" s="19"/>
      <c r="F233" s="19"/>
    </row>
    <row r="234" spans="1:6" x14ac:dyDescent="0.25">
      <c r="A234" s="19">
        <v>261</v>
      </c>
      <c r="B234" s="19" t="s">
        <v>2689</v>
      </c>
      <c r="C234" s="19" t="s">
        <v>3830</v>
      </c>
      <c r="D234" s="45">
        <v>1</v>
      </c>
      <c r="E234" s="19"/>
      <c r="F234" s="19"/>
    </row>
    <row r="235" spans="1:6" x14ac:dyDescent="0.25">
      <c r="A235" s="19">
        <v>262</v>
      </c>
      <c r="B235" s="19" t="s">
        <v>2691</v>
      </c>
      <c r="C235" s="19" t="s">
        <v>2692</v>
      </c>
      <c r="D235" s="45">
        <v>1</v>
      </c>
      <c r="E235" s="19"/>
      <c r="F235" s="19"/>
    </row>
    <row r="236" spans="1:6" x14ac:dyDescent="0.25">
      <c r="A236" s="19">
        <v>263</v>
      </c>
      <c r="B236" s="19" t="s">
        <v>2693</v>
      </c>
      <c r="C236" s="19" t="s">
        <v>2694</v>
      </c>
      <c r="D236" s="45">
        <v>1</v>
      </c>
      <c r="E236" s="19"/>
      <c r="F236" s="19"/>
    </row>
    <row r="237" spans="1:6" x14ac:dyDescent="0.25">
      <c r="A237" s="19">
        <v>264</v>
      </c>
      <c r="B237" s="19" t="s">
        <v>2695</v>
      </c>
      <c r="C237" s="19" t="s">
        <v>2696</v>
      </c>
      <c r="D237" s="45">
        <v>1</v>
      </c>
      <c r="E237" s="19"/>
      <c r="F237" s="19"/>
    </row>
    <row r="238" spans="1:6" x14ac:dyDescent="0.25">
      <c r="A238" s="19">
        <v>265</v>
      </c>
      <c r="B238" s="19" t="s">
        <v>2697</v>
      </c>
      <c r="C238" s="19" t="s">
        <v>2698</v>
      </c>
      <c r="D238" s="45">
        <v>1</v>
      </c>
      <c r="E238" s="19"/>
      <c r="F238" s="19"/>
    </row>
    <row r="239" spans="1:6" x14ac:dyDescent="0.25">
      <c r="A239" s="19">
        <v>266</v>
      </c>
      <c r="B239" s="19" t="s">
        <v>2699</v>
      </c>
      <c r="C239" s="19" t="s">
        <v>2700</v>
      </c>
      <c r="D239" s="45">
        <v>1</v>
      </c>
      <c r="E239" s="19"/>
      <c r="F239" s="19"/>
    </row>
    <row r="240" spans="1:6" x14ac:dyDescent="0.25">
      <c r="A240" s="19">
        <v>267</v>
      </c>
      <c r="B240" s="19" t="s">
        <v>2701</v>
      </c>
      <c r="C240" s="19" t="s">
        <v>2702</v>
      </c>
      <c r="D240" s="45">
        <v>1</v>
      </c>
      <c r="E240" s="19"/>
      <c r="F240" s="19"/>
    </row>
    <row r="241" spans="1:6" x14ac:dyDescent="0.25">
      <c r="A241" s="19">
        <v>268</v>
      </c>
      <c r="B241" s="19" t="s">
        <v>2703</v>
      </c>
      <c r="C241" s="19" t="s">
        <v>2704</v>
      </c>
      <c r="D241" s="45">
        <v>1</v>
      </c>
      <c r="E241" s="19"/>
      <c r="F241" s="19"/>
    </row>
    <row r="242" spans="1:6" x14ac:dyDescent="0.25">
      <c r="A242" s="19">
        <v>269</v>
      </c>
      <c r="B242" s="19" t="s">
        <v>2705</v>
      </c>
      <c r="C242" s="19" t="s">
        <v>2706</v>
      </c>
      <c r="D242" s="45">
        <v>8</v>
      </c>
      <c r="E242" s="19"/>
      <c r="F242" s="19"/>
    </row>
    <row r="243" spans="1:6" x14ac:dyDescent="0.25">
      <c r="A243" s="19">
        <v>270</v>
      </c>
      <c r="B243" s="19" t="s">
        <v>2707</v>
      </c>
      <c r="C243" s="19" t="s">
        <v>2708</v>
      </c>
      <c r="D243" s="45">
        <v>1</v>
      </c>
      <c r="E243" s="19"/>
      <c r="F243" s="19"/>
    </row>
    <row r="244" spans="1:6" x14ac:dyDescent="0.25">
      <c r="A244" s="19">
        <v>271</v>
      </c>
      <c r="B244" s="19" t="s">
        <v>2709</v>
      </c>
      <c r="C244" s="19" t="s">
        <v>2710</v>
      </c>
      <c r="D244" s="45">
        <v>1</v>
      </c>
      <c r="E244" s="19"/>
      <c r="F244" s="19"/>
    </row>
    <row r="245" spans="1:6" x14ac:dyDescent="0.25">
      <c r="A245" s="19">
        <v>272</v>
      </c>
      <c r="B245" s="19" t="s">
        <v>2711</v>
      </c>
      <c r="C245" s="19" t="s">
        <v>2712</v>
      </c>
      <c r="D245" s="45">
        <v>8</v>
      </c>
      <c r="E245" s="19"/>
      <c r="F245" s="19"/>
    </row>
    <row r="246" spans="1:6" x14ac:dyDescent="0.25">
      <c r="A246" s="19">
        <v>273</v>
      </c>
      <c r="B246" s="19" t="s">
        <v>2713</v>
      </c>
      <c r="C246" s="19" t="s">
        <v>2714</v>
      </c>
      <c r="D246" s="45">
        <v>1</v>
      </c>
      <c r="E246" s="19"/>
      <c r="F246" s="19"/>
    </row>
    <row r="247" spans="1:6" x14ac:dyDescent="0.25">
      <c r="A247" s="19">
        <v>275</v>
      </c>
      <c r="B247" s="19" t="s">
        <v>2715</v>
      </c>
      <c r="C247" s="19" t="s">
        <v>2716</v>
      </c>
      <c r="D247" s="45">
        <v>1</v>
      </c>
      <c r="E247" s="19"/>
      <c r="F247" s="19"/>
    </row>
    <row r="248" spans="1:6" x14ac:dyDescent="0.25">
      <c r="A248" s="19">
        <v>276</v>
      </c>
      <c r="B248" s="19" t="s">
        <v>2717</v>
      </c>
      <c r="C248" s="19" t="s">
        <v>2718</v>
      </c>
      <c r="D248" s="45">
        <v>1</v>
      </c>
      <c r="E248" s="19"/>
      <c r="F248" s="19"/>
    </row>
    <row r="249" spans="1:6" x14ac:dyDescent="0.25">
      <c r="A249" s="19">
        <v>277</v>
      </c>
      <c r="B249" s="19" t="s">
        <v>2719</v>
      </c>
      <c r="C249" s="19" t="s">
        <v>2720</v>
      </c>
      <c r="D249" s="45">
        <v>0</v>
      </c>
      <c r="E249" s="19"/>
      <c r="F249" s="19"/>
    </row>
    <row r="250" spans="1:6" x14ac:dyDescent="0.25">
      <c r="A250" s="19">
        <v>278</v>
      </c>
      <c r="B250" s="19" t="s">
        <v>2721</v>
      </c>
      <c r="C250" s="19" t="s">
        <v>2722</v>
      </c>
      <c r="D250" s="45">
        <v>9</v>
      </c>
      <c r="E250" s="19" t="s">
        <v>6</v>
      </c>
      <c r="F250" s="19"/>
    </row>
    <row r="251" spans="1:6" x14ac:dyDescent="0.25">
      <c r="A251" s="19">
        <v>279</v>
      </c>
      <c r="B251" s="19" t="s">
        <v>2723</v>
      </c>
      <c r="C251" s="19" t="s">
        <v>2724</v>
      </c>
      <c r="D251" s="45">
        <v>1</v>
      </c>
      <c r="E251" s="19"/>
      <c r="F251" s="19"/>
    </row>
    <row r="252" spans="1:6" x14ac:dyDescent="0.25">
      <c r="A252" s="19">
        <v>281</v>
      </c>
      <c r="B252" s="19" t="s">
        <v>2725</v>
      </c>
      <c r="C252" s="19" t="s">
        <v>2726</v>
      </c>
      <c r="D252" s="45">
        <v>7</v>
      </c>
      <c r="E252" s="19" t="s">
        <v>6</v>
      </c>
      <c r="F252" s="19"/>
    </row>
    <row r="253" spans="1:6" x14ac:dyDescent="0.25">
      <c r="A253" s="19">
        <v>282</v>
      </c>
      <c r="B253" s="19" t="s">
        <v>2727</v>
      </c>
      <c r="C253" s="19" t="s">
        <v>2728</v>
      </c>
      <c r="D253" s="45">
        <v>1</v>
      </c>
      <c r="E253" s="19"/>
      <c r="F253" s="19"/>
    </row>
    <row r="254" spans="1:6" x14ac:dyDescent="0.25">
      <c r="A254" s="19">
        <v>283</v>
      </c>
      <c r="B254" s="19" t="s">
        <v>2729</v>
      </c>
      <c r="C254" s="19" t="s">
        <v>2730</v>
      </c>
      <c r="D254" s="45">
        <v>8</v>
      </c>
      <c r="E254" s="19"/>
      <c r="F254" s="19"/>
    </row>
    <row r="255" spans="1:6" x14ac:dyDescent="0.25">
      <c r="A255" s="19">
        <v>284</v>
      </c>
      <c r="B255" s="19" t="s">
        <v>2731</v>
      </c>
      <c r="C255" s="19" t="s">
        <v>2732</v>
      </c>
      <c r="D255" s="45">
        <v>1</v>
      </c>
      <c r="E255" s="19"/>
      <c r="F255" s="19"/>
    </row>
    <row r="256" spans="1:6" x14ac:dyDescent="0.25">
      <c r="A256" s="19">
        <v>285</v>
      </c>
      <c r="B256" s="19" t="s">
        <v>2733</v>
      </c>
      <c r="C256" s="19" t="s">
        <v>2734</v>
      </c>
      <c r="D256" s="45">
        <v>6</v>
      </c>
      <c r="E256" s="19"/>
      <c r="F256" s="19"/>
    </row>
    <row r="257" spans="1:6" x14ac:dyDescent="0.25">
      <c r="A257" s="19">
        <v>286</v>
      </c>
      <c r="B257" s="19" t="s">
        <v>2735</v>
      </c>
      <c r="C257" s="19" t="s">
        <v>2736</v>
      </c>
      <c r="D257" s="45">
        <v>1</v>
      </c>
      <c r="E257" s="19"/>
      <c r="F257" s="19"/>
    </row>
    <row r="258" spans="1:6" x14ac:dyDescent="0.25">
      <c r="A258" s="19">
        <v>287</v>
      </c>
      <c r="B258" s="19" t="s">
        <v>2737</v>
      </c>
      <c r="C258" s="19" t="s">
        <v>2738</v>
      </c>
      <c r="D258" s="45">
        <v>1</v>
      </c>
      <c r="E258" s="19"/>
      <c r="F258" s="19"/>
    </row>
    <row r="259" spans="1:6" x14ac:dyDescent="0.25">
      <c r="A259" s="19">
        <v>288</v>
      </c>
      <c r="B259" s="19" t="s">
        <v>2739</v>
      </c>
      <c r="C259" s="19" t="s">
        <v>2740</v>
      </c>
      <c r="D259" s="45">
        <v>9</v>
      </c>
      <c r="E259" s="19" t="s">
        <v>6</v>
      </c>
      <c r="F259" s="19"/>
    </row>
    <row r="260" spans="1:6" x14ac:dyDescent="0.25">
      <c r="A260" s="19">
        <v>289</v>
      </c>
      <c r="B260" s="19" t="s">
        <v>2741</v>
      </c>
      <c r="C260" s="19" t="s">
        <v>2742</v>
      </c>
      <c r="D260" s="45">
        <v>1</v>
      </c>
      <c r="E260" s="19"/>
      <c r="F260" s="19"/>
    </row>
    <row r="261" spans="1:6" x14ac:dyDescent="0.25">
      <c r="A261" s="19">
        <v>290</v>
      </c>
      <c r="B261" s="19" t="s">
        <v>2743</v>
      </c>
      <c r="C261" s="19" t="s">
        <v>2744</v>
      </c>
      <c r="D261" s="45">
        <v>1</v>
      </c>
      <c r="E261" s="19"/>
      <c r="F261" s="19"/>
    </row>
    <row r="262" spans="1:6" x14ac:dyDescent="0.25">
      <c r="A262" s="19">
        <v>291</v>
      </c>
      <c r="B262" s="19" t="s">
        <v>2745</v>
      </c>
      <c r="C262" s="19" t="s">
        <v>2738</v>
      </c>
      <c r="D262" s="45">
        <v>1</v>
      </c>
      <c r="E262" s="19"/>
      <c r="F262" s="19"/>
    </row>
    <row r="263" spans="1:6" x14ac:dyDescent="0.25">
      <c r="A263" s="19">
        <v>292</v>
      </c>
      <c r="B263" s="19" t="s">
        <v>2746</v>
      </c>
      <c r="C263" s="19" t="s">
        <v>2747</v>
      </c>
      <c r="D263" s="45">
        <v>1</v>
      </c>
      <c r="E263" s="19"/>
      <c r="F263" s="19"/>
    </row>
    <row r="264" spans="1:6" x14ac:dyDescent="0.25">
      <c r="A264" s="19">
        <v>293</v>
      </c>
      <c r="B264" s="19" t="s">
        <v>2748</v>
      </c>
      <c r="C264" s="19" t="s">
        <v>2749</v>
      </c>
      <c r="D264" s="45">
        <v>1</v>
      </c>
      <c r="E264" s="19"/>
      <c r="F264" s="19"/>
    </row>
    <row r="265" spans="1:6" x14ac:dyDescent="0.25">
      <c r="A265" s="19">
        <v>294</v>
      </c>
      <c r="B265" s="19" t="s">
        <v>2750</v>
      </c>
      <c r="C265" s="19" t="s">
        <v>2751</v>
      </c>
      <c r="D265" s="45">
        <v>0</v>
      </c>
      <c r="E265" s="19"/>
      <c r="F265" s="19"/>
    </row>
    <row r="266" spans="1:6" x14ac:dyDescent="0.25">
      <c r="A266" s="19">
        <v>295</v>
      </c>
      <c r="B266" s="19" t="s">
        <v>2752</v>
      </c>
      <c r="C266" s="19" t="s">
        <v>2753</v>
      </c>
      <c r="D266" s="45">
        <v>1</v>
      </c>
      <c r="E266" s="19"/>
      <c r="F266" s="19"/>
    </row>
    <row r="267" spans="1:6" x14ac:dyDescent="0.25">
      <c r="A267" s="19">
        <v>296</v>
      </c>
      <c r="B267" s="19" t="s">
        <v>2754</v>
      </c>
      <c r="C267" s="19" t="s">
        <v>2755</v>
      </c>
      <c r="D267" s="45">
        <v>1</v>
      </c>
      <c r="E267" s="19"/>
      <c r="F267" s="19"/>
    </row>
    <row r="268" spans="1:6" x14ac:dyDescent="0.25">
      <c r="A268" s="19">
        <v>297</v>
      </c>
      <c r="B268" s="19" t="s">
        <v>2756</v>
      </c>
      <c r="C268" s="19" t="s">
        <v>2757</v>
      </c>
      <c r="D268" s="45">
        <v>1</v>
      </c>
      <c r="E268" s="19"/>
      <c r="F268" s="19"/>
    </row>
    <row r="269" spans="1:6" x14ac:dyDescent="0.25">
      <c r="A269" s="19">
        <v>298</v>
      </c>
      <c r="B269" s="19" t="s">
        <v>2758</v>
      </c>
      <c r="C269" s="19" t="s">
        <v>2759</v>
      </c>
      <c r="D269" s="45">
        <v>1</v>
      </c>
      <c r="E269" s="19" t="s">
        <v>6</v>
      </c>
      <c r="F269" s="19"/>
    </row>
    <row r="270" spans="1:6" x14ac:dyDescent="0.25">
      <c r="A270" s="19">
        <v>299</v>
      </c>
      <c r="B270" s="19" t="s">
        <v>2760</v>
      </c>
      <c r="C270" s="19" t="s">
        <v>2761</v>
      </c>
      <c r="D270" s="45">
        <v>1</v>
      </c>
      <c r="E270" s="19"/>
      <c r="F270" s="19"/>
    </row>
    <row r="271" spans="1:6" x14ac:dyDescent="0.25">
      <c r="A271" s="19">
        <v>300</v>
      </c>
      <c r="B271" s="19" t="s">
        <v>2762</v>
      </c>
      <c r="C271" s="19" t="s">
        <v>2763</v>
      </c>
      <c r="D271" s="45">
        <v>1</v>
      </c>
      <c r="E271" s="19"/>
      <c r="F271" s="19"/>
    </row>
    <row r="272" spans="1:6" x14ac:dyDescent="0.25">
      <c r="A272" s="19">
        <v>301</v>
      </c>
      <c r="B272" s="19" t="s">
        <v>2764</v>
      </c>
      <c r="C272" s="19" t="s">
        <v>2765</v>
      </c>
      <c r="D272" s="45">
        <v>1</v>
      </c>
      <c r="E272" s="19"/>
      <c r="F272" s="19"/>
    </row>
    <row r="273" spans="1:6" x14ac:dyDescent="0.25">
      <c r="A273" s="19">
        <v>302</v>
      </c>
      <c r="B273" s="19" t="s">
        <v>2766</v>
      </c>
      <c r="C273" s="19" t="s">
        <v>2767</v>
      </c>
      <c r="D273" s="45">
        <v>1</v>
      </c>
      <c r="E273" s="19"/>
      <c r="F273" s="19"/>
    </row>
    <row r="274" spans="1:6" x14ac:dyDescent="0.25">
      <c r="A274" s="19">
        <v>303</v>
      </c>
      <c r="B274" s="19" t="s">
        <v>2768</v>
      </c>
      <c r="C274" s="19" t="s">
        <v>2769</v>
      </c>
      <c r="D274" s="45">
        <v>1</v>
      </c>
      <c r="E274" s="19"/>
      <c r="F274" s="19"/>
    </row>
    <row r="275" spans="1:6" x14ac:dyDescent="0.25">
      <c r="A275" s="19">
        <v>304</v>
      </c>
      <c r="B275" s="19" t="s">
        <v>2770</v>
      </c>
      <c r="C275" s="19" t="s">
        <v>2771</v>
      </c>
      <c r="D275" s="45">
        <v>1</v>
      </c>
      <c r="E275" s="19"/>
      <c r="F275" s="19"/>
    </row>
    <row r="276" spans="1:6" x14ac:dyDescent="0.25">
      <c r="A276" s="19">
        <v>305</v>
      </c>
      <c r="B276" s="19" t="s">
        <v>2772</v>
      </c>
      <c r="C276" s="19" t="s">
        <v>2773</v>
      </c>
      <c r="D276" s="45">
        <v>1</v>
      </c>
      <c r="E276" s="19"/>
      <c r="F276" s="19"/>
    </row>
    <row r="277" spans="1:6" x14ac:dyDescent="0.25">
      <c r="A277" s="19">
        <v>306</v>
      </c>
      <c r="B277" s="19" t="s">
        <v>2774</v>
      </c>
      <c r="C277" s="19" t="s">
        <v>2775</v>
      </c>
      <c r="D277" s="45">
        <v>1</v>
      </c>
      <c r="E277" s="19"/>
      <c r="F277" s="19"/>
    </row>
    <row r="278" spans="1:6" x14ac:dyDescent="0.25">
      <c r="A278" s="19">
        <v>307</v>
      </c>
      <c r="B278" s="19" t="s">
        <v>2776</v>
      </c>
      <c r="C278" s="19" t="s">
        <v>2777</v>
      </c>
      <c r="D278" s="45">
        <v>1</v>
      </c>
      <c r="E278" s="19"/>
      <c r="F278" s="19"/>
    </row>
    <row r="279" spans="1:6" x14ac:dyDescent="0.25">
      <c r="A279" s="19">
        <v>308</v>
      </c>
      <c r="B279" s="19" t="s">
        <v>2778</v>
      </c>
      <c r="C279" s="19" t="s">
        <v>2779</v>
      </c>
      <c r="D279" s="45">
        <v>1</v>
      </c>
      <c r="E279" s="19"/>
      <c r="F279" s="19"/>
    </row>
    <row r="280" spans="1:6" x14ac:dyDescent="0.25">
      <c r="A280" s="19">
        <v>309</v>
      </c>
      <c r="B280" s="19" t="s">
        <v>2780</v>
      </c>
      <c r="C280" s="19" t="s">
        <v>2781</v>
      </c>
      <c r="D280" s="45">
        <v>1</v>
      </c>
      <c r="E280" s="19"/>
      <c r="F280" s="19"/>
    </row>
    <row r="281" spans="1:6" x14ac:dyDescent="0.25">
      <c r="A281" s="19">
        <v>310</v>
      </c>
      <c r="B281" s="19" t="s">
        <v>2782</v>
      </c>
      <c r="C281" s="19" t="s">
        <v>2771</v>
      </c>
      <c r="D281" s="45">
        <v>1</v>
      </c>
      <c r="E281" s="19"/>
      <c r="F281" s="19"/>
    </row>
    <row r="282" spans="1:6" x14ac:dyDescent="0.25">
      <c r="A282" s="19">
        <v>311</v>
      </c>
      <c r="B282" s="19" t="s">
        <v>2783</v>
      </c>
      <c r="C282" s="19" t="s">
        <v>2784</v>
      </c>
      <c r="D282" s="45">
        <v>1</v>
      </c>
      <c r="E282" s="19"/>
      <c r="F282" s="19"/>
    </row>
    <row r="283" spans="1:6" x14ac:dyDescent="0.25">
      <c r="A283" s="19">
        <v>312</v>
      </c>
      <c r="B283" s="19" t="s">
        <v>2785</v>
      </c>
      <c r="C283" s="19" t="s">
        <v>2786</v>
      </c>
      <c r="D283" s="45">
        <v>1</v>
      </c>
      <c r="E283" s="19"/>
      <c r="F283" s="19"/>
    </row>
    <row r="284" spans="1:6" x14ac:dyDescent="0.25">
      <c r="A284" s="19">
        <v>313</v>
      </c>
      <c r="B284" s="19" t="s">
        <v>2787</v>
      </c>
      <c r="C284" s="19" t="s">
        <v>2788</v>
      </c>
      <c r="D284" s="45">
        <v>1</v>
      </c>
      <c r="E284" s="19"/>
      <c r="F284" s="19"/>
    </row>
    <row r="285" spans="1:6" x14ac:dyDescent="0.25">
      <c r="A285" s="19">
        <v>314</v>
      </c>
      <c r="B285" s="19" t="s">
        <v>2789</v>
      </c>
      <c r="C285" s="19" t="s">
        <v>2790</v>
      </c>
      <c r="D285" s="45">
        <v>1</v>
      </c>
      <c r="E285" s="19"/>
      <c r="F285" s="19"/>
    </row>
    <row r="286" spans="1:6" x14ac:dyDescent="0.25">
      <c r="A286" s="19">
        <v>315</v>
      </c>
      <c r="B286" s="19" t="s">
        <v>2791</v>
      </c>
      <c r="C286" s="19" t="s">
        <v>2792</v>
      </c>
      <c r="D286" s="45">
        <v>0</v>
      </c>
      <c r="E286" s="19"/>
      <c r="F286" s="19"/>
    </row>
    <row r="287" spans="1:6" x14ac:dyDescent="0.25">
      <c r="A287" s="19">
        <v>316</v>
      </c>
      <c r="B287" s="19" t="s">
        <v>2793</v>
      </c>
      <c r="C287" s="19" t="s">
        <v>2794</v>
      </c>
      <c r="D287" s="45">
        <v>1</v>
      </c>
      <c r="E287" s="19"/>
      <c r="F287" s="19"/>
    </row>
    <row r="288" spans="1:6" x14ac:dyDescent="0.25">
      <c r="A288" s="19">
        <v>317</v>
      </c>
      <c r="B288" s="19" t="s">
        <v>2795</v>
      </c>
      <c r="C288" s="19" t="s">
        <v>2796</v>
      </c>
      <c r="D288" s="45">
        <v>1</v>
      </c>
      <c r="E288" s="19"/>
      <c r="F288" s="19"/>
    </row>
    <row r="289" spans="1:6" x14ac:dyDescent="0.25">
      <c r="A289" s="19">
        <v>318</v>
      </c>
      <c r="B289" s="19" t="s">
        <v>2797</v>
      </c>
      <c r="C289" s="19" t="s">
        <v>2798</v>
      </c>
      <c r="D289" s="45">
        <v>1</v>
      </c>
      <c r="E289" s="19"/>
      <c r="F289" s="19"/>
    </row>
    <row r="290" spans="1:6" x14ac:dyDescent="0.25">
      <c r="A290" s="19">
        <v>319</v>
      </c>
      <c r="B290" s="19" t="s">
        <v>2799</v>
      </c>
      <c r="C290" s="19" t="s">
        <v>2800</v>
      </c>
      <c r="D290" s="45">
        <v>1</v>
      </c>
      <c r="E290" s="19"/>
      <c r="F290" s="19"/>
    </row>
    <row r="291" spans="1:6" x14ac:dyDescent="0.25">
      <c r="A291" s="19">
        <v>320</v>
      </c>
      <c r="B291" s="19" t="s">
        <v>2801</v>
      </c>
      <c r="C291" s="19" t="s">
        <v>2802</v>
      </c>
      <c r="D291" s="45">
        <v>1</v>
      </c>
      <c r="E291" s="19"/>
      <c r="F291" s="19"/>
    </row>
    <row r="292" spans="1:6" x14ac:dyDescent="0.25">
      <c r="A292" s="19">
        <v>321</v>
      </c>
      <c r="B292" s="19" t="s">
        <v>2803</v>
      </c>
      <c r="C292" s="19" t="s">
        <v>2804</v>
      </c>
      <c r="D292" s="45">
        <v>1</v>
      </c>
      <c r="E292" s="19"/>
      <c r="F292" s="19"/>
    </row>
    <row r="293" spans="1:6" x14ac:dyDescent="0.25">
      <c r="A293" s="19">
        <v>322</v>
      </c>
      <c r="B293" s="19" t="s">
        <v>2805</v>
      </c>
      <c r="C293" s="19" t="s">
        <v>2806</v>
      </c>
      <c r="D293" s="45">
        <v>1</v>
      </c>
      <c r="E293" s="19"/>
      <c r="F293" s="19"/>
    </row>
    <row r="294" spans="1:6" x14ac:dyDescent="0.25">
      <c r="A294" s="19">
        <v>323</v>
      </c>
      <c r="B294" s="19" t="s">
        <v>2807</v>
      </c>
      <c r="C294" s="19" t="s">
        <v>2808</v>
      </c>
      <c r="D294" s="45">
        <v>9</v>
      </c>
      <c r="E294" s="19" t="s">
        <v>6</v>
      </c>
      <c r="F294" s="19"/>
    </row>
    <row r="295" spans="1:6" x14ac:dyDescent="0.25">
      <c r="A295" s="19">
        <v>324</v>
      </c>
      <c r="B295" s="19" t="s">
        <v>2809</v>
      </c>
      <c r="C295" s="19" t="s">
        <v>2810</v>
      </c>
      <c r="D295" s="45">
        <v>1</v>
      </c>
      <c r="E295" s="19"/>
      <c r="F295" s="19"/>
    </row>
    <row r="296" spans="1:6" x14ac:dyDescent="0.25">
      <c r="A296" s="19">
        <v>325</v>
      </c>
      <c r="B296" s="19" t="s">
        <v>2811</v>
      </c>
      <c r="C296" s="19" t="s">
        <v>2812</v>
      </c>
      <c r="D296" s="45">
        <v>1</v>
      </c>
      <c r="E296" s="19"/>
      <c r="F296" s="19"/>
    </row>
    <row r="297" spans="1:6" x14ac:dyDescent="0.25">
      <c r="A297" s="19">
        <v>326</v>
      </c>
      <c r="B297" s="19" t="s">
        <v>2813</v>
      </c>
      <c r="C297" s="19" t="s">
        <v>2814</v>
      </c>
      <c r="D297" s="45">
        <v>1</v>
      </c>
      <c r="E297" s="19"/>
      <c r="F297" s="19"/>
    </row>
    <row r="298" spans="1:6" x14ac:dyDescent="0.25">
      <c r="A298" s="19">
        <v>327</v>
      </c>
      <c r="B298" s="19" t="s">
        <v>2815</v>
      </c>
      <c r="C298" s="19" t="s">
        <v>2812</v>
      </c>
      <c r="D298" s="45">
        <v>1</v>
      </c>
      <c r="E298" s="19"/>
      <c r="F298" s="19"/>
    </row>
    <row r="299" spans="1:6" x14ac:dyDescent="0.25">
      <c r="A299" s="19">
        <v>328</v>
      </c>
      <c r="B299" s="19" t="s">
        <v>2816</v>
      </c>
      <c r="C299" s="19" t="s">
        <v>2817</v>
      </c>
      <c r="D299" s="45">
        <v>1</v>
      </c>
      <c r="E299" s="19"/>
      <c r="F299" s="19"/>
    </row>
    <row r="300" spans="1:6" x14ac:dyDescent="0.25">
      <c r="A300" s="19">
        <v>329</v>
      </c>
      <c r="B300" s="19" t="s">
        <v>2818</v>
      </c>
      <c r="C300" s="19" t="s">
        <v>2819</v>
      </c>
      <c r="D300" s="45">
        <v>1</v>
      </c>
      <c r="E300" s="19"/>
      <c r="F300" s="19"/>
    </row>
    <row r="301" spans="1:6" x14ac:dyDescent="0.25">
      <c r="A301" s="19">
        <v>330</v>
      </c>
      <c r="B301" s="19" t="s">
        <v>2820</v>
      </c>
      <c r="C301" s="19" t="s">
        <v>2821</v>
      </c>
      <c r="D301" s="45">
        <v>1</v>
      </c>
      <c r="E301" s="19"/>
      <c r="F301" s="19"/>
    </row>
    <row r="302" spans="1:6" x14ac:dyDescent="0.25">
      <c r="A302" s="19">
        <v>331</v>
      </c>
      <c r="B302" s="19" t="s">
        <v>2822</v>
      </c>
      <c r="C302" s="19" t="s">
        <v>2823</v>
      </c>
      <c r="D302" s="45">
        <v>1</v>
      </c>
      <c r="E302" s="19"/>
      <c r="F302" s="19"/>
    </row>
    <row r="303" spans="1:6" x14ac:dyDescent="0.25">
      <c r="A303" s="19">
        <v>332</v>
      </c>
      <c r="B303" s="19" t="s">
        <v>2824</v>
      </c>
      <c r="C303" s="19" t="s">
        <v>2825</v>
      </c>
      <c r="D303" s="45">
        <v>1</v>
      </c>
      <c r="E303" s="19"/>
      <c r="F303" s="19"/>
    </row>
    <row r="304" spans="1:6" x14ac:dyDescent="0.25">
      <c r="A304" s="19">
        <v>333</v>
      </c>
      <c r="B304" s="19" t="s">
        <v>2826</v>
      </c>
      <c r="C304" s="19" t="s">
        <v>2827</v>
      </c>
      <c r="D304" s="45">
        <v>1</v>
      </c>
      <c r="E304" s="19"/>
      <c r="F304" s="19"/>
    </row>
    <row r="305" spans="1:6" x14ac:dyDescent="0.25">
      <c r="A305" s="19">
        <v>334</v>
      </c>
      <c r="B305" s="19" t="s">
        <v>2828</v>
      </c>
      <c r="C305" s="19" t="s">
        <v>2829</v>
      </c>
      <c r="D305" s="45">
        <v>1</v>
      </c>
      <c r="E305" s="19"/>
      <c r="F305" s="19"/>
    </row>
    <row r="306" spans="1:6" x14ac:dyDescent="0.25">
      <c r="A306" s="19">
        <v>335</v>
      </c>
      <c r="B306" s="19" t="s">
        <v>2830</v>
      </c>
      <c r="C306" s="19" t="s">
        <v>2831</v>
      </c>
      <c r="D306" s="45">
        <v>1</v>
      </c>
      <c r="E306" s="19"/>
      <c r="F306" s="19"/>
    </row>
    <row r="307" spans="1:6" x14ac:dyDescent="0.25">
      <c r="A307" s="19">
        <v>336</v>
      </c>
      <c r="B307" s="19" t="s">
        <v>2832</v>
      </c>
      <c r="C307" s="19" t="s">
        <v>2833</v>
      </c>
      <c r="D307" s="45">
        <v>1</v>
      </c>
      <c r="E307" s="19"/>
      <c r="F307" s="19"/>
    </row>
    <row r="308" spans="1:6" x14ac:dyDescent="0.25">
      <c r="A308" s="19">
        <v>337</v>
      </c>
      <c r="B308" s="19" t="s">
        <v>2834</v>
      </c>
      <c r="C308" s="19" t="s">
        <v>2835</v>
      </c>
      <c r="D308" s="45">
        <v>0</v>
      </c>
      <c r="E308" s="19"/>
      <c r="F308" s="19"/>
    </row>
    <row r="309" spans="1:6" x14ac:dyDescent="0.25">
      <c r="A309" s="19">
        <v>338</v>
      </c>
      <c r="B309" s="19" t="s">
        <v>2836</v>
      </c>
      <c r="C309" s="19" t="s">
        <v>2837</v>
      </c>
      <c r="D309" s="45">
        <v>9</v>
      </c>
      <c r="E309" s="19" t="s">
        <v>6</v>
      </c>
      <c r="F309" s="19"/>
    </row>
    <row r="310" spans="1:6" x14ac:dyDescent="0.25">
      <c r="A310" s="19">
        <v>339</v>
      </c>
      <c r="B310" s="19" t="s">
        <v>2838</v>
      </c>
      <c r="C310" s="19" t="s">
        <v>2839</v>
      </c>
      <c r="D310" s="45">
        <v>8</v>
      </c>
      <c r="E310" s="19"/>
      <c r="F310" s="19"/>
    </row>
    <row r="311" spans="1:6" x14ac:dyDescent="0.25">
      <c r="A311" s="19">
        <v>340</v>
      </c>
      <c r="B311" s="19" t="s">
        <v>2840</v>
      </c>
      <c r="C311" s="19" t="s">
        <v>2841</v>
      </c>
      <c r="D311" s="45">
        <v>8</v>
      </c>
      <c r="E311" s="19"/>
      <c r="F311" s="19"/>
    </row>
    <row r="312" spans="1:6" x14ac:dyDescent="0.25">
      <c r="A312" s="19">
        <v>341</v>
      </c>
      <c r="B312" s="19" t="s">
        <v>2842</v>
      </c>
      <c r="C312" s="19" t="s">
        <v>2843</v>
      </c>
      <c r="D312" s="45">
        <v>1</v>
      </c>
      <c r="E312" s="19"/>
      <c r="F312" s="19"/>
    </row>
    <row r="313" spans="1:6" x14ac:dyDescent="0.25">
      <c r="A313" s="19">
        <v>342</v>
      </c>
      <c r="B313" s="19" t="s">
        <v>2844</v>
      </c>
      <c r="C313" s="19" t="s">
        <v>2845</v>
      </c>
      <c r="D313" s="45">
        <v>1</v>
      </c>
      <c r="E313" s="19"/>
      <c r="F313" s="19"/>
    </row>
    <row r="314" spans="1:6" x14ac:dyDescent="0.25">
      <c r="A314" s="19">
        <v>343</v>
      </c>
      <c r="B314" s="19" t="s">
        <v>2846</v>
      </c>
      <c r="C314" s="19" t="s">
        <v>2847</v>
      </c>
      <c r="D314" s="45">
        <v>1</v>
      </c>
      <c r="E314" s="19"/>
      <c r="F314" s="19"/>
    </row>
    <row r="315" spans="1:6" x14ac:dyDescent="0.25">
      <c r="A315" s="19">
        <v>344</v>
      </c>
      <c r="B315" s="19" t="s">
        <v>2848</v>
      </c>
      <c r="C315" s="19" t="s">
        <v>2849</v>
      </c>
      <c r="D315" s="45">
        <v>1</v>
      </c>
      <c r="E315" s="19"/>
      <c r="F315" s="19"/>
    </row>
    <row r="316" spans="1:6" x14ac:dyDescent="0.25">
      <c r="A316" s="19">
        <v>345</v>
      </c>
      <c r="B316" s="19" t="s">
        <v>2850</v>
      </c>
      <c r="C316" s="19" t="s">
        <v>2851</v>
      </c>
      <c r="D316" s="45">
        <v>1</v>
      </c>
      <c r="E316" s="19"/>
      <c r="F316" s="19"/>
    </row>
    <row r="317" spans="1:6" x14ac:dyDescent="0.25">
      <c r="A317" s="19">
        <v>346</v>
      </c>
      <c r="B317" s="19" t="s">
        <v>2852</v>
      </c>
      <c r="C317" s="19" t="s">
        <v>2853</v>
      </c>
      <c r="D317" s="45">
        <v>1</v>
      </c>
      <c r="E317" s="19"/>
      <c r="F317" s="19"/>
    </row>
    <row r="318" spans="1:6" x14ac:dyDescent="0.25">
      <c r="A318" s="19">
        <v>347</v>
      </c>
      <c r="B318" s="19" t="s">
        <v>2854</v>
      </c>
      <c r="C318" s="19" t="s">
        <v>2855</v>
      </c>
      <c r="D318" s="45">
        <v>1</v>
      </c>
      <c r="E318" s="19"/>
      <c r="F318" s="19"/>
    </row>
    <row r="319" spans="1:6" x14ac:dyDescent="0.25">
      <c r="A319" s="19">
        <v>348</v>
      </c>
      <c r="B319" s="19" t="s">
        <v>2856</v>
      </c>
      <c r="C319" s="19" t="s">
        <v>2802</v>
      </c>
      <c r="D319" s="45">
        <v>1</v>
      </c>
      <c r="E319" s="19"/>
      <c r="F319" s="19"/>
    </row>
    <row r="320" spans="1:6" x14ac:dyDescent="0.25">
      <c r="A320" s="19">
        <v>349</v>
      </c>
      <c r="B320" s="19" t="s">
        <v>2857</v>
      </c>
      <c r="C320" s="19" t="s">
        <v>2858</v>
      </c>
      <c r="D320" s="45">
        <v>0</v>
      </c>
      <c r="E320" s="19"/>
      <c r="F320" s="19"/>
    </row>
    <row r="321" spans="1:6" x14ac:dyDescent="0.25">
      <c r="A321" s="19">
        <v>350</v>
      </c>
      <c r="B321" s="19" t="s">
        <v>2859</v>
      </c>
      <c r="C321" s="19" t="s">
        <v>2860</v>
      </c>
      <c r="D321" s="45">
        <v>1</v>
      </c>
      <c r="E321" s="19"/>
      <c r="F321" s="19"/>
    </row>
    <row r="322" spans="1:6" x14ac:dyDescent="0.25">
      <c r="A322" s="19">
        <v>351</v>
      </c>
      <c r="B322" s="19" t="s">
        <v>2861</v>
      </c>
      <c r="C322" s="19" t="s">
        <v>2862</v>
      </c>
      <c r="D322" s="45">
        <v>0</v>
      </c>
      <c r="E322" s="19"/>
      <c r="F322" s="19"/>
    </row>
    <row r="323" spans="1:6" x14ac:dyDescent="0.25">
      <c r="A323" s="19">
        <v>352</v>
      </c>
      <c r="B323" s="19" t="s">
        <v>2863</v>
      </c>
      <c r="C323" s="19" t="s">
        <v>2864</v>
      </c>
      <c r="D323" s="45">
        <v>1</v>
      </c>
      <c r="E323" s="19"/>
      <c r="F323" s="19"/>
    </row>
    <row r="324" spans="1:6" x14ac:dyDescent="0.25">
      <c r="A324" s="19">
        <v>353</v>
      </c>
      <c r="B324" s="19" t="s">
        <v>2865</v>
      </c>
      <c r="C324" s="19" t="s">
        <v>2866</v>
      </c>
      <c r="D324" s="45">
        <v>8</v>
      </c>
      <c r="E324" s="19"/>
      <c r="F324" s="19"/>
    </row>
    <row r="325" spans="1:6" x14ac:dyDescent="0.25">
      <c r="A325" s="19">
        <v>354</v>
      </c>
      <c r="B325" s="19" t="s">
        <v>2867</v>
      </c>
      <c r="C325" s="19" t="s">
        <v>2868</v>
      </c>
      <c r="D325" s="45">
        <v>8</v>
      </c>
      <c r="E325" s="19"/>
      <c r="F325" s="19"/>
    </row>
    <row r="326" spans="1:6" x14ac:dyDescent="0.25">
      <c r="A326" s="19">
        <v>355</v>
      </c>
      <c r="B326" s="19" t="s">
        <v>2869</v>
      </c>
      <c r="C326" s="19" t="s">
        <v>2870</v>
      </c>
      <c r="D326" s="45">
        <v>8</v>
      </c>
      <c r="E326" s="19"/>
      <c r="F326" s="19"/>
    </row>
    <row r="327" spans="1:6" x14ac:dyDescent="0.25">
      <c r="A327" s="19">
        <v>356</v>
      </c>
      <c r="B327" s="19" t="s">
        <v>2871</v>
      </c>
      <c r="C327" s="19" t="s">
        <v>2872</v>
      </c>
      <c r="D327" s="45">
        <v>8</v>
      </c>
      <c r="E327" s="19"/>
      <c r="F327" s="19"/>
    </row>
    <row r="328" spans="1:6" x14ac:dyDescent="0.25">
      <c r="A328" s="19">
        <v>357</v>
      </c>
      <c r="B328" s="19" t="s">
        <v>2873</v>
      </c>
      <c r="C328" s="19" t="s">
        <v>2874</v>
      </c>
      <c r="D328" s="45">
        <v>8</v>
      </c>
      <c r="E328" s="19"/>
      <c r="F328" s="19"/>
    </row>
    <row r="329" spans="1:6" x14ac:dyDescent="0.25">
      <c r="A329" s="19">
        <v>358</v>
      </c>
      <c r="B329" s="19" t="s">
        <v>2875</v>
      </c>
      <c r="C329" s="19" t="s">
        <v>2876</v>
      </c>
      <c r="D329" s="45">
        <v>1</v>
      </c>
      <c r="E329" s="19"/>
      <c r="F329" s="19"/>
    </row>
    <row r="330" spans="1:6" x14ac:dyDescent="0.25">
      <c r="A330" s="19">
        <v>359</v>
      </c>
      <c r="B330" s="19" t="s">
        <v>2877</v>
      </c>
      <c r="C330" s="19" t="s">
        <v>2878</v>
      </c>
      <c r="D330" s="45">
        <v>1</v>
      </c>
      <c r="E330" s="19"/>
      <c r="F330" s="19"/>
    </row>
    <row r="331" spans="1:6" x14ac:dyDescent="0.25">
      <c r="A331" s="19">
        <v>360</v>
      </c>
      <c r="B331" s="19" t="s">
        <v>2879</v>
      </c>
      <c r="C331" s="19" t="s">
        <v>2880</v>
      </c>
      <c r="D331" s="45">
        <v>1</v>
      </c>
      <c r="E331" s="19"/>
      <c r="F331" s="19"/>
    </row>
    <row r="332" spans="1:6" x14ac:dyDescent="0.25">
      <c r="A332" s="19">
        <v>361</v>
      </c>
      <c r="B332" s="19" t="s">
        <v>2881</v>
      </c>
      <c r="C332" s="19" t="s">
        <v>2882</v>
      </c>
      <c r="D332" s="45">
        <v>1</v>
      </c>
      <c r="E332" s="19"/>
      <c r="F332" s="19"/>
    </row>
    <row r="333" spans="1:6" x14ac:dyDescent="0.25">
      <c r="A333" s="19">
        <v>362</v>
      </c>
      <c r="B333" s="19" t="s">
        <v>2883</v>
      </c>
      <c r="C333" s="19" t="s">
        <v>2884</v>
      </c>
      <c r="D333" s="45">
        <v>1</v>
      </c>
      <c r="E333" s="19"/>
      <c r="F333" s="19"/>
    </row>
    <row r="334" spans="1:6" x14ac:dyDescent="0.25">
      <c r="A334" s="19">
        <v>363</v>
      </c>
      <c r="B334" s="19" t="s">
        <v>2885</v>
      </c>
      <c r="C334" s="19" t="s">
        <v>2886</v>
      </c>
      <c r="D334" s="45">
        <v>1</v>
      </c>
      <c r="E334" s="19"/>
      <c r="F334" s="19"/>
    </row>
    <row r="335" spans="1:6" x14ac:dyDescent="0.25">
      <c r="A335" s="19">
        <v>364</v>
      </c>
      <c r="B335" s="19" t="s">
        <v>2887</v>
      </c>
      <c r="C335" s="19" t="s">
        <v>2888</v>
      </c>
      <c r="D335" s="45">
        <v>1</v>
      </c>
      <c r="E335" s="19"/>
      <c r="F335" s="19"/>
    </row>
    <row r="336" spans="1:6" x14ac:dyDescent="0.25">
      <c r="A336" s="19">
        <v>365</v>
      </c>
      <c r="B336" s="19" t="s">
        <v>2889</v>
      </c>
      <c r="C336" s="19" t="s">
        <v>2890</v>
      </c>
      <c r="D336" s="45">
        <v>1</v>
      </c>
      <c r="E336" s="19"/>
      <c r="F336" s="19"/>
    </row>
    <row r="337" spans="1:6" x14ac:dyDescent="0.25">
      <c r="A337" s="19">
        <v>366</v>
      </c>
      <c r="B337" s="19" t="s">
        <v>2891</v>
      </c>
      <c r="C337" s="19" t="s">
        <v>2892</v>
      </c>
      <c r="D337" s="45">
        <v>0</v>
      </c>
      <c r="E337" s="19"/>
      <c r="F337" s="19"/>
    </row>
    <row r="338" spans="1:6" x14ac:dyDescent="0.25">
      <c r="A338" s="19">
        <v>367</v>
      </c>
      <c r="B338" s="19" t="s">
        <v>2893</v>
      </c>
      <c r="C338" s="19" t="s">
        <v>2894</v>
      </c>
      <c r="D338" s="45">
        <v>0</v>
      </c>
      <c r="E338" s="19"/>
      <c r="F338" s="19"/>
    </row>
    <row r="339" spans="1:6" x14ac:dyDescent="0.25">
      <c r="A339" s="19">
        <v>368</v>
      </c>
      <c r="B339" s="19" t="s">
        <v>2895</v>
      </c>
      <c r="C339" s="19" t="s">
        <v>2896</v>
      </c>
      <c r="D339" s="45">
        <v>1</v>
      </c>
      <c r="E339" s="19"/>
      <c r="F339" s="19"/>
    </row>
    <row r="340" spans="1:6" x14ac:dyDescent="0.25">
      <c r="A340" s="19">
        <v>369</v>
      </c>
      <c r="B340" s="19" t="s">
        <v>2897</v>
      </c>
      <c r="C340" s="19" t="s">
        <v>2898</v>
      </c>
      <c r="D340" s="45">
        <v>1</v>
      </c>
      <c r="E340" s="19"/>
      <c r="F340" s="19"/>
    </row>
    <row r="341" spans="1:6" x14ac:dyDescent="0.25">
      <c r="A341" s="19">
        <v>370</v>
      </c>
      <c r="B341" s="19" t="s">
        <v>2899</v>
      </c>
      <c r="C341" s="19" t="s">
        <v>2900</v>
      </c>
      <c r="D341" s="45">
        <v>1</v>
      </c>
      <c r="E341" s="19"/>
      <c r="F341" s="19"/>
    </row>
    <row r="342" spans="1:6" x14ac:dyDescent="0.25">
      <c r="A342" s="19">
        <v>371</v>
      </c>
      <c r="B342" s="19" t="s">
        <v>2901</v>
      </c>
      <c r="C342" s="19" t="s">
        <v>2902</v>
      </c>
      <c r="D342" s="45">
        <v>1</v>
      </c>
      <c r="E342" s="19"/>
      <c r="F342" s="19"/>
    </row>
    <row r="343" spans="1:6" x14ac:dyDescent="0.25">
      <c r="A343" s="19">
        <v>372</v>
      </c>
      <c r="B343" s="19" t="s">
        <v>2903</v>
      </c>
      <c r="C343" s="19" t="s">
        <v>2904</v>
      </c>
      <c r="D343" s="45">
        <v>1</v>
      </c>
      <c r="E343" s="19"/>
      <c r="F343" s="19"/>
    </row>
    <row r="344" spans="1:6" x14ac:dyDescent="0.25">
      <c r="A344" s="19">
        <v>373</v>
      </c>
      <c r="B344" s="19" t="s">
        <v>2905</v>
      </c>
      <c r="C344" s="19" t="s">
        <v>2907</v>
      </c>
      <c r="D344" s="45">
        <v>1</v>
      </c>
      <c r="E344" s="19"/>
      <c r="F344" s="19"/>
    </row>
    <row r="345" spans="1:6" x14ac:dyDescent="0.25">
      <c r="A345" s="19">
        <v>374</v>
      </c>
      <c r="B345" s="19" t="s">
        <v>2908</v>
      </c>
      <c r="C345" s="19" t="s">
        <v>2909</v>
      </c>
      <c r="D345" s="45">
        <v>1</v>
      </c>
      <c r="E345" s="19"/>
      <c r="F345" s="19"/>
    </row>
    <row r="346" spans="1:6" x14ac:dyDescent="0.25">
      <c r="A346" s="19">
        <v>375</v>
      </c>
      <c r="B346" s="19" t="s">
        <v>2910</v>
      </c>
      <c r="C346" s="19" t="s">
        <v>2911</v>
      </c>
      <c r="D346" s="45">
        <v>1</v>
      </c>
      <c r="E346" s="19"/>
      <c r="F346" s="19"/>
    </row>
    <row r="347" spans="1:6" x14ac:dyDescent="0.25">
      <c r="A347" s="19">
        <v>376</v>
      </c>
      <c r="B347" s="19" t="s">
        <v>2912</v>
      </c>
      <c r="C347" s="19" t="s">
        <v>2913</v>
      </c>
      <c r="D347" s="45">
        <v>1</v>
      </c>
      <c r="E347" s="19"/>
      <c r="F347" s="19"/>
    </row>
    <row r="348" spans="1:6" x14ac:dyDescent="0.25">
      <c r="A348" s="19">
        <v>377</v>
      </c>
      <c r="B348" s="19" t="s">
        <v>2914</v>
      </c>
      <c r="C348" s="19" t="s">
        <v>2915</v>
      </c>
      <c r="D348" s="45">
        <v>1</v>
      </c>
      <c r="E348" s="19"/>
      <c r="F348" s="19"/>
    </row>
    <row r="349" spans="1:6" x14ac:dyDescent="0.25">
      <c r="A349" s="19">
        <v>378</v>
      </c>
      <c r="B349" s="19" t="s">
        <v>2916</v>
      </c>
      <c r="C349" s="19" t="s">
        <v>2917</v>
      </c>
      <c r="D349" s="45">
        <v>1</v>
      </c>
      <c r="E349" s="19"/>
      <c r="F349" s="19"/>
    </row>
    <row r="350" spans="1:6" x14ac:dyDescent="0.25">
      <c r="A350" s="19">
        <v>379</v>
      </c>
      <c r="B350" s="19" t="s">
        <v>2918</v>
      </c>
      <c r="C350" s="19" t="s">
        <v>2919</v>
      </c>
      <c r="D350" s="45">
        <v>8</v>
      </c>
      <c r="E350" s="19"/>
      <c r="F350" s="19"/>
    </row>
    <row r="351" spans="1:6" x14ac:dyDescent="0.25">
      <c r="A351" s="19">
        <v>380</v>
      </c>
      <c r="B351" s="19" t="s">
        <v>2920</v>
      </c>
      <c r="C351" s="19" t="s">
        <v>2921</v>
      </c>
      <c r="D351" s="45">
        <v>1</v>
      </c>
      <c r="E351" s="19"/>
      <c r="F351" s="19"/>
    </row>
    <row r="352" spans="1:6" x14ac:dyDescent="0.25">
      <c r="A352" s="19">
        <v>381</v>
      </c>
      <c r="B352" s="19" t="s">
        <v>2922</v>
      </c>
      <c r="C352" s="19" t="s">
        <v>2923</v>
      </c>
      <c r="D352" s="45">
        <v>9</v>
      </c>
      <c r="E352" s="19"/>
      <c r="F352" s="19"/>
    </row>
    <row r="353" spans="1:6" x14ac:dyDescent="0.25">
      <c r="A353" s="19">
        <v>382</v>
      </c>
      <c r="B353" s="19" t="s">
        <v>2924</v>
      </c>
      <c r="C353" s="19" t="s">
        <v>2925</v>
      </c>
      <c r="D353" s="45">
        <v>1</v>
      </c>
      <c r="E353" s="19"/>
      <c r="F353" s="19"/>
    </row>
    <row r="354" spans="1:6" x14ac:dyDescent="0.25">
      <c r="A354" s="19">
        <v>383</v>
      </c>
      <c r="B354" s="19" t="s">
        <v>2926</v>
      </c>
      <c r="C354" s="19" t="s">
        <v>2927</v>
      </c>
      <c r="D354" s="45">
        <v>1</v>
      </c>
      <c r="E354" s="19"/>
      <c r="F354" s="19"/>
    </row>
    <row r="355" spans="1:6" x14ac:dyDescent="0.25">
      <c r="A355" s="19">
        <v>384</v>
      </c>
      <c r="B355" s="19" t="s">
        <v>2928</v>
      </c>
      <c r="C355" s="19" t="s">
        <v>2929</v>
      </c>
      <c r="D355" s="45">
        <v>0</v>
      </c>
      <c r="E355" s="19"/>
      <c r="F355" s="19"/>
    </row>
    <row r="356" spans="1:6" x14ac:dyDescent="0.25">
      <c r="A356" s="19">
        <v>385</v>
      </c>
      <c r="B356" s="19" t="s">
        <v>2930</v>
      </c>
      <c r="C356" s="19" t="s">
        <v>2929</v>
      </c>
      <c r="D356" s="45">
        <v>0</v>
      </c>
      <c r="E356" s="19"/>
      <c r="F356" s="19"/>
    </row>
    <row r="357" spans="1:6" x14ac:dyDescent="0.25">
      <c r="A357" s="19">
        <v>386</v>
      </c>
      <c r="B357" s="19" t="s">
        <v>2931</v>
      </c>
      <c r="C357" s="19" t="s">
        <v>2932</v>
      </c>
      <c r="D357" s="45">
        <v>0</v>
      </c>
      <c r="E357" s="19"/>
      <c r="F357" s="19"/>
    </row>
    <row r="358" spans="1:6" x14ac:dyDescent="0.25">
      <c r="A358" s="19">
        <v>387</v>
      </c>
      <c r="B358" s="19" t="s">
        <v>2933</v>
      </c>
      <c r="C358" s="19" t="s">
        <v>2934</v>
      </c>
      <c r="D358" s="45">
        <v>1</v>
      </c>
      <c r="E358" s="19"/>
      <c r="F358" s="19"/>
    </row>
    <row r="359" spans="1:6" x14ac:dyDescent="0.25">
      <c r="A359" s="19">
        <v>388</v>
      </c>
      <c r="B359" s="19" t="s">
        <v>2935</v>
      </c>
      <c r="C359" s="19" t="s">
        <v>2936</v>
      </c>
      <c r="D359" s="45">
        <v>1</v>
      </c>
      <c r="E359" s="19"/>
      <c r="F359" s="19"/>
    </row>
    <row r="360" spans="1:6" x14ac:dyDescent="0.25">
      <c r="A360" s="19">
        <v>389</v>
      </c>
      <c r="B360" s="19" t="s">
        <v>2937</v>
      </c>
      <c r="C360" s="19" t="s">
        <v>2938</v>
      </c>
      <c r="D360" s="45">
        <v>1</v>
      </c>
      <c r="E360" s="19"/>
      <c r="F360" s="19"/>
    </row>
    <row r="361" spans="1:6" x14ac:dyDescent="0.25">
      <c r="A361" s="19">
        <v>390</v>
      </c>
      <c r="B361" s="19" t="s">
        <v>2939</v>
      </c>
      <c r="C361" s="19" t="s">
        <v>2940</v>
      </c>
      <c r="D361" s="45">
        <v>1</v>
      </c>
      <c r="E361" s="19"/>
      <c r="F361" s="19"/>
    </row>
    <row r="362" spans="1:6" x14ac:dyDescent="0.25">
      <c r="A362" s="19">
        <v>391</v>
      </c>
      <c r="B362" s="19" t="s">
        <v>2941</v>
      </c>
      <c r="C362" s="19" t="s">
        <v>2942</v>
      </c>
      <c r="D362" s="45">
        <v>1</v>
      </c>
      <c r="E362" s="19"/>
      <c r="F362" s="19"/>
    </row>
    <row r="363" spans="1:6" x14ac:dyDescent="0.25">
      <c r="A363" s="19">
        <v>392</v>
      </c>
      <c r="B363" s="19" t="s">
        <v>2943</v>
      </c>
      <c r="C363" s="19" t="s">
        <v>2944</v>
      </c>
      <c r="D363" s="45">
        <v>1</v>
      </c>
      <c r="E363" s="19"/>
      <c r="F363" s="19"/>
    </row>
    <row r="364" spans="1:6" x14ac:dyDescent="0.25">
      <c r="A364" s="19">
        <v>393</v>
      </c>
      <c r="B364" s="19" t="s">
        <v>2945</v>
      </c>
      <c r="C364" s="19" t="s">
        <v>2946</v>
      </c>
      <c r="D364" s="45">
        <v>1</v>
      </c>
      <c r="E364" s="19"/>
      <c r="F364" s="19"/>
    </row>
    <row r="365" spans="1:6" x14ac:dyDescent="0.25">
      <c r="A365" s="19">
        <v>394</v>
      </c>
      <c r="B365" s="19" t="s">
        <v>2947</v>
      </c>
      <c r="C365" s="19" t="s">
        <v>2948</v>
      </c>
      <c r="D365" s="45">
        <v>1</v>
      </c>
      <c r="E365" s="19"/>
      <c r="F365" s="19"/>
    </row>
    <row r="366" spans="1:6" x14ac:dyDescent="0.25">
      <c r="A366" s="19">
        <v>395</v>
      </c>
      <c r="B366" s="19" t="s">
        <v>2949</v>
      </c>
      <c r="C366" s="19" t="s">
        <v>2950</v>
      </c>
      <c r="D366" s="45">
        <v>8</v>
      </c>
      <c r="E366" s="19"/>
      <c r="F366" s="19"/>
    </row>
    <row r="367" spans="1:6" x14ac:dyDescent="0.25">
      <c r="A367" s="19">
        <v>396</v>
      </c>
      <c r="B367" s="19" t="s">
        <v>2951</v>
      </c>
      <c r="C367" s="19" t="s">
        <v>2952</v>
      </c>
      <c r="D367" s="45">
        <v>1</v>
      </c>
      <c r="E367" s="19"/>
      <c r="F367" s="19"/>
    </row>
    <row r="368" spans="1:6" x14ac:dyDescent="0.25">
      <c r="A368" s="19">
        <v>397</v>
      </c>
      <c r="B368" s="19" t="s">
        <v>2953</v>
      </c>
      <c r="C368" s="19" t="s">
        <v>2954</v>
      </c>
      <c r="D368" s="45">
        <v>8</v>
      </c>
      <c r="E368" s="19"/>
      <c r="F368" s="19"/>
    </row>
    <row r="369" spans="1:6" x14ac:dyDescent="0.25">
      <c r="A369" s="19">
        <v>398</v>
      </c>
      <c r="B369" s="19" t="s">
        <v>2955</v>
      </c>
      <c r="C369" s="19" t="s">
        <v>2956</v>
      </c>
      <c r="D369" s="45">
        <v>8</v>
      </c>
      <c r="E369" s="19"/>
      <c r="F369" s="19"/>
    </row>
    <row r="370" spans="1:6" x14ac:dyDescent="0.25">
      <c r="A370" s="19">
        <v>399</v>
      </c>
      <c r="B370" s="19" t="s">
        <v>2957</v>
      </c>
      <c r="C370" s="19" t="s">
        <v>2958</v>
      </c>
      <c r="D370" s="45">
        <v>1</v>
      </c>
      <c r="E370" s="19"/>
      <c r="F370" s="19"/>
    </row>
    <row r="371" spans="1:6" x14ac:dyDescent="0.25">
      <c r="A371" s="19">
        <v>400</v>
      </c>
      <c r="B371" s="19" t="s">
        <v>2959</v>
      </c>
      <c r="C371" s="19" t="s">
        <v>2960</v>
      </c>
      <c r="D371" s="45">
        <v>1</v>
      </c>
      <c r="E371" s="19"/>
      <c r="F371" s="19"/>
    </row>
    <row r="372" spans="1:6" x14ac:dyDescent="0.25">
      <c r="A372" s="19">
        <v>401</v>
      </c>
      <c r="B372" s="19" t="s">
        <v>2961</v>
      </c>
      <c r="C372" s="19" t="s">
        <v>2962</v>
      </c>
      <c r="D372" s="45">
        <v>1</v>
      </c>
      <c r="E372" s="19"/>
      <c r="F372" s="19"/>
    </row>
    <row r="373" spans="1:6" x14ac:dyDescent="0.25">
      <c r="A373" s="19">
        <v>402</v>
      </c>
      <c r="B373" s="19" t="s">
        <v>2963</v>
      </c>
      <c r="C373" s="19" t="s">
        <v>2964</v>
      </c>
      <c r="D373" s="45">
        <v>0</v>
      </c>
      <c r="E373" s="19"/>
      <c r="F373" s="19"/>
    </row>
    <row r="374" spans="1:6" x14ac:dyDescent="0.25">
      <c r="A374" s="19">
        <v>403</v>
      </c>
      <c r="B374" s="19" t="s">
        <v>2965</v>
      </c>
      <c r="C374" s="19" t="s">
        <v>2966</v>
      </c>
      <c r="D374" s="45">
        <v>1</v>
      </c>
      <c r="E374" s="19"/>
      <c r="F374" s="19"/>
    </row>
    <row r="375" spans="1:6" x14ac:dyDescent="0.25">
      <c r="A375" s="19">
        <v>404</v>
      </c>
      <c r="B375" s="19" t="s">
        <v>2967</v>
      </c>
      <c r="C375" s="19" t="s">
        <v>2968</v>
      </c>
      <c r="D375" s="45">
        <v>1</v>
      </c>
      <c r="E375" s="19"/>
      <c r="F375" s="19"/>
    </row>
    <row r="376" spans="1:6" x14ac:dyDescent="0.25">
      <c r="A376" s="19">
        <v>405</v>
      </c>
      <c r="B376" s="19" t="s">
        <v>2969</v>
      </c>
      <c r="C376" s="19" t="s">
        <v>2970</v>
      </c>
      <c r="D376" s="45">
        <v>1</v>
      </c>
      <c r="E376" s="19"/>
      <c r="F376" s="19"/>
    </row>
    <row r="377" spans="1:6" x14ac:dyDescent="0.25">
      <c r="A377" s="19">
        <v>406</v>
      </c>
      <c r="B377" s="19" t="s">
        <v>2971</v>
      </c>
      <c r="C377" s="19" t="s">
        <v>2972</v>
      </c>
      <c r="D377" s="45">
        <v>1</v>
      </c>
      <c r="E377" s="19"/>
      <c r="F377" s="19"/>
    </row>
    <row r="378" spans="1:6" x14ac:dyDescent="0.25">
      <c r="A378" s="19">
        <v>407</v>
      </c>
      <c r="B378" s="19" t="s">
        <v>2973</v>
      </c>
      <c r="C378" s="19" t="s">
        <v>2974</v>
      </c>
      <c r="D378" s="45">
        <v>1</v>
      </c>
      <c r="E378" s="19"/>
      <c r="F378" s="19"/>
    </row>
    <row r="379" spans="1:6" x14ac:dyDescent="0.25">
      <c r="A379" s="19">
        <v>408</v>
      </c>
      <c r="B379" s="19" t="s">
        <v>2975</v>
      </c>
      <c r="C379" s="19" t="s">
        <v>2976</v>
      </c>
      <c r="D379" s="45">
        <v>1</v>
      </c>
      <c r="E379" s="19"/>
      <c r="F379" s="19"/>
    </row>
    <row r="380" spans="1:6" x14ac:dyDescent="0.25">
      <c r="A380" s="19">
        <v>409</v>
      </c>
      <c r="B380" s="19" t="s">
        <v>2977</v>
      </c>
      <c r="C380" s="19" t="s">
        <v>1801</v>
      </c>
      <c r="D380" s="45">
        <v>1</v>
      </c>
      <c r="E380" s="19"/>
      <c r="F380" s="19"/>
    </row>
    <row r="381" spans="1:6" x14ac:dyDescent="0.25">
      <c r="A381" s="19">
        <v>410</v>
      </c>
      <c r="B381" s="19" t="s">
        <v>2978</v>
      </c>
      <c r="C381" s="19" t="s">
        <v>2979</v>
      </c>
      <c r="D381" s="45">
        <v>1</v>
      </c>
      <c r="E381" s="19"/>
      <c r="F381" s="19"/>
    </row>
    <row r="382" spans="1:6" x14ac:dyDescent="0.25">
      <c r="A382" s="19">
        <v>411</v>
      </c>
      <c r="B382" s="19" t="s">
        <v>2980</v>
      </c>
      <c r="C382" s="19" t="s">
        <v>2981</v>
      </c>
      <c r="D382" s="45">
        <v>1</v>
      </c>
      <c r="E382" s="19"/>
      <c r="F382" s="19"/>
    </row>
    <row r="383" spans="1:6" x14ac:dyDescent="0.25">
      <c r="A383" s="19">
        <v>412</v>
      </c>
      <c r="B383" s="19" t="s">
        <v>2982</v>
      </c>
      <c r="C383" s="19" t="s">
        <v>2983</v>
      </c>
      <c r="D383" s="45">
        <v>0</v>
      </c>
      <c r="E383" s="19"/>
      <c r="F383" s="19"/>
    </row>
    <row r="384" spans="1:6" x14ac:dyDescent="0.25">
      <c r="A384" s="19">
        <v>413</v>
      </c>
      <c r="B384" s="19" t="s">
        <v>2984</v>
      </c>
      <c r="C384" s="19" t="s">
        <v>2985</v>
      </c>
      <c r="D384" s="45">
        <v>1</v>
      </c>
      <c r="E384" s="19"/>
      <c r="F384" s="19"/>
    </row>
    <row r="385" spans="1:6" x14ac:dyDescent="0.25">
      <c r="A385" s="19">
        <v>414</v>
      </c>
      <c r="B385" s="19" t="s">
        <v>2986</v>
      </c>
      <c r="C385" s="19" t="s">
        <v>2987</v>
      </c>
      <c r="D385" s="45">
        <v>1</v>
      </c>
      <c r="E385" s="19"/>
      <c r="F385" s="19"/>
    </row>
    <row r="386" spans="1:6" x14ac:dyDescent="0.25">
      <c r="A386" s="19">
        <v>415</v>
      </c>
      <c r="B386" s="19" t="s">
        <v>2988</v>
      </c>
      <c r="C386" s="19" t="s">
        <v>2989</v>
      </c>
      <c r="D386" s="45">
        <v>1</v>
      </c>
      <c r="E386" s="19"/>
      <c r="F386" s="19"/>
    </row>
    <row r="387" spans="1:6" x14ac:dyDescent="0.25">
      <c r="A387" s="19">
        <v>416</v>
      </c>
      <c r="B387" s="19" t="s">
        <v>2990</v>
      </c>
      <c r="C387" s="19" t="s">
        <v>2991</v>
      </c>
      <c r="D387" s="45">
        <v>1</v>
      </c>
      <c r="E387" s="19"/>
      <c r="F387" s="19"/>
    </row>
    <row r="388" spans="1:6" x14ac:dyDescent="0.25">
      <c r="A388" s="19">
        <v>417</v>
      </c>
      <c r="B388" s="19" t="s">
        <v>2992</v>
      </c>
      <c r="C388" s="19" t="s">
        <v>2993</v>
      </c>
      <c r="D388" s="45">
        <v>8</v>
      </c>
      <c r="E388" s="19"/>
      <c r="F388" s="19"/>
    </row>
    <row r="389" spans="1:6" x14ac:dyDescent="0.25">
      <c r="A389" s="19">
        <v>418</v>
      </c>
      <c r="B389" s="19" t="s">
        <v>2994</v>
      </c>
      <c r="C389" s="19" t="s">
        <v>2995</v>
      </c>
      <c r="D389" s="45">
        <v>1</v>
      </c>
      <c r="E389" s="19"/>
      <c r="F389" s="19"/>
    </row>
    <row r="390" spans="1:6" x14ac:dyDescent="0.25">
      <c r="A390" s="19">
        <v>419</v>
      </c>
      <c r="B390" s="19" t="s">
        <v>2996</v>
      </c>
      <c r="C390" s="19" t="s">
        <v>2997</v>
      </c>
      <c r="D390" s="45">
        <v>1</v>
      </c>
      <c r="E390" s="19"/>
      <c r="F390" s="19"/>
    </row>
    <row r="391" spans="1:6" x14ac:dyDescent="0.25">
      <c r="A391" s="19">
        <v>420</v>
      </c>
      <c r="B391" s="19" t="s">
        <v>2998</v>
      </c>
      <c r="C391" s="19" t="s">
        <v>2999</v>
      </c>
      <c r="D391" s="45">
        <v>8</v>
      </c>
      <c r="E391" s="19"/>
      <c r="F391" s="19"/>
    </row>
    <row r="392" spans="1:6" x14ac:dyDescent="0.25">
      <c r="A392" s="19">
        <v>421</v>
      </c>
      <c r="B392" s="19" t="s">
        <v>3000</v>
      </c>
      <c r="C392" s="19" t="s">
        <v>3001</v>
      </c>
      <c r="D392" s="45">
        <v>9</v>
      </c>
      <c r="E392" s="19"/>
      <c r="F392" s="19"/>
    </row>
    <row r="393" spans="1:6" x14ac:dyDescent="0.25">
      <c r="A393" s="19">
        <v>422</v>
      </c>
      <c r="B393" s="19" t="s">
        <v>3002</v>
      </c>
      <c r="C393" s="19" t="s">
        <v>3003</v>
      </c>
      <c r="D393" s="45">
        <v>1</v>
      </c>
      <c r="E393" s="19"/>
      <c r="F393" s="19"/>
    </row>
    <row r="394" spans="1:6" x14ac:dyDescent="0.25">
      <c r="A394" s="19">
        <v>423</v>
      </c>
      <c r="B394" s="19" t="s">
        <v>3004</v>
      </c>
      <c r="C394" s="19" t="s">
        <v>3005</v>
      </c>
      <c r="D394" s="45">
        <v>1</v>
      </c>
      <c r="E394" s="19"/>
      <c r="F394" s="19"/>
    </row>
    <row r="395" spans="1:6" x14ac:dyDescent="0.25">
      <c r="A395" s="19">
        <v>424</v>
      </c>
      <c r="B395" s="19" t="s">
        <v>3006</v>
      </c>
      <c r="C395" s="19" t="s">
        <v>3007</v>
      </c>
      <c r="D395" s="45">
        <v>9</v>
      </c>
      <c r="E395" s="19"/>
      <c r="F395" s="19"/>
    </row>
    <row r="396" spans="1:6" x14ac:dyDescent="0.25">
      <c r="A396" s="19">
        <v>425</v>
      </c>
      <c r="B396" s="19" t="s">
        <v>3008</v>
      </c>
      <c r="C396" s="19" t="s">
        <v>3009</v>
      </c>
      <c r="D396" s="45">
        <v>1</v>
      </c>
      <c r="E396" s="19"/>
      <c r="F396" s="19"/>
    </row>
    <row r="397" spans="1:6" x14ac:dyDescent="0.25">
      <c r="A397" s="19">
        <v>426</v>
      </c>
      <c r="B397" s="19" t="s">
        <v>3010</v>
      </c>
      <c r="C397" s="19" t="s">
        <v>3011</v>
      </c>
      <c r="D397" s="45">
        <v>1</v>
      </c>
      <c r="E397" s="19"/>
      <c r="F397" s="19"/>
    </row>
    <row r="398" spans="1:6" x14ac:dyDescent="0.25">
      <c r="A398" s="19">
        <v>427</v>
      </c>
      <c r="B398" s="19" t="s">
        <v>3012</v>
      </c>
      <c r="C398" s="19" t="s">
        <v>3013</v>
      </c>
      <c r="D398" s="45">
        <v>1</v>
      </c>
      <c r="E398" s="19"/>
      <c r="F398" s="19"/>
    </row>
    <row r="399" spans="1:6" x14ac:dyDescent="0.25">
      <c r="A399" s="19">
        <v>428</v>
      </c>
      <c r="B399" s="19" t="s">
        <v>3014</v>
      </c>
      <c r="C399" s="19" t="s">
        <v>3015</v>
      </c>
      <c r="D399" s="45">
        <v>1</v>
      </c>
      <c r="E399" s="19"/>
      <c r="F399" s="19"/>
    </row>
    <row r="400" spans="1:6" x14ac:dyDescent="0.25">
      <c r="A400" s="19">
        <v>429</v>
      </c>
      <c r="B400" s="19" t="s">
        <v>3016</v>
      </c>
      <c r="C400" s="19" t="s">
        <v>3017</v>
      </c>
      <c r="D400" s="45">
        <v>1</v>
      </c>
      <c r="E400" s="19"/>
      <c r="F400" s="19"/>
    </row>
    <row r="401" spans="1:6" x14ac:dyDescent="0.25">
      <c r="A401" s="19">
        <v>430</v>
      </c>
      <c r="B401" s="19" t="s">
        <v>3018</v>
      </c>
      <c r="C401" s="19" t="s">
        <v>3019</v>
      </c>
      <c r="D401" s="45">
        <v>1</v>
      </c>
      <c r="E401" s="19"/>
      <c r="F401" s="19"/>
    </row>
    <row r="402" spans="1:6" x14ac:dyDescent="0.25">
      <c r="A402" s="19">
        <v>432</v>
      </c>
      <c r="B402" s="19" t="s">
        <v>3020</v>
      </c>
      <c r="C402" s="19" t="s">
        <v>3021</v>
      </c>
      <c r="D402" s="45">
        <v>1</v>
      </c>
      <c r="E402" s="19"/>
      <c r="F402" s="19"/>
    </row>
    <row r="403" spans="1:6" x14ac:dyDescent="0.25">
      <c r="A403" s="19">
        <v>433</v>
      </c>
      <c r="B403" s="19" t="s">
        <v>3022</v>
      </c>
      <c r="C403" s="19" t="s">
        <v>3023</v>
      </c>
      <c r="D403" s="45">
        <v>1</v>
      </c>
      <c r="E403" s="19"/>
      <c r="F403" s="19"/>
    </row>
    <row r="404" spans="1:6" x14ac:dyDescent="0.25">
      <c r="A404" s="19">
        <v>434</v>
      </c>
      <c r="B404" s="19" t="s">
        <v>3024</v>
      </c>
      <c r="C404" s="19" t="s">
        <v>3025</v>
      </c>
      <c r="D404" s="45">
        <v>1</v>
      </c>
      <c r="E404" s="19"/>
      <c r="F404" s="19"/>
    </row>
    <row r="405" spans="1:6" x14ac:dyDescent="0.25">
      <c r="A405" s="19">
        <v>435</v>
      </c>
      <c r="B405" s="19" t="s">
        <v>3026</v>
      </c>
      <c r="C405" s="19" t="s">
        <v>3027</v>
      </c>
      <c r="D405" s="45">
        <v>1</v>
      </c>
      <c r="E405" s="19"/>
      <c r="F405" s="19"/>
    </row>
    <row r="406" spans="1:6" x14ac:dyDescent="0.25">
      <c r="A406" s="19">
        <v>436</v>
      </c>
      <c r="B406" s="19" t="s">
        <v>3028</v>
      </c>
      <c r="C406" s="19" t="s">
        <v>306</v>
      </c>
      <c r="D406" s="45">
        <v>1</v>
      </c>
      <c r="E406" s="19"/>
      <c r="F406" s="19"/>
    </row>
    <row r="407" spans="1:6" x14ac:dyDescent="0.25">
      <c r="A407" s="19">
        <v>437</v>
      </c>
      <c r="B407" s="19" t="s">
        <v>3029</v>
      </c>
      <c r="C407" s="19" t="s">
        <v>3030</v>
      </c>
      <c r="D407" s="45">
        <v>1</v>
      </c>
      <c r="E407" s="19"/>
      <c r="F407" s="19"/>
    </row>
    <row r="408" spans="1:6" x14ac:dyDescent="0.25">
      <c r="A408" s="19">
        <v>438</v>
      </c>
      <c r="B408" s="19" t="s">
        <v>3031</v>
      </c>
      <c r="C408" s="19" t="s">
        <v>3032</v>
      </c>
      <c r="D408" s="45">
        <v>1</v>
      </c>
      <c r="E408" s="19"/>
      <c r="F408" s="19"/>
    </row>
    <row r="409" spans="1:6" x14ac:dyDescent="0.25">
      <c r="A409" s="19">
        <v>439</v>
      </c>
      <c r="B409" s="19" t="s">
        <v>3033</v>
      </c>
      <c r="C409" s="19" t="s">
        <v>3034</v>
      </c>
      <c r="D409" s="45">
        <v>1</v>
      </c>
      <c r="E409" s="19"/>
      <c r="F409" s="19"/>
    </row>
    <row r="410" spans="1:6" x14ac:dyDescent="0.25">
      <c r="A410" s="19">
        <v>440</v>
      </c>
      <c r="B410" s="19" t="s">
        <v>3035</v>
      </c>
      <c r="C410" s="19" t="s">
        <v>3036</v>
      </c>
      <c r="D410" s="45">
        <v>1</v>
      </c>
      <c r="E410" s="19"/>
      <c r="F410" s="19"/>
    </row>
    <row r="411" spans="1:6" x14ac:dyDescent="0.25">
      <c r="A411" s="19">
        <v>441</v>
      </c>
      <c r="B411" s="19" t="s">
        <v>3037</v>
      </c>
      <c r="C411" s="19" t="s">
        <v>3038</v>
      </c>
      <c r="D411" s="45">
        <v>1</v>
      </c>
      <c r="E411" s="19" t="s">
        <v>6</v>
      </c>
      <c r="F411" s="19"/>
    </row>
    <row r="412" spans="1:6" x14ac:dyDescent="0.25">
      <c r="A412" s="19">
        <v>442</v>
      </c>
      <c r="B412" s="19" t="s">
        <v>3039</v>
      </c>
      <c r="C412" s="19" t="s">
        <v>3040</v>
      </c>
      <c r="D412" s="45">
        <v>1</v>
      </c>
      <c r="E412" s="19"/>
      <c r="F412" s="19"/>
    </row>
    <row r="413" spans="1:6" x14ac:dyDescent="0.25">
      <c r="A413" s="19">
        <v>443</v>
      </c>
      <c r="B413" s="19" t="s">
        <v>3041</v>
      </c>
      <c r="C413" s="19" t="s">
        <v>3043</v>
      </c>
      <c r="D413" s="45">
        <v>1</v>
      </c>
      <c r="E413" s="19"/>
      <c r="F413" s="19"/>
    </row>
    <row r="414" spans="1:6" x14ac:dyDescent="0.25">
      <c r="A414" s="19">
        <v>444</v>
      </c>
      <c r="B414" s="19" t="s">
        <v>3044</v>
      </c>
      <c r="C414" s="19" t="s">
        <v>3045</v>
      </c>
      <c r="D414" s="45">
        <v>9</v>
      </c>
      <c r="E414" s="19" t="s">
        <v>6</v>
      </c>
      <c r="F414" s="19"/>
    </row>
    <row r="415" spans="1:6" x14ac:dyDescent="0.25">
      <c r="A415" s="19">
        <v>445</v>
      </c>
      <c r="B415" s="19" t="s">
        <v>3046</v>
      </c>
      <c r="C415" s="19" t="s">
        <v>3047</v>
      </c>
      <c r="D415" s="45">
        <v>1</v>
      </c>
      <c r="E415" s="19"/>
      <c r="F415" s="19"/>
    </row>
    <row r="416" spans="1:6" x14ac:dyDescent="0.25">
      <c r="A416" s="19">
        <v>446</v>
      </c>
      <c r="B416" s="19" t="s">
        <v>3048</v>
      </c>
      <c r="C416" s="19" t="s">
        <v>3049</v>
      </c>
      <c r="D416" s="45">
        <v>1</v>
      </c>
      <c r="E416" s="19"/>
      <c r="F416" s="19"/>
    </row>
    <row r="417" spans="1:6" x14ac:dyDescent="0.25">
      <c r="A417" s="19">
        <v>447</v>
      </c>
      <c r="B417" s="19" t="s">
        <v>3050</v>
      </c>
      <c r="C417" s="19" t="s">
        <v>3051</v>
      </c>
      <c r="D417" s="45">
        <v>1</v>
      </c>
      <c r="E417" s="19"/>
      <c r="F417" s="19"/>
    </row>
    <row r="418" spans="1:6" x14ac:dyDescent="0.25">
      <c r="A418" s="19">
        <v>448</v>
      </c>
      <c r="B418" s="19" t="s">
        <v>3052</v>
      </c>
      <c r="C418" s="19" t="s">
        <v>3053</v>
      </c>
      <c r="D418" s="45">
        <v>1</v>
      </c>
      <c r="E418" s="19"/>
      <c r="F418" s="19"/>
    </row>
    <row r="419" spans="1:6" x14ac:dyDescent="0.25">
      <c r="A419" s="19">
        <v>449</v>
      </c>
      <c r="B419" s="19" t="s">
        <v>3054</v>
      </c>
      <c r="C419" s="19" t="s">
        <v>3055</v>
      </c>
      <c r="D419" s="45">
        <v>1</v>
      </c>
      <c r="E419" s="19"/>
      <c r="F419" s="19"/>
    </row>
    <row r="420" spans="1:6" x14ac:dyDescent="0.25">
      <c r="A420" s="19">
        <v>450</v>
      </c>
      <c r="B420" s="19" t="s">
        <v>3056</v>
      </c>
      <c r="C420" s="19" t="s">
        <v>3057</v>
      </c>
      <c r="D420" s="45">
        <v>1</v>
      </c>
      <c r="E420" s="19"/>
      <c r="F420" s="19"/>
    </row>
    <row r="421" spans="1:6" x14ac:dyDescent="0.25">
      <c r="A421" s="19">
        <v>451</v>
      </c>
      <c r="B421" s="19" t="s">
        <v>3058</v>
      </c>
      <c r="C421" s="19" t="s">
        <v>3059</v>
      </c>
      <c r="D421" s="45">
        <v>1</v>
      </c>
      <c r="E421" s="19"/>
      <c r="F421" s="19"/>
    </row>
    <row r="422" spans="1:6" x14ac:dyDescent="0.25">
      <c r="A422" s="19">
        <v>452</v>
      </c>
      <c r="B422" s="19" t="s">
        <v>3060</v>
      </c>
      <c r="C422" s="19" t="s">
        <v>3061</v>
      </c>
      <c r="D422" s="45">
        <v>1</v>
      </c>
      <c r="E422" s="19"/>
      <c r="F422" s="19"/>
    </row>
    <row r="423" spans="1:6" x14ac:dyDescent="0.25">
      <c r="A423" s="19">
        <v>453</v>
      </c>
      <c r="B423" s="19" t="s">
        <v>3062</v>
      </c>
      <c r="C423" s="19" t="s">
        <v>3063</v>
      </c>
      <c r="D423" s="45">
        <v>1</v>
      </c>
      <c r="E423" s="19"/>
      <c r="F423" s="19"/>
    </row>
    <row r="424" spans="1:6" x14ac:dyDescent="0.25">
      <c r="A424" s="19">
        <v>454</v>
      </c>
      <c r="B424" s="19" t="s">
        <v>3064</v>
      </c>
      <c r="C424" s="19" t="s">
        <v>3065</v>
      </c>
      <c r="D424" s="45">
        <v>1</v>
      </c>
      <c r="E424" s="19"/>
      <c r="F424" s="19"/>
    </row>
    <row r="425" spans="1:6" x14ac:dyDescent="0.25">
      <c r="A425" s="19">
        <v>455</v>
      </c>
      <c r="B425" s="19" t="s">
        <v>3066</v>
      </c>
      <c r="C425" s="19" t="s">
        <v>3067</v>
      </c>
      <c r="D425" s="45">
        <v>1</v>
      </c>
      <c r="E425" s="19"/>
      <c r="F425" s="19"/>
    </row>
    <row r="426" spans="1:6" x14ac:dyDescent="0.25">
      <c r="A426" s="19">
        <v>456</v>
      </c>
      <c r="B426" s="19" t="s">
        <v>3068</v>
      </c>
      <c r="C426" s="19" t="s">
        <v>3069</v>
      </c>
      <c r="D426" s="45">
        <v>1</v>
      </c>
      <c r="E426" s="19"/>
      <c r="F426" s="19"/>
    </row>
    <row r="427" spans="1:6" x14ac:dyDescent="0.25">
      <c r="A427" s="19">
        <v>457</v>
      </c>
      <c r="B427" s="19" t="s">
        <v>3070</v>
      </c>
      <c r="C427" s="19" t="s">
        <v>3071</v>
      </c>
      <c r="D427" s="45">
        <v>0</v>
      </c>
      <c r="E427" s="19"/>
      <c r="F427" s="19"/>
    </row>
    <row r="428" spans="1:6" x14ac:dyDescent="0.25">
      <c r="A428" s="19">
        <v>458</v>
      </c>
      <c r="B428" s="19" t="s">
        <v>3072</v>
      </c>
      <c r="C428" s="19" t="s">
        <v>3073</v>
      </c>
      <c r="D428" s="45">
        <v>1</v>
      </c>
      <c r="E428" s="19"/>
      <c r="F428" s="19"/>
    </row>
    <row r="429" spans="1:6" x14ac:dyDescent="0.25">
      <c r="A429" s="19">
        <v>459</v>
      </c>
      <c r="B429" s="19" t="s">
        <v>3074</v>
      </c>
      <c r="C429" s="19" t="s">
        <v>3075</v>
      </c>
      <c r="D429" s="45">
        <v>1</v>
      </c>
      <c r="E429" s="19"/>
      <c r="F429" s="19"/>
    </row>
    <row r="430" spans="1:6" x14ac:dyDescent="0.25">
      <c r="A430" s="19">
        <v>460</v>
      </c>
      <c r="B430" s="19" t="s">
        <v>3076</v>
      </c>
      <c r="C430" s="19" t="s">
        <v>3077</v>
      </c>
      <c r="D430" s="45">
        <v>1</v>
      </c>
      <c r="E430" s="19"/>
      <c r="F430" s="19"/>
    </row>
    <row r="431" spans="1:6" x14ac:dyDescent="0.25">
      <c r="A431" s="19">
        <v>461</v>
      </c>
      <c r="B431" s="19" t="s">
        <v>3078</v>
      </c>
      <c r="C431" s="19" t="s">
        <v>3079</v>
      </c>
      <c r="D431" s="45">
        <v>1</v>
      </c>
      <c r="E431" s="19"/>
      <c r="F431" s="19"/>
    </row>
    <row r="432" spans="1:6" x14ac:dyDescent="0.25">
      <c r="A432" s="19">
        <v>462</v>
      </c>
      <c r="B432" s="19" t="s">
        <v>3080</v>
      </c>
      <c r="C432" s="19" t="s">
        <v>3081</v>
      </c>
      <c r="D432" s="45">
        <v>1</v>
      </c>
      <c r="E432" s="19"/>
      <c r="F432" s="19"/>
    </row>
    <row r="433" spans="1:6" x14ac:dyDescent="0.25">
      <c r="A433" s="19">
        <v>463</v>
      </c>
      <c r="B433" s="19" t="s">
        <v>3082</v>
      </c>
      <c r="C433" s="19" t="s">
        <v>3083</v>
      </c>
      <c r="D433" s="45">
        <v>1</v>
      </c>
      <c r="E433" s="19"/>
      <c r="F433" s="19"/>
    </row>
    <row r="434" spans="1:6" x14ac:dyDescent="0.25">
      <c r="A434" s="19">
        <v>464</v>
      </c>
      <c r="B434" s="19" t="s">
        <v>3084</v>
      </c>
      <c r="C434" s="19" t="s">
        <v>3085</v>
      </c>
      <c r="D434" s="45">
        <v>1</v>
      </c>
      <c r="E434" s="19"/>
      <c r="F434" s="19"/>
    </row>
    <row r="435" spans="1:6" x14ac:dyDescent="0.25">
      <c r="A435" s="19">
        <v>465</v>
      </c>
      <c r="B435" s="19" t="s">
        <v>3086</v>
      </c>
      <c r="C435" s="19" t="s">
        <v>3087</v>
      </c>
      <c r="D435" s="45">
        <v>1</v>
      </c>
      <c r="E435" s="19"/>
      <c r="F435" s="19"/>
    </row>
    <row r="436" spans="1:6" x14ac:dyDescent="0.25">
      <c r="A436" s="19">
        <v>466</v>
      </c>
      <c r="B436" s="19" t="s">
        <v>3088</v>
      </c>
      <c r="C436" s="19" t="s">
        <v>3089</v>
      </c>
      <c r="D436" s="45">
        <v>0</v>
      </c>
      <c r="E436" s="19"/>
      <c r="F436" s="19"/>
    </row>
    <row r="437" spans="1:6" x14ac:dyDescent="0.25">
      <c r="A437" s="19">
        <v>467</v>
      </c>
      <c r="B437" s="19" t="s">
        <v>3090</v>
      </c>
      <c r="C437" s="19" t="s">
        <v>3091</v>
      </c>
      <c r="D437" s="45">
        <v>1</v>
      </c>
      <c r="E437" s="19"/>
      <c r="F437" s="19"/>
    </row>
    <row r="438" spans="1:6" x14ac:dyDescent="0.25">
      <c r="A438" s="19">
        <v>468</v>
      </c>
      <c r="B438" s="19" t="s">
        <v>3092</v>
      </c>
      <c r="C438" s="19" t="s">
        <v>3093</v>
      </c>
      <c r="D438" s="45">
        <v>6</v>
      </c>
      <c r="E438" s="19"/>
      <c r="F438" s="19"/>
    </row>
    <row r="439" spans="1:6" x14ac:dyDescent="0.25">
      <c r="A439" s="19">
        <v>469</v>
      </c>
      <c r="B439" s="19" t="s">
        <v>3094</v>
      </c>
      <c r="C439" s="19" t="s">
        <v>3095</v>
      </c>
      <c r="D439" s="45">
        <v>1</v>
      </c>
      <c r="E439" s="19"/>
      <c r="F439" s="19"/>
    </row>
    <row r="440" spans="1:6" x14ac:dyDescent="0.25">
      <c r="A440" s="19">
        <v>470</v>
      </c>
      <c r="B440" s="19" t="s">
        <v>3096</v>
      </c>
      <c r="C440" s="19" t="s">
        <v>3097</v>
      </c>
      <c r="D440" s="45">
        <v>1</v>
      </c>
      <c r="E440" s="19"/>
      <c r="F440" s="19"/>
    </row>
    <row r="441" spans="1:6" x14ac:dyDescent="0.25">
      <c r="A441" s="19">
        <v>471</v>
      </c>
      <c r="B441" s="19" t="s">
        <v>3098</v>
      </c>
      <c r="C441" s="19" t="s">
        <v>3099</v>
      </c>
      <c r="D441" s="45">
        <v>1</v>
      </c>
      <c r="E441" s="19"/>
      <c r="F441" s="19"/>
    </row>
    <row r="442" spans="1:6" x14ac:dyDescent="0.25">
      <c r="A442" s="19">
        <v>472</v>
      </c>
      <c r="B442" s="19" t="s">
        <v>3100</v>
      </c>
      <c r="C442" s="19" t="s">
        <v>3101</v>
      </c>
      <c r="D442" s="45">
        <v>8</v>
      </c>
      <c r="E442" s="19"/>
      <c r="F442" s="19"/>
    </row>
    <row r="443" spans="1:6" x14ac:dyDescent="0.25">
      <c r="A443" s="19">
        <v>473</v>
      </c>
      <c r="B443" s="19" t="s">
        <v>3102</v>
      </c>
      <c r="C443" s="19" t="s">
        <v>3103</v>
      </c>
      <c r="D443" s="45">
        <v>1</v>
      </c>
      <c r="E443" s="19"/>
      <c r="F443" s="19"/>
    </row>
    <row r="444" spans="1:6" x14ac:dyDescent="0.25">
      <c r="A444" s="19">
        <v>474</v>
      </c>
      <c r="B444" s="19" t="s">
        <v>3104</v>
      </c>
      <c r="C444" s="19" t="s">
        <v>3105</v>
      </c>
      <c r="D444" s="45">
        <v>1</v>
      </c>
      <c r="E444" s="19"/>
      <c r="F444" s="19"/>
    </row>
    <row r="445" spans="1:6" x14ac:dyDescent="0.25">
      <c r="A445" s="19">
        <v>475</v>
      </c>
      <c r="B445" s="19" t="s">
        <v>3106</v>
      </c>
      <c r="C445" s="19" t="s">
        <v>3107</v>
      </c>
      <c r="D445" s="45">
        <v>1</v>
      </c>
      <c r="E445" s="19"/>
      <c r="F445" s="19"/>
    </row>
    <row r="446" spans="1:6" x14ac:dyDescent="0.25">
      <c r="A446" s="19">
        <v>476</v>
      </c>
      <c r="B446" s="19" t="s">
        <v>3108</v>
      </c>
      <c r="C446" s="19" t="s">
        <v>3109</v>
      </c>
      <c r="D446" s="45">
        <v>1</v>
      </c>
      <c r="E446" s="19"/>
      <c r="F446" s="19"/>
    </row>
    <row r="447" spans="1:6" x14ac:dyDescent="0.25">
      <c r="A447" s="19">
        <v>477</v>
      </c>
      <c r="B447" s="19" t="s">
        <v>3110</v>
      </c>
      <c r="C447" s="19" t="s">
        <v>3111</v>
      </c>
      <c r="D447" s="45">
        <v>1</v>
      </c>
      <c r="E447" s="19"/>
      <c r="F447" s="19"/>
    </row>
    <row r="448" spans="1:6" x14ac:dyDescent="0.25">
      <c r="A448" s="19">
        <v>478</v>
      </c>
      <c r="B448" s="19" t="s">
        <v>3112</v>
      </c>
      <c r="C448" s="19" t="s">
        <v>3113</v>
      </c>
      <c r="D448" s="45">
        <v>0</v>
      </c>
      <c r="E448" s="19"/>
      <c r="F448" s="19"/>
    </row>
    <row r="449" spans="1:6" x14ac:dyDescent="0.25">
      <c r="A449" s="19">
        <v>479</v>
      </c>
      <c r="B449" s="19" t="s">
        <v>3114</v>
      </c>
      <c r="C449" s="19" t="s">
        <v>3115</v>
      </c>
      <c r="D449" s="45">
        <v>1</v>
      </c>
      <c r="E449" s="19"/>
      <c r="F449" s="19"/>
    </row>
    <row r="450" spans="1:6" x14ac:dyDescent="0.25">
      <c r="A450" s="19">
        <v>480</v>
      </c>
      <c r="B450" s="19" t="s">
        <v>3116</v>
      </c>
      <c r="C450" s="19" t="s">
        <v>3117</v>
      </c>
      <c r="D450" s="45">
        <v>8</v>
      </c>
      <c r="E450" s="19"/>
      <c r="F450" s="19"/>
    </row>
    <row r="451" spans="1:6" x14ac:dyDescent="0.25">
      <c r="A451" s="19">
        <v>481</v>
      </c>
      <c r="B451" s="19" t="s">
        <v>3118</v>
      </c>
      <c r="C451" s="19" t="s">
        <v>3119</v>
      </c>
      <c r="D451" s="45">
        <v>1</v>
      </c>
      <c r="E451" s="19"/>
      <c r="F451" s="19"/>
    </row>
    <row r="452" spans="1:6" x14ac:dyDescent="0.25">
      <c r="A452" s="19">
        <v>482</v>
      </c>
      <c r="B452" s="19" t="s">
        <v>3120</v>
      </c>
      <c r="C452" s="19" t="s">
        <v>3121</v>
      </c>
      <c r="D452" s="45">
        <v>1</v>
      </c>
      <c r="E452" s="19"/>
      <c r="F452" s="19"/>
    </row>
    <row r="453" spans="1:6" x14ac:dyDescent="0.25">
      <c r="A453" s="19">
        <v>483</v>
      </c>
      <c r="B453" s="19" t="s">
        <v>3122</v>
      </c>
      <c r="C453" s="19" t="s">
        <v>3123</v>
      </c>
      <c r="D453" s="45">
        <v>1</v>
      </c>
      <c r="E453" s="19"/>
      <c r="F453" s="19"/>
    </row>
    <row r="454" spans="1:6" x14ac:dyDescent="0.25">
      <c r="A454" s="19">
        <v>484</v>
      </c>
      <c r="B454" s="19" t="s">
        <v>3124</v>
      </c>
      <c r="C454" s="19" t="s">
        <v>3125</v>
      </c>
      <c r="D454" s="45">
        <v>1</v>
      </c>
      <c r="E454" s="19"/>
      <c r="F454" s="19"/>
    </row>
    <row r="455" spans="1:6" x14ac:dyDescent="0.25">
      <c r="A455" s="19">
        <v>485</v>
      </c>
      <c r="B455" s="19" t="s">
        <v>3126</v>
      </c>
      <c r="C455" s="19" t="s">
        <v>3127</v>
      </c>
      <c r="D455" s="45">
        <v>1</v>
      </c>
      <c r="E455" s="19"/>
      <c r="F455" s="19"/>
    </row>
    <row r="456" spans="1:6" x14ac:dyDescent="0.25">
      <c r="A456" s="19">
        <v>486</v>
      </c>
      <c r="B456" s="19" t="s">
        <v>3128</v>
      </c>
      <c r="C456" s="19" t="s">
        <v>3129</v>
      </c>
      <c r="D456" s="45">
        <v>1</v>
      </c>
      <c r="E456" s="19"/>
      <c r="F456" s="19"/>
    </row>
    <row r="457" spans="1:6" x14ac:dyDescent="0.25">
      <c r="A457" s="19">
        <v>487</v>
      </c>
      <c r="B457" s="19" t="s">
        <v>3130</v>
      </c>
      <c r="C457" s="19" t="s">
        <v>3131</v>
      </c>
      <c r="D457" s="45">
        <v>1</v>
      </c>
      <c r="E457" s="19"/>
      <c r="F457" s="19"/>
    </row>
    <row r="458" spans="1:6" x14ac:dyDescent="0.25">
      <c r="A458" s="19">
        <v>488</v>
      </c>
      <c r="B458" s="19" t="s">
        <v>3132</v>
      </c>
      <c r="C458" s="19" t="s">
        <v>3133</v>
      </c>
      <c r="D458" s="45">
        <v>1</v>
      </c>
      <c r="E458" s="19"/>
      <c r="F458" s="19"/>
    </row>
    <row r="459" spans="1:6" x14ac:dyDescent="0.25">
      <c r="A459" s="19">
        <v>489</v>
      </c>
      <c r="B459" s="19" t="s">
        <v>3134</v>
      </c>
      <c r="C459" s="19" t="s">
        <v>3135</v>
      </c>
      <c r="D459" s="45">
        <v>1</v>
      </c>
      <c r="E459" s="19"/>
      <c r="F459" s="19"/>
    </row>
    <row r="460" spans="1:6" x14ac:dyDescent="0.25">
      <c r="A460" s="19">
        <v>490</v>
      </c>
      <c r="B460" s="19" t="s">
        <v>3136</v>
      </c>
      <c r="C460" s="19" t="s">
        <v>3137</v>
      </c>
      <c r="D460" s="45">
        <v>1</v>
      </c>
      <c r="E460" s="19"/>
      <c r="F460" s="19"/>
    </row>
    <row r="461" spans="1:6" x14ac:dyDescent="0.25">
      <c r="A461" s="19">
        <v>491</v>
      </c>
      <c r="B461" s="19" t="s">
        <v>3138</v>
      </c>
      <c r="C461" s="19" t="s">
        <v>3139</v>
      </c>
      <c r="D461" s="45">
        <v>1</v>
      </c>
      <c r="E461" s="19"/>
      <c r="F461" s="19"/>
    </row>
    <row r="462" spans="1:6" x14ac:dyDescent="0.25">
      <c r="A462" s="19">
        <v>492</v>
      </c>
      <c r="B462" s="19" t="s">
        <v>3140</v>
      </c>
      <c r="C462" s="19" t="s">
        <v>3141</v>
      </c>
      <c r="D462" s="45">
        <v>1</v>
      </c>
      <c r="E462" s="19"/>
      <c r="F462" s="19"/>
    </row>
    <row r="463" spans="1:6" x14ac:dyDescent="0.25">
      <c r="A463" s="19">
        <v>493</v>
      </c>
      <c r="B463" s="19" t="s">
        <v>3142</v>
      </c>
      <c r="C463" s="19" t="s">
        <v>3143</v>
      </c>
      <c r="D463" s="45">
        <v>1</v>
      </c>
      <c r="E463" s="19"/>
      <c r="F463" s="19"/>
    </row>
    <row r="464" spans="1:6" x14ac:dyDescent="0.25">
      <c r="A464" s="19">
        <v>494</v>
      </c>
      <c r="B464" s="19" t="s">
        <v>3144</v>
      </c>
      <c r="C464" s="19" t="s">
        <v>3145</v>
      </c>
      <c r="D464" s="45">
        <v>1</v>
      </c>
      <c r="E464" s="19"/>
      <c r="F464" s="19"/>
    </row>
    <row r="465" spans="1:6" x14ac:dyDescent="0.25">
      <c r="A465" s="19">
        <v>495</v>
      </c>
      <c r="B465" s="19" t="s">
        <v>3146</v>
      </c>
      <c r="C465" s="19" t="s">
        <v>3147</v>
      </c>
      <c r="D465" s="45">
        <v>1</v>
      </c>
      <c r="E465" s="19"/>
      <c r="F465" s="19"/>
    </row>
    <row r="466" spans="1:6" x14ac:dyDescent="0.25">
      <c r="A466" s="19">
        <v>496</v>
      </c>
      <c r="B466" s="19" t="s">
        <v>3148</v>
      </c>
      <c r="C466" s="19" t="s">
        <v>3149</v>
      </c>
      <c r="D466" s="45">
        <v>1</v>
      </c>
      <c r="E466" s="19"/>
      <c r="F466" s="19"/>
    </row>
    <row r="467" spans="1:6" x14ac:dyDescent="0.25">
      <c r="A467" s="19">
        <v>497</v>
      </c>
      <c r="B467" s="19" t="s">
        <v>3150</v>
      </c>
      <c r="C467" s="19" t="s">
        <v>3151</v>
      </c>
      <c r="D467" s="45">
        <v>1</v>
      </c>
      <c r="E467" s="19"/>
      <c r="F467" s="19"/>
    </row>
    <row r="468" spans="1:6" x14ac:dyDescent="0.25">
      <c r="A468" s="19">
        <v>498</v>
      </c>
      <c r="B468" s="19" t="s">
        <v>3152</v>
      </c>
      <c r="C468" s="19" t="s">
        <v>3153</v>
      </c>
      <c r="D468" s="45">
        <v>1</v>
      </c>
      <c r="E468" s="19"/>
      <c r="F468" s="19"/>
    </row>
    <row r="469" spans="1:6" x14ac:dyDescent="0.25">
      <c r="A469" s="19">
        <v>499</v>
      </c>
      <c r="B469" s="19" t="s">
        <v>3154</v>
      </c>
      <c r="C469" s="19" t="s">
        <v>3155</v>
      </c>
      <c r="D469" s="45">
        <v>1</v>
      </c>
      <c r="E469" s="19"/>
      <c r="F469" s="19"/>
    </row>
    <row r="470" spans="1:6" x14ac:dyDescent="0.25">
      <c r="A470" s="19">
        <v>500</v>
      </c>
      <c r="B470" s="19" t="s">
        <v>3156</v>
      </c>
      <c r="C470" s="19" t="s">
        <v>3157</v>
      </c>
      <c r="D470" s="45">
        <v>1</v>
      </c>
      <c r="E470" s="19"/>
      <c r="F470" s="19"/>
    </row>
    <row r="471" spans="1:6" x14ac:dyDescent="0.25">
      <c r="A471" s="19">
        <v>501</v>
      </c>
      <c r="B471" s="19" t="s">
        <v>3158</v>
      </c>
      <c r="C471" s="19" t="s">
        <v>3159</v>
      </c>
      <c r="D471" s="45">
        <v>1</v>
      </c>
      <c r="E471" s="19"/>
      <c r="F471" s="19"/>
    </row>
    <row r="472" spans="1:6" x14ac:dyDescent="0.25">
      <c r="A472" s="19">
        <v>502</v>
      </c>
      <c r="B472" s="19" t="s">
        <v>3160</v>
      </c>
      <c r="C472" s="19" t="s">
        <v>3161</v>
      </c>
      <c r="D472" s="45">
        <v>1</v>
      </c>
      <c r="E472" s="19"/>
      <c r="F472" s="19"/>
    </row>
    <row r="473" spans="1:6" x14ac:dyDescent="0.25">
      <c r="A473" s="19">
        <v>503</v>
      </c>
      <c r="B473" s="19" t="s">
        <v>3162</v>
      </c>
      <c r="C473" s="19" t="s">
        <v>3163</v>
      </c>
      <c r="D473" s="45">
        <v>1</v>
      </c>
      <c r="E473" s="19"/>
      <c r="F473" s="19"/>
    </row>
    <row r="474" spans="1:6" x14ac:dyDescent="0.25">
      <c r="A474" s="19">
        <v>504</v>
      </c>
      <c r="B474" s="19" t="s">
        <v>3164</v>
      </c>
      <c r="C474" s="19" t="s">
        <v>3165</v>
      </c>
      <c r="D474" s="45">
        <v>1</v>
      </c>
      <c r="E474" s="19"/>
      <c r="F474" s="19"/>
    </row>
    <row r="475" spans="1:6" x14ac:dyDescent="0.25">
      <c r="A475" s="19">
        <v>505</v>
      </c>
      <c r="B475" s="19" t="s">
        <v>3166</v>
      </c>
      <c r="C475" s="19" t="s">
        <v>3167</v>
      </c>
      <c r="D475" s="45">
        <v>1</v>
      </c>
      <c r="E475" s="19"/>
      <c r="F475" s="19"/>
    </row>
    <row r="476" spans="1:6" x14ac:dyDescent="0.25">
      <c r="A476" s="19">
        <v>506</v>
      </c>
      <c r="B476" s="19" t="s">
        <v>3168</v>
      </c>
      <c r="C476" s="19" t="s">
        <v>3169</v>
      </c>
      <c r="D476" s="45">
        <v>1</v>
      </c>
      <c r="E476" s="19"/>
      <c r="F476" s="19"/>
    </row>
    <row r="477" spans="1:6" x14ac:dyDescent="0.25">
      <c r="A477" s="19">
        <v>507</v>
      </c>
      <c r="B477" s="19" t="s">
        <v>3170</v>
      </c>
      <c r="C477" s="19" t="s">
        <v>3171</v>
      </c>
      <c r="D477" s="45">
        <v>1</v>
      </c>
      <c r="E477" s="19"/>
      <c r="F477" s="19"/>
    </row>
    <row r="478" spans="1:6" x14ac:dyDescent="0.25">
      <c r="A478" s="19">
        <v>508</v>
      </c>
      <c r="B478" s="19" t="s">
        <v>3172</v>
      </c>
      <c r="C478" s="19" t="s">
        <v>3173</v>
      </c>
      <c r="D478" s="45">
        <v>3</v>
      </c>
      <c r="E478" s="19"/>
      <c r="F478" s="19"/>
    </row>
    <row r="479" spans="1:6" x14ac:dyDescent="0.25">
      <c r="A479" s="19">
        <v>509</v>
      </c>
      <c r="B479" s="19" t="s">
        <v>3174</v>
      </c>
      <c r="C479" s="19" t="s">
        <v>3175</v>
      </c>
      <c r="D479" s="45">
        <v>1</v>
      </c>
      <c r="E479" s="19"/>
      <c r="F479" s="19"/>
    </row>
    <row r="480" spans="1:6" x14ac:dyDescent="0.25">
      <c r="A480" s="19">
        <v>510</v>
      </c>
      <c r="B480" s="19" t="s">
        <v>3176</v>
      </c>
      <c r="C480" s="19" t="s">
        <v>3177</v>
      </c>
      <c r="D480" s="45">
        <v>1</v>
      </c>
      <c r="E480" s="19"/>
      <c r="F480" s="19"/>
    </row>
    <row r="481" spans="1:6" x14ac:dyDescent="0.25">
      <c r="A481" s="19">
        <v>511</v>
      </c>
      <c r="B481" s="19" t="s">
        <v>3178</v>
      </c>
      <c r="C481" s="19" t="s">
        <v>3179</v>
      </c>
      <c r="D481" s="45">
        <v>1</v>
      </c>
      <c r="E481" s="19"/>
      <c r="F481" s="19"/>
    </row>
    <row r="482" spans="1:6" x14ac:dyDescent="0.25">
      <c r="A482" s="19">
        <v>512</v>
      </c>
      <c r="B482" s="19" t="s">
        <v>3180</v>
      </c>
      <c r="C482" s="19" t="s">
        <v>3181</v>
      </c>
      <c r="D482" s="45">
        <v>1</v>
      </c>
      <c r="E482" s="19"/>
      <c r="F482" s="19"/>
    </row>
    <row r="483" spans="1:6" x14ac:dyDescent="0.25">
      <c r="A483" s="19">
        <v>513</v>
      </c>
      <c r="B483" s="19" t="s">
        <v>3182</v>
      </c>
      <c r="C483" s="19" t="s">
        <v>3183</v>
      </c>
      <c r="D483" s="45">
        <v>1</v>
      </c>
      <c r="E483" s="19"/>
      <c r="F483" s="19"/>
    </row>
    <row r="484" spans="1:6" x14ac:dyDescent="0.25">
      <c r="A484" s="19">
        <v>514</v>
      </c>
      <c r="B484" s="19" t="s">
        <v>3184</v>
      </c>
      <c r="C484" s="19" t="s">
        <v>3185</v>
      </c>
      <c r="D484" s="45">
        <v>1</v>
      </c>
      <c r="E484" s="19"/>
      <c r="F484" s="19"/>
    </row>
    <row r="485" spans="1:6" x14ac:dyDescent="0.25">
      <c r="A485" s="19">
        <v>515</v>
      </c>
      <c r="B485" s="19" t="s">
        <v>3186</v>
      </c>
      <c r="C485" s="19" t="s">
        <v>3187</v>
      </c>
      <c r="D485" s="45">
        <v>1</v>
      </c>
      <c r="E485" s="19"/>
      <c r="F485" s="19"/>
    </row>
    <row r="486" spans="1:6" x14ac:dyDescent="0.25">
      <c r="A486" s="19">
        <v>517</v>
      </c>
      <c r="B486" s="19" t="s">
        <v>3188</v>
      </c>
      <c r="C486" s="19" t="s">
        <v>3189</v>
      </c>
      <c r="D486" s="45">
        <v>0</v>
      </c>
      <c r="E486" s="19"/>
      <c r="F486" s="19"/>
    </row>
    <row r="487" spans="1:6" x14ac:dyDescent="0.25">
      <c r="A487" s="19">
        <v>518</v>
      </c>
      <c r="B487" s="19" t="s">
        <v>3190</v>
      </c>
      <c r="C487" s="19" t="s">
        <v>3191</v>
      </c>
      <c r="D487" s="45">
        <v>1</v>
      </c>
      <c r="E487" s="19"/>
      <c r="F487" s="19"/>
    </row>
    <row r="488" spans="1:6" x14ac:dyDescent="0.25">
      <c r="A488" s="19">
        <v>519</v>
      </c>
      <c r="B488" s="19" t="s">
        <v>3192</v>
      </c>
      <c r="C488" s="19" t="s">
        <v>3193</v>
      </c>
      <c r="D488" s="45">
        <v>1</v>
      </c>
      <c r="E488" s="19"/>
      <c r="F488" s="19"/>
    </row>
    <row r="489" spans="1:6" x14ac:dyDescent="0.25">
      <c r="A489" s="19">
        <v>520</v>
      </c>
      <c r="B489" s="19" t="s">
        <v>3194</v>
      </c>
      <c r="C489" s="19" t="s">
        <v>3195</v>
      </c>
      <c r="D489" s="45">
        <v>1</v>
      </c>
      <c r="E489" s="19"/>
      <c r="F489" s="19"/>
    </row>
    <row r="490" spans="1:6" x14ac:dyDescent="0.25">
      <c r="A490" s="19">
        <v>521</v>
      </c>
      <c r="B490" s="19" t="s">
        <v>3196</v>
      </c>
      <c r="C490" s="19" t="s">
        <v>3197</v>
      </c>
      <c r="D490" s="45">
        <v>1</v>
      </c>
      <c r="E490" s="19"/>
      <c r="F490" s="19"/>
    </row>
    <row r="491" spans="1:6" x14ac:dyDescent="0.25">
      <c r="A491" s="19">
        <v>522</v>
      </c>
      <c r="B491" s="19" t="s">
        <v>3198</v>
      </c>
      <c r="C491" s="19" t="s">
        <v>3199</v>
      </c>
      <c r="D491" s="45">
        <v>1</v>
      </c>
      <c r="E491" s="19"/>
      <c r="F491" s="19"/>
    </row>
    <row r="492" spans="1:6" x14ac:dyDescent="0.25">
      <c r="A492" s="19">
        <v>523</v>
      </c>
      <c r="B492" s="19" t="s">
        <v>3200</v>
      </c>
      <c r="C492" s="19" t="s">
        <v>3201</v>
      </c>
      <c r="D492" s="45">
        <v>1</v>
      </c>
      <c r="E492" s="19"/>
      <c r="F492" s="19"/>
    </row>
    <row r="493" spans="1:6" x14ac:dyDescent="0.25">
      <c r="A493" s="19">
        <v>524</v>
      </c>
      <c r="B493" s="19" t="s">
        <v>3202</v>
      </c>
      <c r="C493" s="19" t="s">
        <v>3203</v>
      </c>
      <c r="D493" s="45">
        <v>0</v>
      </c>
      <c r="E493" s="19"/>
      <c r="F493" s="19"/>
    </row>
    <row r="494" spans="1:6" x14ac:dyDescent="0.25">
      <c r="A494" s="19">
        <v>525</v>
      </c>
      <c r="B494" s="19" t="s">
        <v>3204</v>
      </c>
      <c r="C494" s="19" t="s">
        <v>3205</v>
      </c>
      <c r="D494" s="45">
        <v>1</v>
      </c>
      <c r="E494" s="19"/>
      <c r="F494" s="19"/>
    </row>
    <row r="495" spans="1:6" x14ac:dyDescent="0.25">
      <c r="A495" s="19">
        <v>526</v>
      </c>
      <c r="B495" s="19" t="s">
        <v>3206</v>
      </c>
      <c r="C495" s="19" t="s">
        <v>3207</v>
      </c>
      <c r="D495" s="45">
        <v>1</v>
      </c>
      <c r="E495" s="19"/>
      <c r="F495" s="19"/>
    </row>
    <row r="496" spans="1:6" x14ac:dyDescent="0.25">
      <c r="A496" s="19">
        <v>527</v>
      </c>
      <c r="B496" s="19" t="s">
        <v>3208</v>
      </c>
      <c r="C496" s="19" t="s">
        <v>3209</v>
      </c>
      <c r="D496" s="45">
        <v>1</v>
      </c>
      <c r="E496" s="19"/>
      <c r="F496" s="19"/>
    </row>
    <row r="497" spans="1:6" x14ac:dyDescent="0.25">
      <c r="A497" s="19">
        <v>528</v>
      </c>
      <c r="B497" s="19" t="s">
        <v>3210</v>
      </c>
      <c r="C497" s="19" t="s">
        <v>3211</v>
      </c>
      <c r="D497" s="45">
        <v>1</v>
      </c>
      <c r="E497" s="19"/>
      <c r="F497" s="19"/>
    </row>
    <row r="498" spans="1:6" x14ac:dyDescent="0.25">
      <c r="A498" s="19">
        <v>529</v>
      </c>
      <c r="B498" s="19" t="s">
        <v>3212</v>
      </c>
      <c r="C498" s="19" t="s">
        <v>3213</v>
      </c>
      <c r="D498" s="45">
        <v>1</v>
      </c>
      <c r="E498" s="19"/>
      <c r="F498" s="19"/>
    </row>
    <row r="499" spans="1:6" x14ac:dyDescent="0.25">
      <c r="A499" s="19">
        <v>530</v>
      </c>
      <c r="B499" s="19" t="s">
        <v>3214</v>
      </c>
      <c r="C499" s="19" t="s">
        <v>3215</v>
      </c>
      <c r="D499" s="45">
        <v>1</v>
      </c>
      <c r="E499" s="19"/>
      <c r="F499" s="19"/>
    </row>
    <row r="500" spans="1:6" x14ac:dyDescent="0.25">
      <c r="A500" s="19">
        <v>531</v>
      </c>
      <c r="B500" s="19" t="s">
        <v>3216</v>
      </c>
      <c r="C500" s="19" t="s">
        <v>3217</v>
      </c>
      <c r="D500" s="45">
        <v>1</v>
      </c>
      <c r="E500" s="19"/>
      <c r="F500" s="19"/>
    </row>
    <row r="501" spans="1:6" x14ac:dyDescent="0.25">
      <c r="A501" s="19">
        <v>532</v>
      </c>
      <c r="B501" s="19" t="s">
        <v>3218</v>
      </c>
      <c r="C501" s="19" t="s">
        <v>3219</v>
      </c>
      <c r="D501" s="45">
        <v>0</v>
      </c>
      <c r="E501" s="19"/>
      <c r="F501" s="19"/>
    </row>
    <row r="502" spans="1:6" x14ac:dyDescent="0.25">
      <c r="A502" s="19">
        <v>533</v>
      </c>
      <c r="B502" s="19" t="s">
        <v>3220</v>
      </c>
      <c r="C502" s="19" t="s">
        <v>3221</v>
      </c>
      <c r="D502" s="45">
        <v>1</v>
      </c>
      <c r="E502" s="19"/>
      <c r="F502" s="19"/>
    </row>
    <row r="503" spans="1:6" x14ac:dyDescent="0.25">
      <c r="A503" s="19">
        <v>534</v>
      </c>
      <c r="B503" s="19" t="s">
        <v>3222</v>
      </c>
      <c r="C503" s="19" t="s">
        <v>3223</v>
      </c>
      <c r="D503" s="45">
        <v>1</v>
      </c>
      <c r="E503" s="19"/>
      <c r="F503" s="19"/>
    </row>
    <row r="504" spans="1:6" x14ac:dyDescent="0.25">
      <c r="A504" s="19">
        <v>535</v>
      </c>
      <c r="B504" s="19" t="s">
        <v>3224</v>
      </c>
      <c r="C504" s="19" t="s">
        <v>3225</v>
      </c>
      <c r="D504" s="45">
        <v>1</v>
      </c>
      <c r="E504" s="19"/>
      <c r="F504" s="19"/>
    </row>
    <row r="505" spans="1:6" x14ac:dyDescent="0.25">
      <c r="A505" s="19">
        <v>536</v>
      </c>
      <c r="B505" s="19" t="s">
        <v>3226</v>
      </c>
      <c r="C505" s="19" t="s">
        <v>3227</v>
      </c>
      <c r="D505" s="45">
        <v>0</v>
      </c>
      <c r="E505" s="19"/>
      <c r="F505" s="19"/>
    </row>
    <row r="506" spans="1:6" x14ac:dyDescent="0.25">
      <c r="A506" s="19">
        <v>538</v>
      </c>
      <c r="B506" s="19" t="s">
        <v>3228</v>
      </c>
      <c r="C506" s="19" t="s">
        <v>3229</v>
      </c>
      <c r="D506" s="45">
        <v>0</v>
      </c>
      <c r="E506" s="19"/>
      <c r="F506" s="19"/>
    </row>
    <row r="507" spans="1:6" x14ac:dyDescent="0.25">
      <c r="A507" s="19">
        <v>539</v>
      </c>
      <c r="B507" s="19" t="s">
        <v>3230</v>
      </c>
      <c r="C507" s="19" t="s">
        <v>3231</v>
      </c>
      <c r="D507" s="45">
        <v>1</v>
      </c>
      <c r="E507" s="19"/>
      <c r="F507" s="19"/>
    </row>
    <row r="508" spans="1:6" x14ac:dyDescent="0.25">
      <c r="A508" s="19">
        <v>540</v>
      </c>
      <c r="B508" s="19" t="s">
        <v>3232</v>
      </c>
      <c r="C508" s="19" t="s">
        <v>3233</v>
      </c>
      <c r="D508" s="45">
        <v>0</v>
      </c>
      <c r="E508" s="19"/>
      <c r="F508" s="19"/>
    </row>
    <row r="509" spans="1:6" x14ac:dyDescent="0.25">
      <c r="A509" s="19">
        <v>541</v>
      </c>
      <c r="B509" s="19" t="s">
        <v>3234</v>
      </c>
      <c r="C509" s="19" t="s">
        <v>3235</v>
      </c>
      <c r="D509" s="45">
        <v>1</v>
      </c>
      <c r="E509" s="19"/>
      <c r="F509" s="19"/>
    </row>
    <row r="510" spans="1:6" x14ac:dyDescent="0.25">
      <c r="A510" s="19">
        <v>542</v>
      </c>
      <c r="B510" s="19" t="s">
        <v>3236</v>
      </c>
      <c r="C510" s="19" t="s">
        <v>3237</v>
      </c>
      <c r="D510" s="45">
        <v>1</v>
      </c>
      <c r="E510" s="19"/>
      <c r="F510" s="19"/>
    </row>
    <row r="511" spans="1:6" x14ac:dyDescent="0.25">
      <c r="A511" s="19">
        <v>543</v>
      </c>
      <c r="B511" s="19" t="s">
        <v>3238</v>
      </c>
      <c r="C511" s="19" t="s">
        <v>3239</v>
      </c>
      <c r="D511" s="45">
        <v>1</v>
      </c>
      <c r="E511" s="19"/>
      <c r="F511" s="19"/>
    </row>
    <row r="512" spans="1:6" x14ac:dyDescent="0.25">
      <c r="A512" s="19">
        <v>544</v>
      </c>
      <c r="B512" s="19" t="s">
        <v>3240</v>
      </c>
      <c r="C512" s="19" t="s">
        <v>3241</v>
      </c>
      <c r="D512" s="45">
        <v>1</v>
      </c>
      <c r="E512" s="19"/>
      <c r="F512" s="19"/>
    </row>
    <row r="513" spans="1:6" x14ac:dyDescent="0.25">
      <c r="A513" s="19">
        <v>545</v>
      </c>
      <c r="B513" s="19" t="s">
        <v>3242</v>
      </c>
      <c r="C513" s="19" t="s">
        <v>3243</v>
      </c>
      <c r="D513" s="45">
        <v>1</v>
      </c>
      <c r="E513" s="19"/>
      <c r="F513" s="19"/>
    </row>
    <row r="514" spans="1:6" x14ac:dyDescent="0.25">
      <c r="A514" s="19">
        <v>546</v>
      </c>
      <c r="B514" s="19" t="s">
        <v>3244</v>
      </c>
      <c r="C514" s="19" t="s">
        <v>3245</v>
      </c>
      <c r="D514" s="45">
        <v>1</v>
      </c>
      <c r="E514" s="19"/>
      <c r="F514" s="19"/>
    </row>
    <row r="515" spans="1:6" x14ac:dyDescent="0.25">
      <c r="A515" s="19">
        <v>547</v>
      </c>
      <c r="B515" s="19" t="s">
        <v>3246</v>
      </c>
      <c r="C515" s="19" t="s">
        <v>3247</v>
      </c>
      <c r="D515" s="45">
        <v>8</v>
      </c>
      <c r="E515" s="19"/>
      <c r="F515" s="19"/>
    </row>
    <row r="516" spans="1:6" x14ac:dyDescent="0.25">
      <c r="A516" s="19">
        <v>548</v>
      </c>
      <c r="B516" s="19" t="s">
        <v>3248</v>
      </c>
      <c r="C516" s="19" t="s">
        <v>3249</v>
      </c>
      <c r="D516" s="45">
        <v>8</v>
      </c>
      <c r="E516" s="19"/>
      <c r="F516" s="19"/>
    </row>
    <row r="517" spans="1:6" x14ac:dyDescent="0.25">
      <c r="A517" s="19">
        <v>549</v>
      </c>
      <c r="B517" s="19" t="s">
        <v>3250</v>
      </c>
      <c r="C517" s="19" t="s">
        <v>3251</v>
      </c>
      <c r="D517" s="45">
        <v>1</v>
      </c>
      <c r="E517" s="19"/>
      <c r="F517" s="19"/>
    </row>
    <row r="518" spans="1:6" x14ac:dyDescent="0.25">
      <c r="A518" s="19">
        <v>550</v>
      </c>
      <c r="B518" s="19" t="s">
        <v>3252</v>
      </c>
      <c r="C518" s="19" t="s">
        <v>3253</v>
      </c>
      <c r="D518" s="45">
        <v>1</v>
      </c>
      <c r="E518" s="19"/>
      <c r="F518" s="19"/>
    </row>
    <row r="519" spans="1:6" x14ac:dyDescent="0.25">
      <c r="A519" s="19">
        <v>551</v>
      </c>
      <c r="B519" s="19" t="s">
        <v>3254</v>
      </c>
      <c r="C519" s="19" t="s">
        <v>3255</v>
      </c>
      <c r="D519" s="45">
        <v>1</v>
      </c>
      <c r="E519" s="19"/>
      <c r="F519" s="19"/>
    </row>
    <row r="520" spans="1:6" x14ac:dyDescent="0.25">
      <c r="A520" s="19">
        <v>552</v>
      </c>
      <c r="B520" s="19" t="s">
        <v>3256</v>
      </c>
      <c r="C520" s="19" t="s">
        <v>3257</v>
      </c>
      <c r="D520" s="45">
        <v>1</v>
      </c>
      <c r="E520" s="19"/>
      <c r="F520" s="19"/>
    </row>
    <row r="521" spans="1:6" x14ac:dyDescent="0.25">
      <c r="A521" s="19">
        <v>553</v>
      </c>
      <c r="B521" s="19" t="s">
        <v>3258</v>
      </c>
      <c r="C521" s="19" t="s">
        <v>3259</v>
      </c>
      <c r="D521" s="45">
        <v>1</v>
      </c>
      <c r="E521" s="19"/>
      <c r="F521" s="19"/>
    </row>
    <row r="522" spans="1:6" x14ac:dyDescent="0.25">
      <c r="A522" s="19">
        <v>554</v>
      </c>
      <c r="B522" s="19" t="s">
        <v>3260</v>
      </c>
      <c r="C522" s="19" t="s">
        <v>3261</v>
      </c>
      <c r="D522" s="45">
        <v>1</v>
      </c>
      <c r="E522" s="19"/>
      <c r="F522" s="19"/>
    </row>
    <row r="523" spans="1:6" x14ac:dyDescent="0.25">
      <c r="A523" s="19">
        <v>555</v>
      </c>
      <c r="B523" s="19" t="s">
        <v>3262</v>
      </c>
      <c r="C523" s="19" t="s">
        <v>3263</v>
      </c>
      <c r="D523" s="45">
        <v>1</v>
      </c>
      <c r="E523" s="19"/>
      <c r="F523" s="19"/>
    </row>
    <row r="524" spans="1:6" x14ac:dyDescent="0.25">
      <c r="A524" s="19">
        <v>556</v>
      </c>
      <c r="B524" s="19" t="s">
        <v>3264</v>
      </c>
      <c r="C524" s="19" t="s">
        <v>3265</v>
      </c>
      <c r="D524" s="45">
        <v>1</v>
      </c>
      <c r="E524" s="19"/>
      <c r="F524" s="19"/>
    </row>
    <row r="525" spans="1:6" x14ac:dyDescent="0.25">
      <c r="A525" s="19">
        <v>557</v>
      </c>
      <c r="B525" s="19" t="s">
        <v>3266</v>
      </c>
      <c r="C525" s="19" t="s">
        <v>3267</v>
      </c>
      <c r="D525" s="45">
        <v>1</v>
      </c>
      <c r="E525" s="19"/>
      <c r="F525" s="19"/>
    </row>
    <row r="526" spans="1:6" x14ac:dyDescent="0.25">
      <c r="A526" s="19">
        <v>558</v>
      </c>
      <c r="B526" s="19" t="s">
        <v>3268</v>
      </c>
      <c r="C526" s="19" t="s">
        <v>3269</v>
      </c>
      <c r="D526" s="45">
        <v>0</v>
      </c>
      <c r="E526" s="19"/>
      <c r="F526" s="19"/>
    </row>
    <row r="527" spans="1:6" x14ac:dyDescent="0.25">
      <c r="A527" s="19">
        <v>559</v>
      </c>
      <c r="B527" s="19" t="s">
        <v>3270</v>
      </c>
      <c r="C527" s="19" t="s">
        <v>3271</v>
      </c>
      <c r="D527" s="45">
        <v>0</v>
      </c>
      <c r="E527" s="19"/>
      <c r="F527" s="19"/>
    </row>
    <row r="528" spans="1:6" x14ac:dyDescent="0.25">
      <c r="A528" s="19">
        <v>560</v>
      </c>
      <c r="B528" s="19" t="s">
        <v>3272</v>
      </c>
      <c r="C528" s="19" t="s">
        <v>3273</v>
      </c>
      <c r="D528" s="45">
        <v>0</v>
      </c>
      <c r="E528" s="19"/>
      <c r="F528" s="19"/>
    </row>
    <row r="529" spans="1:6" x14ac:dyDescent="0.25">
      <c r="A529" s="19">
        <v>561</v>
      </c>
      <c r="B529" s="19" t="s">
        <v>3274</v>
      </c>
      <c r="C529" s="19" t="s">
        <v>3275</v>
      </c>
      <c r="D529" s="45">
        <v>0</v>
      </c>
      <c r="E529" s="19"/>
      <c r="F529" s="19"/>
    </row>
    <row r="530" spans="1:6" x14ac:dyDescent="0.25">
      <c r="A530" s="19">
        <v>562</v>
      </c>
      <c r="B530" s="19" t="s">
        <v>3276</v>
      </c>
      <c r="C530" s="19" t="s">
        <v>3277</v>
      </c>
      <c r="D530" s="45">
        <v>1</v>
      </c>
      <c r="E530" s="19"/>
      <c r="F530" s="19"/>
    </row>
    <row r="531" spans="1:6" x14ac:dyDescent="0.25">
      <c r="A531" s="19">
        <v>563</v>
      </c>
      <c r="B531" s="19" t="s">
        <v>3278</v>
      </c>
      <c r="C531" s="19" t="s">
        <v>3279</v>
      </c>
      <c r="D531" s="45">
        <v>1</v>
      </c>
      <c r="E531" s="19"/>
      <c r="F531" s="19"/>
    </row>
    <row r="532" spans="1:6" x14ac:dyDescent="0.25">
      <c r="A532" s="19">
        <v>565</v>
      </c>
      <c r="B532" s="19" t="s">
        <v>3280</v>
      </c>
      <c r="C532" s="19" t="s">
        <v>3281</v>
      </c>
      <c r="D532" s="45">
        <v>0</v>
      </c>
      <c r="E532" s="19"/>
      <c r="F532" s="19"/>
    </row>
    <row r="533" spans="1:6" x14ac:dyDescent="0.25">
      <c r="A533" s="19">
        <v>567</v>
      </c>
      <c r="B533" s="19" t="s">
        <v>3282</v>
      </c>
      <c r="C533" s="19" t="s">
        <v>3283</v>
      </c>
      <c r="D533" s="45">
        <v>1</v>
      </c>
      <c r="E533" s="19"/>
      <c r="F533" s="19"/>
    </row>
    <row r="534" spans="1:6" x14ac:dyDescent="0.25">
      <c r="A534" s="19">
        <v>568</v>
      </c>
      <c r="B534" s="19" t="s">
        <v>3284</v>
      </c>
      <c r="C534" s="19" t="s">
        <v>3285</v>
      </c>
      <c r="D534" s="45">
        <v>1</v>
      </c>
      <c r="E534" s="19"/>
      <c r="F534" s="19"/>
    </row>
    <row r="535" spans="1:6" x14ac:dyDescent="0.25">
      <c r="A535" s="19">
        <v>569</v>
      </c>
      <c r="B535" s="19" t="s">
        <v>3286</v>
      </c>
      <c r="C535" s="19" t="s">
        <v>3287</v>
      </c>
      <c r="D535" s="45">
        <v>1</v>
      </c>
      <c r="E535" s="19"/>
      <c r="F535" s="19"/>
    </row>
    <row r="536" spans="1:6" x14ac:dyDescent="0.25">
      <c r="A536" s="19">
        <v>570</v>
      </c>
      <c r="B536" s="19" t="s">
        <v>3288</v>
      </c>
      <c r="C536" s="19" t="s">
        <v>3289</v>
      </c>
      <c r="D536" s="45">
        <v>1</v>
      </c>
      <c r="E536" s="19"/>
      <c r="F536" s="19"/>
    </row>
    <row r="537" spans="1:6" x14ac:dyDescent="0.25">
      <c r="A537" s="19">
        <v>571</v>
      </c>
      <c r="B537" s="19" t="s">
        <v>3290</v>
      </c>
      <c r="C537" s="19" t="s">
        <v>3291</v>
      </c>
      <c r="D537" s="45">
        <v>8</v>
      </c>
      <c r="E537" s="19"/>
      <c r="F537" s="19"/>
    </row>
    <row r="538" spans="1:6" x14ac:dyDescent="0.25">
      <c r="A538" s="19">
        <v>572</v>
      </c>
      <c r="B538" s="19" t="s">
        <v>3292</v>
      </c>
      <c r="C538" s="19" t="s">
        <v>3293</v>
      </c>
      <c r="D538" s="45">
        <v>1</v>
      </c>
      <c r="E538" s="19"/>
      <c r="F538" s="19"/>
    </row>
    <row r="539" spans="1:6" x14ac:dyDescent="0.25">
      <c r="A539" s="19">
        <v>573</v>
      </c>
      <c r="B539" s="19" t="s">
        <v>3294</v>
      </c>
      <c r="C539" s="19" t="s">
        <v>3295</v>
      </c>
      <c r="D539" s="45">
        <v>1</v>
      </c>
      <c r="E539" s="19"/>
      <c r="F539" s="19"/>
    </row>
    <row r="540" spans="1:6" x14ac:dyDescent="0.25">
      <c r="A540" s="19">
        <v>574</v>
      </c>
      <c r="B540" s="19" t="s">
        <v>3296</v>
      </c>
      <c r="C540" s="19" t="s">
        <v>3297</v>
      </c>
      <c r="D540" s="45">
        <v>8</v>
      </c>
      <c r="E540" s="19"/>
      <c r="F540" s="19"/>
    </row>
    <row r="541" spans="1:6" x14ac:dyDescent="0.25">
      <c r="A541" s="19">
        <v>575</v>
      </c>
      <c r="B541" s="19" t="s">
        <v>3298</v>
      </c>
      <c r="C541" s="19" t="s">
        <v>3299</v>
      </c>
      <c r="D541" s="45">
        <v>1</v>
      </c>
      <c r="E541" s="19"/>
      <c r="F541" s="19"/>
    </row>
    <row r="542" spans="1:6" x14ac:dyDescent="0.25">
      <c r="A542" s="19">
        <v>576</v>
      </c>
      <c r="B542" s="19" t="s">
        <v>3300</v>
      </c>
      <c r="C542" s="19" t="s">
        <v>3301</v>
      </c>
      <c r="D542" s="45">
        <v>1</v>
      </c>
      <c r="E542" s="19"/>
      <c r="F542" s="19"/>
    </row>
    <row r="543" spans="1:6" x14ac:dyDescent="0.25">
      <c r="A543" s="19">
        <v>577</v>
      </c>
      <c r="B543" s="19" t="s">
        <v>3302</v>
      </c>
      <c r="C543" s="19" t="s">
        <v>3303</v>
      </c>
      <c r="D543" s="45">
        <v>1</v>
      </c>
      <c r="E543" s="19"/>
      <c r="F543" s="19"/>
    </row>
    <row r="544" spans="1:6" x14ac:dyDescent="0.25">
      <c r="A544" s="19">
        <v>578</v>
      </c>
      <c r="B544" s="19" t="s">
        <v>3304</v>
      </c>
      <c r="C544" s="19" t="s">
        <v>3305</v>
      </c>
      <c r="D544" s="45">
        <v>1</v>
      </c>
      <c r="E544" s="19"/>
      <c r="F544" s="19"/>
    </row>
    <row r="545" spans="1:6" x14ac:dyDescent="0.25">
      <c r="A545" s="19">
        <v>579</v>
      </c>
      <c r="B545" s="19" t="s">
        <v>3306</v>
      </c>
      <c r="C545" s="19" t="s">
        <v>3307</v>
      </c>
      <c r="D545" s="45">
        <v>1</v>
      </c>
      <c r="E545" s="19"/>
      <c r="F545" s="19"/>
    </row>
    <row r="546" spans="1:6" x14ac:dyDescent="0.25">
      <c r="A546" s="19">
        <v>580</v>
      </c>
      <c r="B546" s="19" t="s">
        <v>3308</v>
      </c>
      <c r="C546" s="19" t="s">
        <v>3309</v>
      </c>
      <c r="D546" s="45">
        <v>8</v>
      </c>
      <c r="E546" s="19"/>
      <c r="F546" s="19"/>
    </row>
    <row r="547" spans="1:6" x14ac:dyDescent="0.25">
      <c r="A547" s="19">
        <v>581</v>
      </c>
      <c r="B547" s="19" t="s">
        <v>3310</v>
      </c>
      <c r="C547" s="19" t="s">
        <v>3311</v>
      </c>
      <c r="D547" s="45">
        <v>1</v>
      </c>
      <c r="E547" s="19"/>
      <c r="F547" s="19"/>
    </row>
    <row r="548" spans="1:6" x14ac:dyDescent="0.25">
      <c r="A548" s="19">
        <v>582</v>
      </c>
      <c r="B548" s="19" t="s">
        <v>3312</v>
      </c>
      <c r="C548" s="19" t="s">
        <v>3313</v>
      </c>
      <c r="D548" s="45">
        <v>8</v>
      </c>
      <c r="E548" s="19"/>
      <c r="F548" s="19"/>
    </row>
    <row r="549" spans="1:6" x14ac:dyDescent="0.25">
      <c r="A549" s="19">
        <v>583</v>
      </c>
      <c r="B549" s="19" t="s">
        <v>3314</v>
      </c>
      <c r="C549" s="19" t="s">
        <v>3315</v>
      </c>
      <c r="D549" s="45">
        <v>1</v>
      </c>
      <c r="E549" s="19"/>
      <c r="F549" s="19"/>
    </row>
    <row r="550" spans="1:6" x14ac:dyDescent="0.25">
      <c r="A550" s="19">
        <v>584</v>
      </c>
      <c r="B550" s="19" t="s">
        <v>3316</v>
      </c>
      <c r="C550" s="19" t="s">
        <v>3317</v>
      </c>
      <c r="D550" s="45">
        <v>1</v>
      </c>
      <c r="E550" s="19"/>
      <c r="F550" s="19"/>
    </row>
    <row r="551" spans="1:6" x14ac:dyDescent="0.25">
      <c r="A551" s="19">
        <v>585</v>
      </c>
      <c r="B551" s="19" t="s">
        <v>3318</v>
      </c>
      <c r="C551" s="19" t="s">
        <v>3319</v>
      </c>
      <c r="D551" s="45">
        <v>1</v>
      </c>
      <c r="E551" s="19"/>
      <c r="F551" s="19"/>
    </row>
    <row r="552" spans="1:6" x14ac:dyDescent="0.25">
      <c r="A552" s="19">
        <v>586</v>
      </c>
      <c r="B552" s="19" t="s">
        <v>3320</v>
      </c>
      <c r="C552" s="19" t="s">
        <v>3321</v>
      </c>
      <c r="D552" s="45">
        <v>1</v>
      </c>
      <c r="E552" s="19"/>
      <c r="F552" s="19"/>
    </row>
    <row r="553" spans="1:6" x14ac:dyDescent="0.25">
      <c r="A553" s="19">
        <v>588</v>
      </c>
      <c r="B553" s="19" t="s">
        <v>3322</v>
      </c>
      <c r="C553" s="19" t="s">
        <v>3323</v>
      </c>
      <c r="D553" s="45">
        <v>1</v>
      </c>
      <c r="E553" s="19"/>
      <c r="F553" s="19"/>
    </row>
    <row r="554" spans="1:6" x14ac:dyDescent="0.25">
      <c r="A554" s="19">
        <v>589</v>
      </c>
      <c r="B554" s="19" t="s">
        <v>3324</v>
      </c>
      <c r="C554" s="19" t="s">
        <v>3325</v>
      </c>
      <c r="D554" s="45">
        <v>1</v>
      </c>
      <c r="E554" s="19"/>
      <c r="F554" s="19"/>
    </row>
    <row r="555" spans="1:6" x14ac:dyDescent="0.25">
      <c r="A555" s="19">
        <v>590</v>
      </c>
      <c r="B555" s="19" t="s">
        <v>3326</v>
      </c>
      <c r="C555" s="19" t="s">
        <v>3327</v>
      </c>
      <c r="D555" s="45">
        <v>1</v>
      </c>
      <c r="E555" s="19"/>
      <c r="F555" s="19"/>
    </row>
    <row r="556" spans="1:6" x14ac:dyDescent="0.25">
      <c r="A556" s="19">
        <v>591</v>
      </c>
      <c r="B556" s="19" t="s">
        <v>3328</v>
      </c>
      <c r="C556" s="19" t="s">
        <v>3329</v>
      </c>
      <c r="D556" s="45">
        <v>1</v>
      </c>
      <c r="E556" s="19"/>
      <c r="F556" s="19"/>
    </row>
    <row r="557" spans="1:6" x14ac:dyDescent="0.25">
      <c r="A557" s="19">
        <v>592</v>
      </c>
      <c r="B557" s="19" t="s">
        <v>3330</v>
      </c>
      <c r="C557" s="19" t="s">
        <v>3331</v>
      </c>
      <c r="D557" s="45">
        <v>1</v>
      </c>
      <c r="E557" s="19"/>
      <c r="F557" s="19"/>
    </row>
    <row r="558" spans="1:6" x14ac:dyDescent="0.25">
      <c r="A558" s="19">
        <v>593</v>
      </c>
      <c r="B558" s="19" t="s">
        <v>3332</v>
      </c>
      <c r="C558" s="19" t="s">
        <v>3333</v>
      </c>
      <c r="D558" s="45">
        <v>1</v>
      </c>
      <c r="E558" s="19"/>
      <c r="F558" s="19"/>
    </row>
    <row r="559" spans="1:6" x14ac:dyDescent="0.25">
      <c r="A559" s="19">
        <v>594</v>
      </c>
      <c r="B559" s="19" t="s">
        <v>3334</v>
      </c>
      <c r="C559" s="19" t="s">
        <v>3335</v>
      </c>
      <c r="D559" s="45">
        <v>1</v>
      </c>
      <c r="E559" s="19"/>
      <c r="F559" s="19"/>
    </row>
    <row r="560" spans="1:6" x14ac:dyDescent="0.25">
      <c r="A560" s="19">
        <v>595</v>
      </c>
      <c r="B560" s="19" t="s">
        <v>3336</v>
      </c>
      <c r="C560" s="19" t="s">
        <v>3337</v>
      </c>
      <c r="D560" s="45">
        <v>1</v>
      </c>
      <c r="E560" s="19"/>
      <c r="F560" s="19"/>
    </row>
    <row r="561" spans="1:6" x14ac:dyDescent="0.25">
      <c r="A561" s="19">
        <v>596</v>
      </c>
      <c r="B561" s="19" t="s">
        <v>3338</v>
      </c>
      <c r="C561" s="19" t="s">
        <v>3339</v>
      </c>
      <c r="D561" s="45">
        <v>1</v>
      </c>
      <c r="E561" s="19"/>
      <c r="F561" s="19"/>
    </row>
    <row r="562" spans="1:6" x14ac:dyDescent="0.25">
      <c r="A562" s="19">
        <v>597</v>
      </c>
      <c r="B562" s="19" t="s">
        <v>3340</v>
      </c>
      <c r="C562" s="19" t="s">
        <v>3341</v>
      </c>
      <c r="D562" s="45">
        <v>1</v>
      </c>
      <c r="E562" s="19"/>
      <c r="F562" s="19"/>
    </row>
    <row r="563" spans="1:6" x14ac:dyDescent="0.25">
      <c r="A563" s="19">
        <v>598</v>
      </c>
      <c r="B563" s="19" t="s">
        <v>3342</v>
      </c>
      <c r="C563" s="19" t="s">
        <v>3343</v>
      </c>
      <c r="D563" s="45">
        <v>1</v>
      </c>
      <c r="E563" s="19"/>
      <c r="F563" s="19"/>
    </row>
    <row r="564" spans="1:6" x14ac:dyDescent="0.25">
      <c r="A564" s="19">
        <v>599</v>
      </c>
      <c r="B564" s="19" t="s">
        <v>3344</v>
      </c>
      <c r="C564" s="19" t="s">
        <v>3345</v>
      </c>
      <c r="D564" s="45">
        <v>1</v>
      </c>
      <c r="E564" s="19"/>
      <c r="F564" s="19"/>
    </row>
    <row r="565" spans="1:6" x14ac:dyDescent="0.25">
      <c r="A565" s="19">
        <v>600</v>
      </c>
      <c r="B565" s="19" t="s">
        <v>3346</v>
      </c>
      <c r="C565" s="19" t="s">
        <v>3347</v>
      </c>
      <c r="D565" s="45">
        <v>1</v>
      </c>
      <c r="E565" s="19"/>
      <c r="F565" s="19"/>
    </row>
    <row r="566" spans="1:6" x14ac:dyDescent="0.25">
      <c r="A566" s="19">
        <v>601</v>
      </c>
      <c r="B566" s="19" t="s">
        <v>3348</v>
      </c>
      <c r="C566" s="19" t="s">
        <v>3349</v>
      </c>
      <c r="D566" s="45">
        <v>1</v>
      </c>
      <c r="E566" s="19"/>
      <c r="F566" s="19"/>
    </row>
    <row r="567" spans="1:6" x14ac:dyDescent="0.25">
      <c r="A567" s="19">
        <v>602</v>
      </c>
      <c r="B567" s="19" t="s">
        <v>3350</v>
      </c>
      <c r="C567" s="19" t="s">
        <v>3351</v>
      </c>
      <c r="D567" s="45">
        <v>1</v>
      </c>
      <c r="E567" s="19"/>
      <c r="F567" s="19"/>
    </row>
    <row r="568" spans="1:6" x14ac:dyDescent="0.25">
      <c r="A568" s="19">
        <v>603</v>
      </c>
      <c r="B568" s="19" t="s">
        <v>3352</v>
      </c>
      <c r="C568" s="19" t="s">
        <v>3353</v>
      </c>
      <c r="D568" s="45">
        <v>8</v>
      </c>
      <c r="E568" s="19"/>
      <c r="F568" s="19"/>
    </row>
    <row r="569" spans="1:6" x14ac:dyDescent="0.25">
      <c r="A569" s="19">
        <v>604</v>
      </c>
      <c r="B569" s="19" t="s">
        <v>3354</v>
      </c>
      <c r="C569" s="19" t="s">
        <v>3355</v>
      </c>
      <c r="D569" s="45">
        <v>1</v>
      </c>
      <c r="E569" s="19"/>
      <c r="F569" s="19"/>
    </row>
    <row r="570" spans="1:6" x14ac:dyDescent="0.25">
      <c r="A570" s="19">
        <v>605</v>
      </c>
      <c r="B570" s="19" t="s">
        <v>3356</v>
      </c>
      <c r="C570" s="19" t="s">
        <v>3357</v>
      </c>
      <c r="D570" s="45">
        <v>1</v>
      </c>
      <c r="E570" s="19"/>
      <c r="F570" s="19"/>
    </row>
    <row r="571" spans="1:6" x14ac:dyDescent="0.25">
      <c r="A571" s="19">
        <v>606</v>
      </c>
      <c r="B571" s="19" t="s">
        <v>3358</v>
      </c>
      <c r="C571" s="19" t="s">
        <v>3359</v>
      </c>
      <c r="D571" s="45">
        <v>1</v>
      </c>
      <c r="E571" s="19"/>
      <c r="F571" s="19"/>
    </row>
    <row r="572" spans="1:6" x14ac:dyDescent="0.25">
      <c r="A572" s="19">
        <v>607</v>
      </c>
      <c r="B572" s="19" t="s">
        <v>3360</v>
      </c>
      <c r="C572" s="19" t="s">
        <v>3361</v>
      </c>
      <c r="D572" s="45">
        <v>1</v>
      </c>
      <c r="E572" s="19"/>
      <c r="F572" s="19"/>
    </row>
    <row r="573" spans="1:6" x14ac:dyDescent="0.25">
      <c r="A573" s="19">
        <v>608</v>
      </c>
      <c r="B573" s="19" t="s">
        <v>3362</v>
      </c>
      <c r="C573" s="19" t="s">
        <v>3363</v>
      </c>
      <c r="D573" s="45">
        <v>8</v>
      </c>
      <c r="E573" s="19"/>
      <c r="F573" s="19"/>
    </row>
    <row r="574" spans="1:6" x14ac:dyDescent="0.25">
      <c r="A574" s="19">
        <v>609</v>
      </c>
      <c r="B574" s="19" t="s">
        <v>3364</v>
      </c>
      <c r="C574" s="19" t="s">
        <v>3365</v>
      </c>
      <c r="D574" s="45">
        <v>1</v>
      </c>
      <c r="E574" s="19"/>
      <c r="F574" s="19"/>
    </row>
    <row r="575" spans="1:6" x14ac:dyDescent="0.25">
      <c r="A575" s="19">
        <v>610</v>
      </c>
      <c r="B575" s="19" t="s">
        <v>3366</v>
      </c>
      <c r="C575" s="19" t="s">
        <v>3367</v>
      </c>
      <c r="D575" s="45">
        <v>1</v>
      </c>
      <c r="E575" s="19"/>
      <c r="F575" s="19"/>
    </row>
    <row r="576" spans="1:6" x14ac:dyDescent="0.25">
      <c r="A576" s="19">
        <v>611</v>
      </c>
      <c r="B576" s="19" t="s">
        <v>3368</v>
      </c>
      <c r="C576" s="19" t="s">
        <v>3369</v>
      </c>
      <c r="D576" s="45">
        <v>0</v>
      </c>
      <c r="E576" s="19"/>
      <c r="F576" s="19"/>
    </row>
    <row r="577" spans="1:6" x14ac:dyDescent="0.25">
      <c r="A577" s="19">
        <v>612</v>
      </c>
      <c r="B577" s="19" t="s">
        <v>3370</v>
      </c>
      <c r="C577" s="19" t="s">
        <v>3371</v>
      </c>
      <c r="D577" s="45">
        <v>1</v>
      </c>
      <c r="E577" s="19"/>
      <c r="F577" s="19"/>
    </row>
    <row r="578" spans="1:6" x14ac:dyDescent="0.25">
      <c r="A578" s="19">
        <v>614</v>
      </c>
      <c r="B578" s="19" t="s">
        <v>3372</v>
      </c>
      <c r="C578" s="19" t="s">
        <v>3373</v>
      </c>
      <c r="D578" s="45">
        <v>1</v>
      </c>
      <c r="E578" s="19"/>
      <c r="F578" s="19"/>
    </row>
    <row r="579" spans="1:6" x14ac:dyDescent="0.25">
      <c r="A579" s="19">
        <v>615</v>
      </c>
      <c r="B579" s="19" t="s">
        <v>3374</v>
      </c>
      <c r="C579" s="19" t="s">
        <v>3375</v>
      </c>
      <c r="D579" s="45">
        <v>1</v>
      </c>
      <c r="E579" s="19"/>
      <c r="F579" s="19"/>
    </row>
    <row r="580" spans="1:6" x14ac:dyDescent="0.25">
      <c r="A580" s="19">
        <v>616</v>
      </c>
      <c r="B580" s="19" t="s">
        <v>3376</v>
      </c>
      <c r="C580" s="19" t="s">
        <v>3377</v>
      </c>
      <c r="D580" s="45">
        <v>1</v>
      </c>
      <c r="E580" s="19"/>
      <c r="F580" s="19"/>
    </row>
    <row r="581" spans="1:6" x14ac:dyDescent="0.25">
      <c r="A581" s="19">
        <v>617</v>
      </c>
      <c r="B581" s="19" t="s">
        <v>3378</v>
      </c>
      <c r="C581" s="19" t="s">
        <v>3379</v>
      </c>
      <c r="D581" s="45">
        <v>1</v>
      </c>
      <c r="E581" s="19"/>
      <c r="F581" s="19"/>
    </row>
    <row r="582" spans="1:6" x14ac:dyDescent="0.25">
      <c r="A582" s="19">
        <v>618</v>
      </c>
      <c r="B582" s="19" t="s">
        <v>3380</v>
      </c>
      <c r="C582" s="19" t="s">
        <v>3381</v>
      </c>
      <c r="D582" s="45">
        <v>1</v>
      </c>
      <c r="E582" s="19"/>
      <c r="F582" s="19"/>
    </row>
    <row r="583" spans="1:6" x14ac:dyDescent="0.25">
      <c r="A583" s="19">
        <v>619</v>
      </c>
      <c r="B583" s="19" t="s">
        <v>3382</v>
      </c>
      <c r="C583" s="19" t="s">
        <v>3383</v>
      </c>
      <c r="D583" s="45">
        <v>1</v>
      </c>
      <c r="E583" s="19"/>
      <c r="F583" s="19"/>
    </row>
    <row r="584" spans="1:6" x14ac:dyDescent="0.25">
      <c r="A584" s="19">
        <v>620</v>
      </c>
      <c r="B584" s="19" t="s">
        <v>3384</v>
      </c>
      <c r="C584" s="19" t="s">
        <v>3385</v>
      </c>
      <c r="D584" s="45">
        <v>1</v>
      </c>
      <c r="E584" s="19"/>
      <c r="F584" s="19"/>
    </row>
    <row r="585" spans="1:6" x14ac:dyDescent="0.25">
      <c r="A585" s="19">
        <v>621</v>
      </c>
      <c r="B585" s="19" t="s">
        <v>3386</v>
      </c>
      <c r="C585" s="19" t="s">
        <v>3387</v>
      </c>
      <c r="D585" s="45">
        <v>1</v>
      </c>
      <c r="E585" s="19"/>
      <c r="F585" s="19"/>
    </row>
    <row r="586" spans="1:6" x14ac:dyDescent="0.25">
      <c r="A586" s="19">
        <v>622</v>
      </c>
      <c r="B586" s="19" t="s">
        <v>3388</v>
      </c>
      <c r="C586" s="19" t="s">
        <v>3389</v>
      </c>
      <c r="D586" s="45">
        <v>0</v>
      </c>
      <c r="E586" s="19"/>
      <c r="F586" s="19"/>
    </row>
    <row r="587" spans="1:6" x14ac:dyDescent="0.25">
      <c r="A587" s="19">
        <v>624</v>
      </c>
      <c r="B587" s="19" t="s">
        <v>3390</v>
      </c>
      <c r="C587" s="19" t="s">
        <v>3391</v>
      </c>
      <c r="D587" s="45">
        <v>1</v>
      </c>
      <c r="E587" s="19"/>
      <c r="F587" s="19"/>
    </row>
    <row r="588" spans="1:6" x14ac:dyDescent="0.25">
      <c r="A588" s="19">
        <v>625</v>
      </c>
      <c r="B588" s="19" t="s">
        <v>3392</v>
      </c>
      <c r="C588" s="19" t="s">
        <v>3393</v>
      </c>
      <c r="D588" s="45">
        <v>1</v>
      </c>
      <c r="E588" s="19"/>
      <c r="F588" s="19"/>
    </row>
    <row r="589" spans="1:6" x14ac:dyDescent="0.25">
      <c r="A589" s="19">
        <v>626</v>
      </c>
      <c r="B589" s="19" t="s">
        <v>3394</v>
      </c>
      <c r="C589" s="19" t="s">
        <v>3395</v>
      </c>
      <c r="D589" s="45">
        <v>1</v>
      </c>
      <c r="E589" s="19"/>
      <c r="F589" s="19"/>
    </row>
    <row r="590" spans="1:6" x14ac:dyDescent="0.25">
      <c r="A590" s="19">
        <v>627</v>
      </c>
      <c r="B590" s="19" t="s">
        <v>3396</v>
      </c>
      <c r="C590" s="19" t="s">
        <v>3397</v>
      </c>
      <c r="D590" s="45">
        <v>1</v>
      </c>
      <c r="E590" s="19"/>
      <c r="F590" s="19"/>
    </row>
    <row r="591" spans="1:6" x14ac:dyDescent="0.25">
      <c r="A591" s="19">
        <v>628</v>
      </c>
      <c r="B591" s="19" t="s">
        <v>3398</v>
      </c>
      <c r="C591" s="19" t="s">
        <v>3399</v>
      </c>
      <c r="D591" s="45">
        <v>1</v>
      </c>
      <c r="E591" s="19"/>
      <c r="F591" s="19"/>
    </row>
    <row r="592" spans="1:6" x14ac:dyDescent="0.25">
      <c r="A592" s="19">
        <v>629</v>
      </c>
      <c r="B592" s="19" t="s">
        <v>3400</v>
      </c>
      <c r="C592" s="19" t="s">
        <v>3401</v>
      </c>
      <c r="D592" s="45">
        <v>1</v>
      </c>
      <c r="E592" s="19"/>
      <c r="F592" s="19"/>
    </row>
    <row r="593" spans="1:6" x14ac:dyDescent="0.25">
      <c r="A593" s="19">
        <v>630</v>
      </c>
      <c r="B593" s="19" t="s">
        <v>3402</v>
      </c>
      <c r="C593" s="19" t="s">
        <v>3403</v>
      </c>
      <c r="D593" s="45">
        <v>0</v>
      </c>
      <c r="E593" s="19"/>
      <c r="F593" s="19"/>
    </row>
    <row r="594" spans="1:6" x14ac:dyDescent="0.25">
      <c r="A594" s="19">
        <v>631</v>
      </c>
      <c r="B594" s="19" t="s">
        <v>3404</v>
      </c>
      <c r="C594" s="19" t="s">
        <v>3405</v>
      </c>
      <c r="D594" s="45">
        <v>1</v>
      </c>
      <c r="E594" s="19"/>
      <c r="F594" s="19"/>
    </row>
    <row r="595" spans="1:6" x14ac:dyDescent="0.25">
      <c r="A595" s="19">
        <v>632</v>
      </c>
      <c r="B595" s="19" t="s">
        <v>3406</v>
      </c>
      <c r="C595" s="19" t="s">
        <v>3407</v>
      </c>
      <c r="D595" s="45">
        <v>1</v>
      </c>
      <c r="E595" s="19"/>
      <c r="F595" s="19"/>
    </row>
    <row r="596" spans="1:6" x14ac:dyDescent="0.25">
      <c r="A596" s="19">
        <v>633</v>
      </c>
      <c r="B596" s="19" t="s">
        <v>3408</v>
      </c>
      <c r="C596" s="19" t="s">
        <v>3409</v>
      </c>
      <c r="D596" s="45">
        <v>1</v>
      </c>
      <c r="E596" s="19"/>
      <c r="F596" s="19"/>
    </row>
    <row r="597" spans="1:6" x14ac:dyDescent="0.25">
      <c r="A597" s="19">
        <v>634</v>
      </c>
      <c r="B597" s="19" t="s">
        <v>3410</v>
      </c>
      <c r="C597" s="19" t="s">
        <v>3411</v>
      </c>
      <c r="D597" s="45">
        <v>1</v>
      </c>
      <c r="E597" s="19"/>
      <c r="F597" s="19"/>
    </row>
    <row r="598" spans="1:6" x14ac:dyDescent="0.25">
      <c r="A598" s="19">
        <v>635</v>
      </c>
      <c r="B598" s="19" t="s">
        <v>3412</v>
      </c>
      <c r="C598" s="19" t="s">
        <v>3413</v>
      </c>
      <c r="D598" s="45">
        <v>8</v>
      </c>
      <c r="E598" s="19"/>
      <c r="F598" s="19"/>
    </row>
    <row r="599" spans="1:6" x14ac:dyDescent="0.25">
      <c r="A599" s="19">
        <v>636</v>
      </c>
      <c r="B599" s="19" t="s">
        <v>3414</v>
      </c>
      <c r="C599" s="19" t="s">
        <v>3415</v>
      </c>
      <c r="D599" s="45">
        <v>1</v>
      </c>
      <c r="E599" s="19"/>
      <c r="F599" s="19"/>
    </row>
    <row r="600" spans="1:6" x14ac:dyDescent="0.25">
      <c r="A600" s="19">
        <v>637</v>
      </c>
      <c r="B600" s="19" t="s">
        <v>3416</v>
      </c>
      <c r="C600" s="19" t="s">
        <v>3417</v>
      </c>
      <c r="D600" s="45">
        <v>1</v>
      </c>
      <c r="E600" s="19"/>
      <c r="F600" s="19"/>
    </row>
    <row r="601" spans="1:6" x14ac:dyDescent="0.25">
      <c r="A601" s="19">
        <v>638</v>
      </c>
      <c r="B601" s="19" t="s">
        <v>3418</v>
      </c>
      <c r="C601" s="19" t="s">
        <v>3419</v>
      </c>
      <c r="D601" s="45">
        <v>1</v>
      </c>
      <c r="E601" s="19"/>
      <c r="F601" s="19"/>
    </row>
    <row r="602" spans="1:6" x14ac:dyDescent="0.25">
      <c r="A602" s="19">
        <v>639</v>
      </c>
      <c r="B602" s="19" t="s">
        <v>3420</v>
      </c>
      <c r="C602" s="19" t="s">
        <v>3421</v>
      </c>
      <c r="D602" s="45">
        <v>1</v>
      </c>
      <c r="E602" s="19"/>
      <c r="F602" s="19"/>
    </row>
    <row r="603" spans="1:6" x14ac:dyDescent="0.25">
      <c r="A603" s="19">
        <v>640</v>
      </c>
      <c r="B603" s="19" t="s">
        <v>3422</v>
      </c>
      <c r="C603" s="19" t="s">
        <v>3423</v>
      </c>
      <c r="D603" s="45">
        <v>8</v>
      </c>
      <c r="E603" s="19"/>
      <c r="F603" s="19"/>
    </row>
    <row r="604" spans="1:6" x14ac:dyDescent="0.25">
      <c r="A604" s="19">
        <v>641</v>
      </c>
      <c r="B604" s="19" t="s">
        <v>3424</v>
      </c>
      <c r="C604" s="19" t="s">
        <v>3425</v>
      </c>
      <c r="D604" s="45">
        <v>1</v>
      </c>
      <c r="E604" s="19"/>
      <c r="F604" s="19"/>
    </row>
    <row r="605" spans="1:6" x14ac:dyDescent="0.25">
      <c r="A605" s="19">
        <v>642</v>
      </c>
      <c r="B605" s="19" t="s">
        <v>3426</v>
      </c>
      <c r="C605" s="19" t="s">
        <v>3427</v>
      </c>
      <c r="D605" s="45">
        <v>8</v>
      </c>
      <c r="E605" s="19"/>
      <c r="F605" s="19"/>
    </row>
    <row r="606" spans="1:6" x14ac:dyDescent="0.25">
      <c r="A606" s="19">
        <v>643</v>
      </c>
      <c r="B606" s="19" t="s">
        <v>3428</v>
      </c>
      <c r="C606" s="19" t="s">
        <v>3429</v>
      </c>
      <c r="D606" s="45">
        <v>1</v>
      </c>
      <c r="E606" s="19"/>
      <c r="F606" s="19"/>
    </row>
    <row r="607" spans="1:6" x14ac:dyDescent="0.25">
      <c r="A607" s="19">
        <v>644</v>
      </c>
      <c r="B607" s="19" t="s">
        <v>3430</v>
      </c>
      <c r="C607" s="19" t="s">
        <v>3431</v>
      </c>
      <c r="D607" s="45">
        <v>1</v>
      </c>
      <c r="E607" s="19"/>
      <c r="F607" s="19"/>
    </row>
    <row r="608" spans="1:6" x14ac:dyDescent="0.25">
      <c r="A608" s="19">
        <v>645</v>
      </c>
      <c r="B608" s="19" t="s">
        <v>3432</v>
      </c>
      <c r="C608" s="19" t="s">
        <v>3433</v>
      </c>
      <c r="D608" s="45">
        <v>1</v>
      </c>
      <c r="E608" s="19"/>
      <c r="F608" s="19"/>
    </row>
    <row r="609" spans="1:6" x14ac:dyDescent="0.25">
      <c r="A609" s="19">
        <v>646</v>
      </c>
      <c r="B609" s="19" t="s">
        <v>3434</v>
      </c>
      <c r="C609" s="19" t="s">
        <v>3435</v>
      </c>
      <c r="D609" s="45">
        <v>1</v>
      </c>
      <c r="E609" s="19"/>
      <c r="F609" s="19"/>
    </row>
    <row r="610" spans="1:6" x14ac:dyDescent="0.25">
      <c r="A610" s="19">
        <v>647</v>
      </c>
      <c r="B610" s="19" t="s">
        <v>3436</v>
      </c>
      <c r="C610" s="19" t="s">
        <v>3437</v>
      </c>
      <c r="D610" s="45">
        <v>1</v>
      </c>
      <c r="E610" s="19"/>
      <c r="F610" s="19"/>
    </row>
    <row r="611" spans="1:6" x14ac:dyDescent="0.25">
      <c r="A611" s="19">
        <v>648</v>
      </c>
      <c r="B611" s="19" t="s">
        <v>3438</v>
      </c>
      <c r="C611" s="19" t="s">
        <v>137</v>
      </c>
      <c r="D611" s="45">
        <v>1</v>
      </c>
      <c r="E611" s="19"/>
      <c r="F611" s="19"/>
    </row>
    <row r="612" spans="1:6" x14ac:dyDescent="0.25">
      <c r="A612" s="19">
        <v>649</v>
      </c>
      <c r="B612" s="19" t="s">
        <v>3439</v>
      </c>
      <c r="C612" s="19" t="s">
        <v>3440</v>
      </c>
      <c r="D612" s="45">
        <v>1</v>
      </c>
      <c r="E612" s="19"/>
      <c r="F612" s="19"/>
    </row>
    <row r="613" spans="1:6" x14ac:dyDescent="0.25">
      <c r="A613" s="19">
        <v>650</v>
      </c>
      <c r="B613" s="19" t="s">
        <v>3441</v>
      </c>
      <c r="C613" s="19" t="s">
        <v>3442</v>
      </c>
      <c r="D613" s="45">
        <v>1</v>
      </c>
      <c r="E613" s="19"/>
      <c r="F613" s="19"/>
    </row>
    <row r="614" spans="1:6" x14ac:dyDescent="0.25">
      <c r="A614" s="19">
        <v>651</v>
      </c>
      <c r="B614" s="19" t="s">
        <v>3443</v>
      </c>
      <c r="C614" s="19" t="s">
        <v>3444</v>
      </c>
      <c r="D614" s="45">
        <v>1</v>
      </c>
      <c r="E614" s="19"/>
      <c r="F614" s="19"/>
    </row>
    <row r="615" spans="1:6" x14ac:dyDescent="0.25">
      <c r="A615" s="19">
        <v>652</v>
      </c>
      <c r="B615" s="19" t="s">
        <v>3445</v>
      </c>
      <c r="C615" s="19" t="s">
        <v>3446</v>
      </c>
      <c r="D615" s="45">
        <v>1</v>
      </c>
      <c r="E615" s="19"/>
      <c r="F615" s="19"/>
    </row>
    <row r="616" spans="1:6" x14ac:dyDescent="0.25">
      <c r="A616" s="19">
        <v>653</v>
      </c>
      <c r="B616" s="19" t="s">
        <v>3447</v>
      </c>
      <c r="C616" s="19" t="s">
        <v>3448</v>
      </c>
      <c r="D616" s="45">
        <v>1</v>
      </c>
      <c r="E616" s="19"/>
      <c r="F616" s="19"/>
    </row>
    <row r="617" spans="1:6" x14ac:dyDescent="0.25">
      <c r="A617" s="19">
        <v>654</v>
      </c>
      <c r="B617" s="19" t="s">
        <v>3449</v>
      </c>
      <c r="C617" s="19" t="s">
        <v>3450</v>
      </c>
      <c r="D617" s="45">
        <v>1</v>
      </c>
      <c r="E617" s="19"/>
      <c r="F617" s="19"/>
    </row>
    <row r="618" spans="1:6" x14ac:dyDescent="0.25">
      <c r="A618" s="19">
        <v>655</v>
      </c>
      <c r="B618" s="19" t="s">
        <v>3451</v>
      </c>
      <c r="C618" s="19" t="s">
        <v>3452</v>
      </c>
      <c r="D618" s="45">
        <v>8</v>
      </c>
      <c r="E618" s="19"/>
      <c r="F618" s="19"/>
    </row>
    <row r="619" spans="1:6" x14ac:dyDescent="0.25">
      <c r="A619" s="19">
        <v>656</v>
      </c>
      <c r="B619" s="19" t="s">
        <v>3453</v>
      </c>
      <c r="C619" s="19" t="s">
        <v>3454</v>
      </c>
      <c r="D619" s="45">
        <v>1</v>
      </c>
      <c r="E619" s="19"/>
      <c r="F619" s="19"/>
    </row>
    <row r="620" spans="1:6" x14ac:dyDescent="0.25">
      <c r="A620" s="19">
        <v>657</v>
      </c>
      <c r="B620" s="19" t="s">
        <v>3455</v>
      </c>
      <c r="C620" s="19" t="s">
        <v>3456</v>
      </c>
      <c r="D620" s="45">
        <v>1</v>
      </c>
      <c r="E620" s="19"/>
      <c r="F620" s="19"/>
    </row>
    <row r="621" spans="1:6" x14ac:dyDescent="0.25">
      <c r="A621" s="19">
        <v>658</v>
      </c>
      <c r="B621" s="19" t="s">
        <v>3457</v>
      </c>
      <c r="C621" s="19" t="s">
        <v>3458</v>
      </c>
      <c r="D621" s="45">
        <v>1</v>
      </c>
      <c r="E621" s="19"/>
      <c r="F621" s="19"/>
    </row>
    <row r="622" spans="1:6" x14ac:dyDescent="0.25">
      <c r="A622" s="19">
        <v>659</v>
      </c>
      <c r="B622" s="19" t="s">
        <v>3459</v>
      </c>
      <c r="C622" s="19" t="s">
        <v>3460</v>
      </c>
      <c r="D622" s="45">
        <v>1</v>
      </c>
      <c r="E622" s="19"/>
      <c r="F622" s="19"/>
    </row>
    <row r="623" spans="1:6" x14ac:dyDescent="0.25">
      <c r="A623" s="19">
        <v>660</v>
      </c>
      <c r="B623" s="19" t="s">
        <v>3461</v>
      </c>
      <c r="C623" s="19" t="s">
        <v>3462</v>
      </c>
      <c r="D623" s="45">
        <v>1</v>
      </c>
      <c r="E623" s="19"/>
      <c r="F623" s="19"/>
    </row>
    <row r="624" spans="1:6" x14ac:dyDescent="0.25">
      <c r="A624" s="19">
        <v>661</v>
      </c>
      <c r="B624" s="19" t="s">
        <v>3463</v>
      </c>
      <c r="C624" s="19" t="s">
        <v>3464</v>
      </c>
      <c r="D624" s="45">
        <v>1</v>
      </c>
      <c r="E624" s="19"/>
      <c r="F624" s="19"/>
    </row>
    <row r="625" spans="1:6" x14ac:dyDescent="0.25">
      <c r="A625" s="19">
        <v>662</v>
      </c>
      <c r="B625" s="19" t="s">
        <v>3465</v>
      </c>
      <c r="C625" s="19" t="s">
        <v>3466</v>
      </c>
      <c r="D625" s="45">
        <v>1</v>
      </c>
      <c r="E625" s="19"/>
      <c r="F625" s="19"/>
    </row>
    <row r="626" spans="1:6" x14ac:dyDescent="0.25">
      <c r="A626" s="19">
        <v>663</v>
      </c>
      <c r="B626" s="19" t="s">
        <v>3467</v>
      </c>
      <c r="C626" s="19" t="s">
        <v>3468</v>
      </c>
      <c r="D626" s="45">
        <v>1</v>
      </c>
      <c r="E626" s="19"/>
      <c r="F626" s="19"/>
    </row>
    <row r="627" spans="1:6" x14ac:dyDescent="0.25">
      <c r="A627" s="19">
        <v>664</v>
      </c>
      <c r="B627" s="19" t="s">
        <v>3469</v>
      </c>
      <c r="C627" s="19" t="s">
        <v>3470</v>
      </c>
      <c r="D627" s="45">
        <v>8</v>
      </c>
      <c r="E627" s="19"/>
      <c r="F627" s="19"/>
    </row>
    <row r="628" spans="1:6" x14ac:dyDescent="0.25">
      <c r="A628" s="19">
        <v>665</v>
      </c>
      <c r="B628" s="19" t="s">
        <v>3471</v>
      </c>
      <c r="C628" s="19" t="s">
        <v>3472</v>
      </c>
      <c r="D628" s="45">
        <v>8</v>
      </c>
      <c r="E628" s="19"/>
      <c r="F628" s="19"/>
    </row>
    <row r="629" spans="1:6" x14ac:dyDescent="0.25">
      <c r="A629" s="19">
        <v>666</v>
      </c>
      <c r="B629" s="19" t="s">
        <v>3473</v>
      </c>
      <c r="C629" s="19" t="s">
        <v>3474</v>
      </c>
      <c r="D629" s="45">
        <v>1</v>
      </c>
      <c r="E629" s="19"/>
      <c r="F629" s="19"/>
    </row>
    <row r="630" spans="1:6" x14ac:dyDescent="0.25">
      <c r="A630" s="19">
        <v>667</v>
      </c>
      <c r="B630" s="19" t="s">
        <v>3475</v>
      </c>
      <c r="C630" s="19" t="s">
        <v>3476</v>
      </c>
      <c r="D630" s="45">
        <v>1</v>
      </c>
      <c r="E630" s="19"/>
      <c r="F630" s="19"/>
    </row>
    <row r="631" spans="1:6" x14ac:dyDescent="0.25">
      <c r="A631" s="19">
        <v>668</v>
      </c>
      <c r="B631" s="19" t="s">
        <v>3477</v>
      </c>
      <c r="C631" s="19" t="s">
        <v>3478</v>
      </c>
      <c r="D631" s="45">
        <v>1</v>
      </c>
      <c r="E631" s="19"/>
      <c r="F631" s="19"/>
    </row>
    <row r="632" spans="1:6" x14ac:dyDescent="0.25">
      <c r="A632" s="19">
        <v>669</v>
      </c>
      <c r="B632" s="19" t="s">
        <v>3479</v>
      </c>
      <c r="C632" s="19" t="s">
        <v>3480</v>
      </c>
      <c r="D632" s="45">
        <v>1</v>
      </c>
      <c r="E632" s="19"/>
      <c r="F632" s="19"/>
    </row>
    <row r="633" spans="1:6" x14ac:dyDescent="0.25">
      <c r="A633" s="19">
        <v>670</v>
      </c>
      <c r="B633" s="19" t="s">
        <v>3481</v>
      </c>
      <c r="C633" s="19" t="s">
        <v>3482</v>
      </c>
      <c r="D633" s="45">
        <v>1</v>
      </c>
      <c r="E633" s="19"/>
      <c r="F633" s="19"/>
    </row>
    <row r="634" spans="1:6" x14ac:dyDescent="0.25">
      <c r="A634" s="19">
        <v>671</v>
      </c>
      <c r="B634" s="19" t="s">
        <v>3483</v>
      </c>
      <c r="C634" s="19" t="s">
        <v>3484</v>
      </c>
      <c r="D634" s="45">
        <v>1</v>
      </c>
      <c r="E634" s="19"/>
      <c r="F634" s="19"/>
    </row>
    <row r="635" spans="1:6" x14ac:dyDescent="0.25">
      <c r="A635" s="19">
        <v>672</v>
      </c>
      <c r="B635" s="19" t="s">
        <v>3485</v>
      </c>
      <c r="C635" s="19" t="s">
        <v>3486</v>
      </c>
      <c r="D635" s="45">
        <v>1</v>
      </c>
      <c r="E635" s="19"/>
      <c r="F635" s="19"/>
    </row>
    <row r="636" spans="1:6" x14ac:dyDescent="0.25">
      <c r="A636" s="19">
        <v>673</v>
      </c>
      <c r="B636" s="19" t="s">
        <v>3487</v>
      </c>
      <c r="C636" s="19" t="s">
        <v>3488</v>
      </c>
      <c r="D636" s="45">
        <v>1</v>
      </c>
      <c r="E636" s="19"/>
      <c r="F636" s="19"/>
    </row>
    <row r="637" spans="1:6" x14ac:dyDescent="0.25">
      <c r="A637" s="19">
        <v>674</v>
      </c>
      <c r="B637" s="19" t="s">
        <v>3489</v>
      </c>
      <c r="C637" s="19" t="s">
        <v>3490</v>
      </c>
      <c r="D637" s="45">
        <v>1</v>
      </c>
      <c r="E637" s="19"/>
      <c r="F637" s="19"/>
    </row>
    <row r="638" spans="1:6" x14ac:dyDescent="0.25">
      <c r="A638" s="19">
        <v>675</v>
      </c>
      <c r="B638" s="19" t="s">
        <v>3491</v>
      </c>
      <c r="C638" s="19" t="s">
        <v>3492</v>
      </c>
      <c r="D638" s="45">
        <v>1</v>
      </c>
      <c r="E638" s="19"/>
      <c r="F638" s="19"/>
    </row>
    <row r="639" spans="1:6" x14ac:dyDescent="0.25">
      <c r="A639" s="19">
        <v>676</v>
      </c>
      <c r="B639" s="19" t="s">
        <v>3493</v>
      </c>
      <c r="C639" s="19" t="s">
        <v>3494</v>
      </c>
      <c r="D639" s="45">
        <v>1</v>
      </c>
      <c r="E639" s="19"/>
      <c r="F639" s="19"/>
    </row>
    <row r="640" spans="1:6" x14ac:dyDescent="0.25">
      <c r="A640" s="19">
        <v>677</v>
      </c>
      <c r="B640" s="19" t="s">
        <v>3495</v>
      </c>
      <c r="C640" s="19" t="s">
        <v>3496</v>
      </c>
      <c r="D640" s="45">
        <v>1</v>
      </c>
      <c r="E640" s="19"/>
      <c r="F640" s="19"/>
    </row>
    <row r="641" spans="1:6" x14ac:dyDescent="0.25">
      <c r="A641" s="19">
        <v>678</v>
      </c>
      <c r="B641" s="19" t="s">
        <v>3497</v>
      </c>
      <c r="C641" s="19" t="s">
        <v>3498</v>
      </c>
      <c r="D641" s="45">
        <v>1</v>
      </c>
      <c r="E641" s="19"/>
      <c r="F641" s="19"/>
    </row>
    <row r="642" spans="1:6" x14ac:dyDescent="0.25">
      <c r="A642" s="19">
        <v>679</v>
      </c>
      <c r="B642" s="19" t="s">
        <v>3499</v>
      </c>
      <c r="C642" s="19" t="s">
        <v>3500</v>
      </c>
      <c r="D642" s="45">
        <v>6</v>
      </c>
      <c r="E642" s="19"/>
      <c r="F642" s="19"/>
    </row>
    <row r="643" spans="1:6" x14ac:dyDescent="0.25">
      <c r="A643" s="19">
        <v>680</v>
      </c>
      <c r="B643" s="19" t="s">
        <v>3501</v>
      </c>
      <c r="C643" s="19" t="s">
        <v>3502</v>
      </c>
      <c r="D643" s="45">
        <v>1</v>
      </c>
      <c r="E643" s="19"/>
      <c r="F643" s="19"/>
    </row>
    <row r="644" spans="1:6" x14ac:dyDescent="0.25">
      <c r="A644" s="19">
        <v>681</v>
      </c>
      <c r="B644" s="19" t="s">
        <v>3503</v>
      </c>
      <c r="C644" s="19" t="s">
        <v>3504</v>
      </c>
      <c r="D644" s="45">
        <v>1</v>
      </c>
      <c r="E644" s="19"/>
      <c r="F644" s="19"/>
    </row>
    <row r="645" spans="1:6" x14ac:dyDescent="0.25">
      <c r="A645" s="19">
        <v>682</v>
      </c>
      <c r="B645" s="19" t="s">
        <v>3505</v>
      </c>
      <c r="C645" s="19" t="s">
        <v>3506</v>
      </c>
      <c r="D645" s="45">
        <v>1</v>
      </c>
      <c r="E645" s="19"/>
      <c r="F645" s="19"/>
    </row>
    <row r="646" spans="1:6" x14ac:dyDescent="0.25">
      <c r="A646" s="19">
        <v>683</v>
      </c>
      <c r="B646" s="19" t="s">
        <v>3507</v>
      </c>
      <c r="C646" s="19" t="s">
        <v>3508</v>
      </c>
      <c r="D646" s="45">
        <v>1</v>
      </c>
      <c r="E646" s="19"/>
      <c r="F646" s="19"/>
    </row>
    <row r="647" spans="1:6" x14ac:dyDescent="0.25">
      <c r="A647" s="19">
        <v>684</v>
      </c>
      <c r="B647" s="19" t="s">
        <v>3509</v>
      </c>
      <c r="C647" s="19" t="s">
        <v>3510</v>
      </c>
      <c r="D647" s="45">
        <v>1</v>
      </c>
      <c r="E647" s="19"/>
      <c r="F647" s="19"/>
    </row>
    <row r="648" spans="1:6" x14ac:dyDescent="0.25">
      <c r="A648" s="19">
        <v>685</v>
      </c>
      <c r="B648" s="19" t="s">
        <v>3511</v>
      </c>
      <c r="C648" s="19" t="s">
        <v>3512</v>
      </c>
      <c r="D648" s="45">
        <v>1</v>
      </c>
      <c r="E648" s="19"/>
      <c r="F648" s="19"/>
    </row>
    <row r="649" spans="1:6" x14ac:dyDescent="0.25">
      <c r="A649" s="19">
        <v>686</v>
      </c>
      <c r="B649" s="19" t="s">
        <v>3513</v>
      </c>
      <c r="C649" s="19" t="s">
        <v>3514</v>
      </c>
      <c r="D649" s="45">
        <v>1</v>
      </c>
      <c r="E649" s="19"/>
      <c r="F649" s="19"/>
    </row>
    <row r="650" spans="1:6" x14ac:dyDescent="0.25">
      <c r="A650" s="19">
        <v>687</v>
      </c>
      <c r="B650" s="19" t="s">
        <v>3515</v>
      </c>
      <c r="C650" s="19" t="s">
        <v>3516</v>
      </c>
      <c r="D650" s="45">
        <v>1</v>
      </c>
      <c r="E650" s="19"/>
      <c r="F650" s="19"/>
    </row>
    <row r="651" spans="1:6" x14ac:dyDescent="0.25">
      <c r="A651" s="19">
        <v>688</v>
      </c>
      <c r="B651" s="19" t="s">
        <v>3517</v>
      </c>
      <c r="C651" s="19" t="s">
        <v>3518</v>
      </c>
      <c r="D651" s="45">
        <v>8</v>
      </c>
      <c r="E651" s="19"/>
      <c r="F651" s="19"/>
    </row>
    <row r="652" spans="1:6" x14ac:dyDescent="0.25">
      <c r="A652" s="19">
        <v>689</v>
      </c>
      <c r="B652" s="19" t="s">
        <v>3519</v>
      </c>
      <c r="C652" s="19" t="s">
        <v>3520</v>
      </c>
      <c r="D652" s="45">
        <v>7</v>
      </c>
      <c r="E652" s="19" t="s">
        <v>6</v>
      </c>
      <c r="F652" s="19"/>
    </row>
    <row r="653" spans="1:6" x14ac:dyDescent="0.25">
      <c r="A653" s="19">
        <v>690</v>
      </c>
      <c r="B653" s="19" t="s">
        <v>3521</v>
      </c>
      <c r="C653" s="19" t="s">
        <v>3522</v>
      </c>
      <c r="D653" s="45">
        <v>1</v>
      </c>
      <c r="E653" s="19"/>
      <c r="F653" s="19"/>
    </row>
    <row r="654" spans="1:6" x14ac:dyDescent="0.25">
      <c r="A654" s="19">
        <v>691</v>
      </c>
      <c r="B654" s="19" t="s">
        <v>3523</v>
      </c>
      <c r="C654" s="19" t="s">
        <v>3524</v>
      </c>
      <c r="D654" s="45">
        <v>1</v>
      </c>
      <c r="E654" s="19"/>
      <c r="F654" s="19"/>
    </row>
    <row r="655" spans="1:6" x14ac:dyDescent="0.25">
      <c r="A655" s="19">
        <v>692</v>
      </c>
      <c r="B655" s="19" t="s">
        <v>3525</v>
      </c>
      <c r="C655" s="19" t="s">
        <v>3526</v>
      </c>
      <c r="D655" s="45">
        <v>1</v>
      </c>
      <c r="E655" s="19"/>
      <c r="F655" s="19"/>
    </row>
    <row r="656" spans="1:6" x14ac:dyDescent="0.25">
      <c r="A656" s="19">
        <v>693</v>
      </c>
      <c r="B656" s="19" t="s">
        <v>3527</v>
      </c>
      <c r="C656" s="19" t="s">
        <v>3528</v>
      </c>
      <c r="D656" s="45">
        <v>1</v>
      </c>
      <c r="E656" s="19"/>
      <c r="F656" s="19"/>
    </row>
    <row r="657" spans="1:6" x14ac:dyDescent="0.25">
      <c r="A657" s="19">
        <v>694</v>
      </c>
      <c r="B657" s="19" t="s">
        <v>3529</v>
      </c>
      <c r="C657" s="19" t="s">
        <v>3530</v>
      </c>
      <c r="D657" s="45">
        <v>1</v>
      </c>
      <c r="E657" s="19"/>
      <c r="F657" s="19"/>
    </row>
    <row r="658" spans="1:6" x14ac:dyDescent="0.25">
      <c r="A658" s="19">
        <v>695</v>
      </c>
      <c r="B658" s="19" t="s">
        <v>3531</v>
      </c>
      <c r="C658" s="19" t="s">
        <v>3532</v>
      </c>
      <c r="D658" s="45">
        <v>1</v>
      </c>
      <c r="E658" s="19"/>
      <c r="F658" s="19"/>
    </row>
    <row r="659" spans="1:6" x14ac:dyDescent="0.25">
      <c r="A659" s="19">
        <v>696</v>
      </c>
      <c r="B659" s="19" t="s">
        <v>3533</v>
      </c>
      <c r="C659" s="19" t="s">
        <v>3534</v>
      </c>
      <c r="D659" s="45">
        <v>1</v>
      </c>
      <c r="E659" s="19"/>
      <c r="F659" s="19"/>
    </row>
    <row r="660" spans="1:6" x14ac:dyDescent="0.25">
      <c r="A660" s="19">
        <v>697</v>
      </c>
      <c r="B660" s="19" t="s">
        <v>3535</v>
      </c>
      <c r="C660" s="19" t="s">
        <v>3536</v>
      </c>
      <c r="D660" s="45">
        <v>1</v>
      </c>
      <c r="E660" s="19"/>
      <c r="F660" s="19"/>
    </row>
    <row r="661" spans="1:6" x14ac:dyDescent="0.25">
      <c r="A661" s="19">
        <v>698</v>
      </c>
      <c r="B661" s="19" t="s">
        <v>3537</v>
      </c>
      <c r="C661" s="19" t="s">
        <v>3538</v>
      </c>
      <c r="D661" s="45">
        <v>1</v>
      </c>
      <c r="E661" s="19"/>
      <c r="F661" s="19"/>
    </row>
    <row r="662" spans="1:6" x14ac:dyDescent="0.25">
      <c r="A662" s="19">
        <v>699</v>
      </c>
      <c r="B662" s="19" t="s">
        <v>3539</v>
      </c>
      <c r="C662" s="19" t="s">
        <v>3540</v>
      </c>
      <c r="D662" s="45">
        <v>1</v>
      </c>
      <c r="E662" s="19"/>
      <c r="F662" s="19"/>
    </row>
    <row r="663" spans="1:6" x14ac:dyDescent="0.25">
      <c r="A663" s="19">
        <v>700</v>
      </c>
      <c r="B663" s="19" t="s">
        <v>3541</v>
      </c>
      <c r="C663" s="19" t="s">
        <v>3542</v>
      </c>
      <c r="D663" s="45">
        <v>1</v>
      </c>
      <c r="E663" s="19"/>
      <c r="F663" s="19"/>
    </row>
    <row r="664" spans="1:6" x14ac:dyDescent="0.25">
      <c r="A664" s="19">
        <v>701</v>
      </c>
      <c r="B664" s="19" t="s">
        <v>3543</v>
      </c>
      <c r="C664" s="19" t="s">
        <v>3544</v>
      </c>
      <c r="D664" s="45">
        <v>1</v>
      </c>
      <c r="E664" s="19"/>
      <c r="F664" s="19"/>
    </row>
    <row r="665" spans="1:6" x14ac:dyDescent="0.25">
      <c r="A665" s="19">
        <v>702</v>
      </c>
      <c r="B665" s="19" t="s">
        <v>3545</v>
      </c>
      <c r="C665" s="19" t="s">
        <v>3546</v>
      </c>
      <c r="D665" s="45">
        <v>1</v>
      </c>
      <c r="E665" s="19"/>
      <c r="F665" s="19"/>
    </row>
    <row r="666" spans="1:6" x14ac:dyDescent="0.25">
      <c r="A666" s="19">
        <v>703</v>
      </c>
      <c r="B666" s="19" t="s">
        <v>3547</v>
      </c>
      <c r="C666" s="19" t="s">
        <v>1007</v>
      </c>
      <c r="D666" s="45">
        <v>1</v>
      </c>
      <c r="E666" s="19"/>
      <c r="F666" s="19"/>
    </row>
    <row r="667" spans="1:6" x14ac:dyDescent="0.25">
      <c r="A667" s="19">
        <v>704</v>
      </c>
      <c r="B667" s="19" t="s">
        <v>3548</v>
      </c>
      <c r="C667" s="19" t="s">
        <v>3549</v>
      </c>
      <c r="D667" s="45">
        <v>1</v>
      </c>
      <c r="E667" s="19"/>
      <c r="F667" s="19"/>
    </row>
    <row r="668" spans="1:6" x14ac:dyDescent="0.25">
      <c r="A668" s="19">
        <v>705</v>
      </c>
      <c r="B668" s="19" t="s">
        <v>3550</v>
      </c>
      <c r="C668" s="19" t="s">
        <v>3551</v>
      </c>
      <c r="D668" s="45">
        <v>1</v>
      </c>
      <c r="E668" s="19"/>
      <c r="F668" s="19"/>
    </row>
    <row r="669" spans="1:6" x14ac:dyDescent="0.25">
      <c r="A669" s="19">
        <v>706</v>
      </c>
      <c r="B669" s="19" t="s">
        <v>3552</v>
      </c>
      <c r="C669" s="19" t="s">
        <v>3553</v>
      </c>
      <c r="D669" s="45">
        <v>1</v>
      </c>
      <c r="E669" s="19"/>
      <c r="F669" s="19"/>
    </row>
    <row r="670" spans="1:6" x14ac:dyDescent="0.25">
      <c r="A670" s="19">
        <v>707</v>
      </c>
      <c r="B670" s="19" t="s">
        <v>3554</v>
      </c>
      <c r="C670" s="19" t="s">
        <v>3555</v>
      </c>
      <c r="D670" s="45">
        <v>1</v>
      </c>
      <c r="E670" s="19"/>
      <c r="F670" s="19"/>
    </row>
    <row r="671" spans="1:6" x14ac:dyDescent="0.25">
      <c r="A671" s="19">
        <v>708</v>
      </c>
      <c r="B671" s="19" t="s">
        <v>3556</v>
      </c>
      <c r="C671" s="19" t="s">
        <v>3557</v>
      </c>
      <c r="D671" s="45">
        <v>1</v>
      </c>
      <c r="E671" s="19"/>
      <c r="F671" s="19"/>
    </row>
    <row r="672" spans="1:6" x14ac:dyDescent="0.25">
      <c r="A672" s="19">
        <v>709</v>
      </c>
      <c r="B672" s="19" t="s">
        <v>3558</v>
      </c>
      <c r="C672" s="19" t="s">
        <v>3559</v>
      </c>
      <c r="D672" s="45">
        <v>1</v>
      </c>
      <c r="E672" s="19"/>
      <c r="F672" s="19"/>
    </row>
    <row r="673" spans="1:6" x14ac:dyDescent="0.25">
      <c r="A673" s="19">
        <v>710</v>
      </c>
      <c r="B673" s="19" t="s">
        <v>3560</v>
      </c>
      <c r="C673" s="19" t="s">
        <v>3561</v>
      </c>
      <c r="D673" s="45">
        <v>1</v>
      </c>
      <c r="E673" s="19"/>
      <c r="F673" s="19"/>
    </row>
    <row r="674" spans="1:6" x14ac:dyDescent="0.25">
      <c r="A674" s="19">
        <v>711</v>
      </c>
      <c r="B674" s="19" t="s">
        <v>3562</v>
      </c>
      <c r="C674" s="19" t="s">
        <v>318</v>
      </c>
      <c r="D674" s="45">
        <v>1</v>
      </c>
      <c r="E674" s="19"/>
      <c r="F674" s="19"/>
    </row>
    <row r="675" spans="1:6" x14ac:dyDescent="0.25">
      <c r="A675" s="19">
        <v>712</v>
      </c>
      <c r="B675" s="19" t="s">
        <v>3563</v>
      </c>
      <c r="C675" s="19" t="s">
        <v>3564</v>
      </c>
      <c r="D675" s="45">
        <v>1</v>
      </c>
      <c r="E675" s="19"/>
      <c r="F675" s="19"/>
    </row>
    <row r="676" spans="1:6" x14ac:dyDescent="0.25">
      <c r="A676" s="19">
        <v>713</v>
      </c>
      <c r="B676" s="19" t="s">
        <v>3565</v>
      </c>
      <c r="C676" s="19" t="s">
        <v>2262</v>
      </c>
      <c r="D676" s="45">
        <v>1</v>
      </c>
      <c r="E676" s="19"/>
      <c r="F676" s="19"/>
    </row>
    <row r="677" spans="1:6" x14ac:dyDescent="0.25">
      <c r="A677" s="19">
        <v>714</v>
      </c>
      <c r="B677" s="19" t="s">
        <v>3566</v>
      </c>
      <c r="C677" s="19" t="s">
        <v>3567</v>
      </c>
      <c r="D677" s="45">
        <v>1</v>
      </c>
      <c r="E677" s="19"/>
      <c r="F677" s="19"/>
    </row>
    <row r="678" spans="1:6" x14ac:dyDescent="0.25">
      <c r="A678" s="19">
        <v>715</v>
      </c>
      <c r="B678" s="19" t="s">
        <v>3568</v>
      </c>
      <c r="C678" s="19" t="s">
        <v>3569</v>
      </c>
      <c r="D678" s="45">
        <v>1</v>
      </c>
      <c r="E678" s="19"/>
      <c r="F678" s="19"/>
    </row>
    <row r="679" spans="1:6" x14ac:dyDescent="0.25">
      <c r="A679" s="19">
        <v>716</v>
      </c>
      <c r="B679" s="19" t="s">
        <v>3570</v>
      </c>
      <c r="C679" s="19" t="s">
        <v>3571</v>
      </c>
      <c r="D679" s="45">
        <v>1</v>
      </c>
      <c r="E679" s="19"/>
      <c r="F679" s="19"/>
    </row>
    <row r="680" spans="1:6" x14ac:dyDescent="0.25">
      <c r="A680" s="19">
        <v>717</v>
      </c>
      <c r="B680" s="19" t="s">
        <v>3572</v>
      </c>
      <c r="C680" s="19" t="s">
        <v>3038</v>
      </c>
      <c r="D680" s="45">
        <v>9</v>
      </c>
      <c r="E680" s="19" t="s">
        <v>6</v>
      </c>
      <c r="F680" s="19"/>
    </row>
    <row r="681" spans="1:6" x14ac:dyDescent="0.25">
      <c r="A681" s="19">
        <v>718</v>
      </c>
      <c r="B681" s="19" t="s">
        <v>3573</v>
      </c>
      <c r="C681" s="19" t="s">
        <v>3574</v>
      </c>
      <c r="D681" s="45">
        <v>1</v>
      </c>
      <c r="E681" s="19"/>
      <c r="F681" s="19"/>
    </row>
    <row r="682" spans="1:6" x14ac:dyDescent="0.25">
      <c r="A682" s="19">
        <v>719</v>
      </c>
      <c r="B682" s="19" t="s">
        <v>3575</v>
      </c>
      <c r="C682" s="19" t="s">
        <v>3576</v>
      </c>
      <c r="D682" s="45">
        <v>1</v>
      </c>
      <c r="E682" s="19"/>
      <c r="F682" s="19"/>
    </row>
    <row r="683" spans="1:6" x14ac:dyDescent="0.25">
      <c r="A683" s="19">
        <v>720</v>
      </c>
      <c r="B683" s="19" t="s">
        <v>3577</v>
      </c>
      <c r="C683" s="19" t="s">
        <v>3578</v>
      </c>
      <c r="D683" s="45">
        <v>1</v>
      </c>
      <c r="E683" s="19"/>
      <c r="F683" s="19"/>
    </row>
    <row r="684" spans="1:6" x14ac:dyDescent="0.25">
      <c r="A684" s="19">
        <v>721</v>
      </c>
      <c r="B684" s="19" t="s">
        <v>3579</v>
      </c>
      <c r="C684" s="19" t="s">
        <v>3580</v>
      </c>
      <c r="D684" s="45">
        <v>1</v>
      </c>
      <c r="E684" s="19"/>
      <c r="F684" s="19"/>
    </row>
    <row r="685" spans="1:6" x14ac:dyDescent="0.25">
      <c r="A685" s="19">
        <v>722</v>
      </c>
      <c r="B685" s="19" t="s">
        <v>3581</v>
      </c>
      <c r="C685" s="19" t="s">
        <v>3582</v>
      </c>
      <c r="D685" s="45">
        <v>1</v>
      </c>
      <c r="E685" s="19"/>
      <c r="F685" s="19"/>
    </row>
    <row r="686" spans="1:6" x14ac:dyDescent="0.25">
      <c r="A686" s="19">
        <v>723</v>
      </c>
      <c r="B686" s="19" t="s">
        <v>3583</v>
      </c>
      <c r="C686" s="19" t="s">
        <v>3584</v>
      </c>
      <c r="D686" s="45">
        <v>1</v>
      </c>
      <c r="E686" s="19"/>
      <c r="F686" s="19"/>
    </row>
    <row r="687" spans="1:6" x14ac:dyDescent="0.25">
      <c r="A687" s="19">
        <v>724</v>
      </c>
      <c r="B687" s="19" t="s">
        <v>3585</v>
      </c>
      <c r="C687" s="19" t="s">
        <v>3586</v>
      </c>
      <c r="D687" s="45">
        <v>1</v>
      </c>
      <c r="E687" s="19"/>
      <c r="F687" s="19"/>
    </row>
    <row r="688" spans="1:6" x14ac:dyDescent="0.25">
      <c r="A688" s="19">
        <v>725</v>
      </c>
      <c r="B688" s="19" t="s">
        <v>3587</v>
      </c>
      <c r="C688" s="19" t="s">
        <v>3588</v>
      </c>
      <c r="D688" s="45">
        <v>1</v>
      </c>
      <c r="E688" s="19"/>
      <c r="F688" s="19"/>
    </row>
    <row r="689" spans="1:6" x14ac:dyDescent="0.25">
      <c r="A689" s="19">
        <v>726</v>
      </c>
      <c r="B689" s="19" t="s">
        <v>3589</v>
      </c>
      <c r="C689" s="19" t="s">
        <v>3590</v>
      </c>
      <c r="D689" s="45">
        <v>1</v>
      </c>
      <c r="E689" s="19"/>
      <c r="F689" s="19"/>
    </row>
    <row r="690" spans="1:6" x14ac:dyDescent="0.25">
      <c r="A690" s="19">
        <v>727</v>
      </c>
      <c r="B690" s="19" t="s">
        <v>3591</v>
      </c>
      <c r="C690" s="19" t="s">
        <v>3592</v>
      </c>
      <c r="D690" s="45">
        <v>1</v>
      </c>
      <c r="E690" s="19"/>
      <c r="F690" s="19"/>
    </row>
    <row r="691" spans="1:6" x14ac:dyDescent="0.25">
      <c r="A691" s="19">
        <v>728</v>
      </c>
      <c r="B691" s="19" t="s">
        <v>3593</v>
      </c>
      <c r="C691" s="19" t="s">
        <v>3594</v>
      </c>
      <c r="D691" s="45">
        <v>1</v>
      </c>
      <c r="E691" s="19"/>
      <c r="F691" s="19"/>
    </row>
    <row r="692" spans="1:6" x14ac:dyDescent="0.25">
      <c r="A692" s="19">
        <v>729</v>
      </c>
      <c r="B692" s="19" t="s">
        <v>3595</v>
      </c>
      <c r="C692" s="19" t="s">
        <v>3596</v>
      </c>
      <c r="D692" s="45">
        <v>1</v>
      </c>
      <c r="E692" s="19"/>
      <c r="F692" s="19"/>
    </row>
    <row r="693" spans="1:6" x14ac:dyDescent="0.25">
      <c r="A693" s="19">
        <v>730</v>
      </c>
      <c r="B693" s="19" t="s">
        <v>3597</v>
      </c>
      <c r="C693" s="19" t="s">
        <v>3598</v>
      </c>
      <c r="D693" s="45">
        <v>1</v>
      </c>
      <c r="E693" s="19"/>
      <c r="F693" s="19"/>
    </row>
    <row r="694" spans="1:6" x14ac:dyDescent="0.25">
      <c r="A694" s="19">
        <v>731</v>
      </c>
      <c r="B694" s="19" t="s">
        <v>3599</v>
      </c>
      <c r="C694" s="19" t="s">
        <v>3600</v>
      </c>
      <c r="D694" s="45">
        <v>1</v>
      </c>
      <c r="E694" s="19"/>
      <c r="F694" s="19"/>
    </row>
    <row r="695" spans="1:6" x14ac:dyDescent="0.25">
      <c r="A695" s="19">
        <v>732</v>
      </c>
      <c r="B695" s="19" t="s">
        <v>3601</v>
      </c>
      <c r="C695" s="19" t="s">
        <v>3602</v>
      </c>
      <c r="D695" s="45">
        <v>1</v>
      </c>
      <c r="E695" s="19"/>
      <c r="F695" s="19"/>
    </row>
    <row r="696" spans="1:6" x14ac:dyDescent="0.25">
      <c r="A696" s="19">
        <v>733</v>
      </c>
      <c r="B696" s="19" t="s">
        <v>3603</v>
      </c>
      <c r="C696" s="19" t="s">
        <v>3604</v>
      </c>
      <c r="D696" s="45">
        <v>1</v>
      </c>
      <c r="E696" s="19"/>
      <c r="F696" s="19"/>
    </row>
    <row r="697" spans="1:6" x14ac:dyDescent="0.25">
      <c r="A697" s="19">
        <v>734</v>
      </c>
      <c r="B697" s="19" t="s">
        <v>3605</v>
      </c>
      <c r="C697" s="19" t="s">
        <v>3606</v>
      </c>
      <c r="D697" s="45">
        <v>1</v>
      </c>
      <c r="E697" s="19"/>
      <c r="F697" s="19"/>
    </row>
    <row r="698" spans="1:6" x14ac:dyDescent="0.25">
      <c r="A698" s="19">
        <v>735</v>
      </c>
      <c r="B698" s="19" t="s">
        <v>3607</v>
      </c>
      <c r="C698" s="19" t="s">
        <v>3608</v>
      </c>
      <c r="D698" s="45">
        <v>1</v>
      </c>
      <c r="E698" s="19"/>
      <c r="F698" s="19"/>
    </row>
    <row r="699" spans="1:6" x14ac:dyDescent="0.25">
      <c r="A699" s="19">
        <v>736</v>
      </c>
      <c r="B699" s="19" t="s">
        <v>3609</v>
      </c>
      <c r="C699" s="19" t="s">
        <v>3610</v>
      </c>
      <c r="D699" s="45">
        <v>1</v>
      </c>
      <c r="E699" s="19"/>
      <c r="F699" s="19"/>
    </row>
    <row r="700" spans="1:6" x14ac:dyDescent="0.25">
      <c r="A700" s="19">
        <v>737</v>
      </c>
      <c r="B700" s="19" t="s">
        <v>3611</v>
      </c>
      <c r="C700" s="19" t="s">
        <v>3612</v>
      </c>
      <c r="D700" s="45">
        <v>1</v>
      </c>
      <c r="E700" s="19"/>
      <c r="F700" s="19"/>
    </row>
    <row r="701" spans="1:6" x14ac:dyDescent="0.25">
      <c r="A701" s="19">
        <v>738</v>
      </c>
      <c r="B701" s="19" t="s">
        <v>3613</v>
      </c>
      <c r="C701" s="19" t="s">
        <v>3614</v>
      </c>
      <c r="D701" s="45">
        <v>1</v>
      </c>
      <c r="E701" s="19"/>
      <c r="F701" s="19"/>
    </row>
    <row r="702" spans="1:6" x14ac:dyDescent="0.25">
      <c r="A702" s="19">
        <v>739</v>
      </c>
      <c r="B702" s="19" t="s">
        <v>3615</v>
      </c>
      <c r="C702" s="19" t="s">
        <v>3616</v>
      </c>
      <c r="D702" s="45">
        <v>1</v>
      </c>
      <c r="E702" s="19"/>
      <c r="F702" s="19"/>
    </row>
    <row r="703" spans="1:6" x14ac:dyDescent="0.25">
      <c r="A703" s="19">
        <v>740</v>
      </c>
      <c r="B703" s="19" t="s">
        <v>3617</v>
      </c>
      <c r="C703" s="19" t="s">
        <v>3618</v>
      </c>
      <c r="D703" s="45">
        <v>1</v>
      </c>
      <c r="E703" s="19"/>
      <c r="F703" s="19"/>
    </row>
    <row r="704" spans="1:6" x14ac:dyDescent="0.25">
      <c r="A704" s="19">
        <v>741</v>
      </c>
      <c r="B704" s="19" t="s">
        <v>3619</v>
      </c>
      <c r="C704" s="19" t="s">
        <v>3620</v>
      </c>
      <c r="D704" s="45">
        <v>1</v>
      </c>
      <c r="E704" s="19"/>
      <c r="F704" s="19"/>
    </row>
    <row r="705" spans="1:6" x14ac:dyDescent="0.25">
      <c r="A705" s="19">
        <v>742</v>
      </c>
      <c r="B705" s="19" t="s">
        <v>3621</v>
      </c>
      <c r="C705" s="19" t="s">
        <v>3622</v>
      </c>
      <c r="D705" s="45">
        <v>1</v>
      </c>
      <c r="E705" s="19"/>
      <c r="F705" s="19"/>
    </row>
    <row r="706" spans="1:6" x14ac:dyDescent="0.25">
      <c r="A706" s="19">
        <v>743</v>
      </c>
      <c r="B706" s="19" t="s">
        <v>3623</v>
      </c>
      <c r="C706" s="19" t="s">
        <v>3624</v>
      </c>
      <c r="D706" s="45">
        <v>1</v>
      </c>
      <c r="E706" s="19"/>
      <c r="F706" s="19"/>
    </row>
    <row r="707" spans="1:6" x14ac:dyDescent="0.25">
      <c r="A707" s="19">
        <v>744</v>
      </c>
      <c r="B707" s="19" t="s">
        <v>3625</v>
      </c>
      <c r="C707" s="19" t="s">
        <v>3626</v>
      </c>
      <c r="D707" s="45">
        <v>1</v>
      </c>
      <c r="E707" s="19"/>
      <c r="F707" s="19"/>
    </row>
    <row r="708" spans="1:6" x14ac:dyDescent="0.25">
      <c r="A708" s="19">
        <v>745</v>
      </c>
      <c r="B708" s="19" t="s">
        <v>3627</v>
      </c>
      <c r="C708" s="19" t="s">
        <v>3628</v>
      </c>
      <c r="D708" s="45">
        <v>1</v>
      </c>
      <c r="E708" s="19"/>
      <c r="F708" s="19"/>
    </row>
    <row r="709" spans="1:6" x14ac:dyDescent="0.25">
      <c r="A709" s="19">
        <v>747</v>
      </c>
      <c r="B709" s="19" t="s">
        <v>3629</v>
      </c>
      <c r="C709" s="19" t="s">
        <v>3063</v>
      </c>
      <c r="D709" s="45">
        <v>1</v>
      </c>
      <c r="E709" s="19"/>
      <c r="F709" s="19"/>
    </row>
    <row r="710" spans="1:6" x14ac:dyDescent="0.25">
      <c r="A710" s="19">
        <v>748</v>
      </c>
      <c r="B710" s="19" t="s">
        <v>3630</v>
      </c>
      <c r="C710" s="19" t="s">
        <v>3631</v>
      </c>
      <c r="D710" s="45">
        <v>1</v>
      </c>
      <c r="E710" s="19"/>
      <c r="F710" s="19"/>
    </row>
    <row r="711" spans="1:6" x14ac:dyDescent="0.25">
      <c r="A711" s="19">
        <v>749</v>
      </c>
      <c r="B711" s="19" t="s">
        <v>3632</v>
      </c>
      <c r="C711" s="19" t="s">
        <v>3633</v>
      </c>
      <c r="D711" s="45">
        <v>1</v>
      </c>
      <c r="E711" s="19"/>
      <c r="F711" s="19"/>
    </row>
    <row r="712" spans="1:6" x14ac:dyDescent="0.25">
      <c r="A712" s="19">
        <v>750</v>
      </c>
      <c r="B712" s="19" t="s">
        <v>3634</v>
      </c>
      <c r="C712" s="19" t="s">
        <v>3635</v>
      </c>
      <c r="D712" s="45">
        <v>1</v>
      </c>
      <c r="E712" s="19"/>
      <c r="F712" s="19"/>
    </row>
    <row r="713" spans="1:6" x14ac:dyDescent="0.25">
      <c r="A713" s="19">
        <v>751</v>
      </c>
      <c r="B713" s="19" t="s">
        <v>3636</v>
      </c>
      <c r="C713" s="19" t="s">
        <v>3637</v>
      </c>
      <c r="D713" s="45">
        <v>1</v>
      </c>
      <c r="E713" s="19"/>
      <c r="F713" s="19"/>
    </row>
    <row r="714" spans="1:6" x14ac:dyDescent="0.25">
      <c r="A714" s="19">
        <v>752</v>
      </c>
      <c r="B714" s="19" t="s">
        <v>3638</v>
      </c>
      <c r="C714" s="19" t="s">
        <v>3639</v>
      </c>
      <c r="D714" s="45">
        <v>1</v>
      </c>
      <c r="E714" s="19"/>
      <c r="F714" s="19"/>
    </row>
    <row r="715" spans="1:6" x14ac:dyDescent="0.25">
      <c r="A715" s="19">
        <v>753</v>
      </c>
      <c r="B715" s="19" t="s">
        <v>3640</v>
      </c>
      <c r="C715" s="19" t="s">
        <v>3641</v>
      </c>
      <c r="D715" s="45">
        <v>1</v>
      </c>
      <c r="E715" s="19"/>
      <c r="F715" s="19"/>
    </row>
    <row r="716" spans="1:6" x14ac:dyDescent="0.25">
      <c r="A716" s="19">
        <v>754</v>
      </c>
      <c r="B716" s="19" t="s">
        <v>3642</v>
      </c>
      <c r="C716" s="19" t="s">
        <v>3643</v>
      </c>
      <c r="D716" s="45">
        <v>1</v>
      </c>
      <c r="E716" s="19"/>
      <c r="F716" s="19"/>
    </row>
    <row r="717" spans="1:6" x14ac:dyDescent="0.25">
      <c r="A717" s="19">
        <v>755</v>
      </c>
      <c r="B717" s="19" t="s">
        <v>3644</v>
      </c>
      <c r="C717" s="19" t="s">
        <v>3645</v>
      </c>
      <c r="D717" s="45">
        <v>1</v>
      </c>
      <c r="E717" s="19"/>
      <c r="F717" s="19"/>
    </row>
    <row r="718" spans="1:6" x14ac:dyDescent="0.25">
      <c r="A718" s="19">
        <v>756</v>
      </c>
      <c r="B718" s="19" t="s">
        <v>3646</v>
      </c>
      <c r="C718" s="19" t="s">
        <v>3647</v>
      </c>
      <c r="D718" s="45">
        <v>1</v>
      </c>
      <c r="E718" s="19"/>
      <c r="F718" s="19"/>
    </row>
    <row r="719" spans="1:6" x14ac:dyDescent="0.25">
      <c r="A719" s="19">
        <v>757</v>
      </c>
      <c r="B719" s="19" t="s">
        <v>3648</v>
      </c>
      <c r="C719" s="19" t="s">
        <v>3649</v>
      </c>
      <c r="D719" s="45">
        <v>1</v>
      </c>
      <c r="E719" s="19"/>
      <c r="F719" s="19"/>
    </row>
    <row r="720" spans="1:6" x14ac:dyDescent="0.25">
      <c r="A720" s="19">
        <v>758</v>
      </c>
      <c r="B720" s="19" t="s">
        <v>3650</v>
      </c>
      <c r="C720" s="19" t="s">
        <v>3651</v>
      </c>
      <c r="D720" s="45">
        <v>1</v>
      </c>
      <c r="E720" s="19" t="s">
        <v>6</v>
      </c>
      <c r="F720" s="19"/>
    </row>
    <row r="721" spans="1:6" x14ac:dyDescent="0.25">
      <c r="A721" s="19">
        <v>760</v>
      </c>
      <c r="B721" s="19" t="s">
        <v>3652</v>
      </c>
      <c r="C721" s="19" t="s">
        <v>3653</v>
      </c>
      <c r="D721" s="45">
        <v>1</v>
      </c>
      <c r="E721" s="19"/>
      <c r="F721" s="19"/>
    </row>
    <row r="722" spans="1:6" x14ac:dyDescent="0.25">
      <c r="A722" s="19">
        <v>761</v>
      </c>
      <c r="B722" s="19" t="s">
        <v>3654</v>
      </c>
      <c r="C722" s="19" t="s">
        <v>3655</v>
      </c>
      <c r="D722" s="45">
        <v>1</v>
      </c>
      <c r="E722" s="19"/>
      <c r="F722" s="19"/>
    </row>
    <row r="723" spans="1:6" x14ac:dyDescent="0.25">
      <c r="A723" s="19">
        <v>762</v>
      </c>
      <c r="B723" s="19" t="s">
        <v>3656</v>
      </c>
      <c r="C723" s="19" t="s">
        <v>3657</v>
      </c>
      <c r="D723" s="45">
        <v>1</v>
      </c>
      <c r="E723" s="19"/>
      <c r="F723" s="19"/>
    </row>
    <row r="724" spans="1:6" x14ac:dyDescent="0.25">
      <c r="A724" s="19">
        <v>763</v>
      </c>
      <c r="B724" s="19" t="s">
        <v>3658</v>
      </c>
      <c r="C724" s="19" t="s">
        <v>3659</v>
      </c>
      <c r="D724" s="45">
        <v>1</v>
      </c>
      <c r="E724" s="19"/>
      <c r="F724" s="19"/>
    </row>
    <row r="725" spans="1:6" x14ac:dyDescent="0.25">
      <c r="A725" s="19">
        <v>764</v>
      </c>
      <c r="B725" s="19" t="s">
        <v>3660</v>
      </c>
      <c r="C725" s="19" t="s">
        <v>3661</v>
      </c>
      <c r="D725" s="45">
        <v>1</v>
      </c>
      <c r="E725" s="19"/>
      <c r="F725" s="19"/>
    </row>
    <row r="726" spans="1:6" x14ac:dyDescent="0.25">
      <c r="A726" s="19">
        <v>765</v>
      </c>
      <c r="B726" s="19" t="s">
        <v>3662</v>
      </c>
      <c r="C726" s="19" t="s">
        <v>3663</v>
      </c>
      <c r="D726" s="45">
        <v>1</v>
      </c>
      <c r="E726" s="19"/>
      <c r="F726" s="19"/>
    </row>
    <row r="727" spans="1:6" x14ac:dyDescent="0.25">
      <c r="A727" s="19">
        <v>766</v>
      </c>
      <c r="B727" s="19" t="s">
        <v>3664</v>
      </c>
      <c r="C727" s="19" t="s">
        <v>3665</v>
      </c>
      <c r="D727" s="45">
        <v>1</v>
      </c>
      <c r="E727" s="19"/>
      <c r="F727" s="19"/>
    </row>
    <row r="728" spans="1:6" x14ac:dyDescent="0.25">
      <c r="A728" s="19">
        <v>767</v>
      </c>
      <c r="B728" s="19" t="s">
        <v>3666</v>
      </c>
      <c r="C728" s="19" t="s">
        <v>3667</v>
      </c>
      <c r="D728" s="45">
        <v>1</v>
      </c>
      <c r="E728" s="19"/>
      <c r="F728" s="19"/>
    </row>
    <row r="729" spans="1:6" x14ac:dyDescent="0.25">
      <c r="A729" s="19">
        <v>768</v>
      </c>
      <c r="B729" s="19" t="s">
        <v>3668</v>
      </c>
      <c r="C729" s="19" t="s">
        <v>3669</v>
      </c>
      <c r="D729" s="45">
        <v>1</v>
      </c>
      <c r="E729" s="19"/>
      <c r="F729" s="19"/>
    </row>
    <row r="730" spans="1:6" x14ac:dyDescent="0.25">
      <c r="A730" s="19">
        <v>769</v>
      </c>
      <c r="B730" s="19" t="s">
        <v>3670</v>
      </c>
      <c r="C730" s="19" t="s">
        <v>3671</v>
      </c>
      <c r="D730" s="45">
        <v>1</v>
      </c>
      <c r="E730" s="19"/>
      <c r="F730" s="19"/>
    </row>
    <row r="731" spans="1:6" x14ac:dyDescent="0.25">
      <c r="A731" s="19">
        <v>770</v>
      </c>
      <c r="B731" s="19" t="s">
        <v>3672</v>
      </c>
      <c r="C731" s="19" t="s">
        <v>3673</v>
      </c>
      <c r="D731" s="45">
        <v>1</v>
      </c>
      <c r="E731" s="19"/>
      <c r="F731" s="19"/>
    </row>
    <row r="732" spans="1:6" x14ac:dyDescent="0.25">
      <c r="A732" s="19">
        <v>771</v>
      </c>
      <c r="B732" s="19" t="s">
        <v>3674</v>
      </c>
      <c r="C732" s="19" t="s">
        <v>3675</v>
      </c>
      <c r="D732" s="45">
        <v>1</v>
      </c>
      <c r="E732" s="19"/>
      <c r="F732" s="19"/>
    </row>
    <row r="733" spans="1:6" x14ac:dyDescent="0.25">
      <c r="A733" s="19">
        <v>772</v>
      </c>
      <c r="B733" s="19" t="s">
        <v>3676</v>
      </c>
      <c r="C733" s="19" t="s">
        <v>3677</v>
      </c>
      <c r="D733" s="45">
        <v>1</v>
      </c>
      <c r="E733" s="19"/>
      <c r="F733" s="19"/>
    </row>
    <row r="734" spans="1:6" x14ac:dyDescent="0.25">
      <c r="A734" s="19">
        <v>773</v>
      </c>
      <c r="B734" s="19" t="s">
        <v>3678</v>
      </c>
      <c r="C734" s="19" t="s">
        <v>3679</v>
      </c>
      <c r="D734" s="45">
        <v>1</v>
      </c>
      <c r="E734" s="19"/>
      <c r="F734" s="19"/>
    </row>
    <row r="735" spans="1:6" x14ac:dyDescent="0.25">
      <c r="A735" s="19">
        <v>774</v>
      </c>
      <c r="B735" s="19" t="s">
        <v>3680</v>
      </c>
      <c r="C735" s="19" t="s">
        <v>3681</v>
      </c>
      <c r="D735" s="45">
        <v>1</v>
      </c>
      <c r="E735" s="19"/>
      <c r="F735" s="19"/>
    </row>
    <row r="736" spans="1:6" x14ac:dyDescent="0.25">
      <c r="A736" s="19">
        <v>775</v>
      </c>
      <c r="B736" s="19" t="s">
        <v>3682</v>
      </c>
      <c r="C736" s="19" t="s">
        <v>3683</v>
      </c>
      <c r="D736" s="45">
        <v>1</v>
      </c>
      <c r="E736" s="19"/>
      <c r="F736" s="19"/>
    </row>
    <row r="737" spans="1:6" x14ac:dyDescent="0.25">
      <c r="A737" s="19">
        <v>776</v>
      </c>
      <c r="B737" s="19" t="s">
        <v>3684</v>
      </c>
      <c r="C737" s="19" t="s">
        <v>3685</v>
      </c>
      <c r="D737" s="45">
        <v>1</v>
      </c>
      <c r="E737" s="19"/>
      <c r="F737" s="19"/>
    </row>
    <row r="738" spans="1:6" x14ac:dyDescent="0.25">
      <c r="A738" s="19">
        <v>777</v>
      </c>
      <c r="B738" s="19" t="s">
        <v>3686</v>
      </c>
      <c r="C738" s="19" t="s">
        <v>3687</v>
      </c>
      <c r="D738" s="45">
        <v>1</v>
      </c>
      <c r="E738" s="19"/>
      <c r="F738" s="19"/>
    </row>
    <row r="739" spans="1:6" x14ac:dyDescent="0.25">
      <c r="A739" s="19">
        <v>778</v>
      </c>
      <c r="B739" s="19" t="s">
        <v>3688</v>
      </c>
      <c r="C739" s="19" t="s">
        <v>3689</v>
      </c>
      <c r="D739" s="45">
        <v>1</v>
      </c>
      <c r="E739" s="19"/>
      <c r="F739" s="19"/>
    </row>
    <row r="740" spans="1:6" x14ac:dyDescent="0.25">
      <c r="A740" s="19">
        <v>779</v>
      </c>
      <c r="B740" s="19" t="s">
        <v>3690</v>
      </c>
      <c r="C740" s="19" t="s">
        <v>3691</v>
      </c>
      <c r="D740" s="45">
        <v>1</v>
      </c>
      <c r="E740" s="19"/>
      <c r="F740" s="19"/>
    </row>
    <row r="741" spans="1:6" x14ac:dyDescent="0.25">
      <c r="A741" s="19">
        <v>780</v>
      </c>
      <c r="B741" s="19" t="s">
        <v>3692</v>
      </c>
      <c r="C741" s="19" t="s">
        <v>3693</v>
      </c>
      <c r="D741" s="45">
        <v>1</v>
      </c>
      <c r="E741" s="19"/>
      <c r="F741" s="19"/>
    </row>
    <row r="742" spans="1:6" x14ac:dyDescent="0.25">
      <c r="A742" s="19">
        <v>781</v>
      </c>
      <c r="B742" s="19" t="s">
        <v>3694</v>
      </c>
      <c r="C742" s="19" t="s">
        <v>3695</v>
      </c>
      <c r="D742" s="45">
        <v>1</v>
      </c>
      <c r="E742" s="19"/>
      <c r="F742" s="19"/>
    </row>
    <row r="743" spans="1:6" x14ac:dyDescent="0.25">
      <c r="A743" s="19">
        <v>782</v>
      </c>
      <c r="B743" s="19" t="s">
        <v>3696</v>
      </c>
      <c r="C743" s="19" t="s">
        <v>3697</v>
      </c>
      <c r="D743" s="45">
        <v>1</v>
      </c>
      <c r="E743" s="19"/>
      <c r="F743" s="19"/>
    </row>
    <row r="744" spans="1:6" x14ac:dyDescent="0.25">
      <c r="A744" s="19">
        <v>783</v>
      </c>
      <c r="B744" s="19" t="s">
        <v>3698</v>
      </c>
      <c r="C744" s="19" t="s">
        <v>3699</v>
      </c>
      <c r="D744" s="45">
        <v>1</v>
      </c>
      <c r="E744" s="19"/>
      <c r="F744" s="19"/>
    </row>
    <row r="745" spans="1:6" x14ac:dyDescent="0.25">
      <c r="A745" s="19">
        <v>784</v>
      </c>
      <c r="B745" s="19" t="s">
        <v>3700</v>
      </c>
      <c r="C745" s="19" t="s">
        <v>3701</v>
      </c>
      <c r="D745" s="45">
        <v>1</v>
      </c>
      <c r="E745" s="19"/>
      <c r="F745" s="19"/>
    </row>
    <row r="746" spans="1:6" x14ac:dyDescent="0.25">
      <c r="A746" s="19">
        <v>785</v>
      </c>
      <c r="B746" s="19" t="s">
        <v>3702</v>
      </c>
      <c r="C746" s="19" t="s">
        <v>3703</v>
      </c>
      <c r="D746" s="45">
        <v>1</v>
      </c>
      <c r="E746" s="19"/>
      <c r="F746" s="19"/>
    </row>
    <row r="747" spans="1:6" x14ac:dyDescent="0.25">
      <c r="A747" s="19">
        <v>786</v>
      </c>
      <c r="B747" s="19" t="s">
        <v>3704</v>
      </c>
      <c r="C747" s="19" t="s">
        <v>3705</v>
      </c>
      <c r="D747" s="45">
        <v>1</v>
      </c>
      <c r="E747" s="19"/>
      <c r="F747" s="19"/>
    </row>
    <row r="748" spans="1:6" x14ac:dyDescent="0.25">
      <c r="A748" s="19">
        <v>787</v>
      </c>
      <c r="B748" s="19" t="s">
        <v>3706</v>
      </c>
      <c r="C748" s="19" t="s">
        <v>3707</v>
      </c>
      <c r="D748" s="45">
        <v>1</v>
      </c>
      <c r="E748" s="19"/>
      <c r="F748" s="19"/>
    </row>
    <row r="749" spans="1:6" x14ac:dyDescent="0.25">
      <c r="A749" s="19">
        <v>788</v>
      </c>
      <c r="B749" s="19" t="s">
        <v>3708</v>
      </c>
      <c r="C749" s="19" t="s">
        <v>3709</v>
      </c>
      <c r="D749" s="45">
        <v>1</v>
      </c>
      <c r="E749" s="19"/>
      <c r="F749" s="19"/>
    </row>
    <row r="750" spans="1:6" x14ac:dyDescent="0.25">
      <c r="A750" s="19">
        <v>789</v>
      </c>
      <c r="B750" s="19" t="s">
        <v>3710</v>
      </c>
      <c r="C750" s="19" t="s">
        <v>3711</v>
      </c>
      <c r="D750" s="45">
        <v>1</v>
      </c>
      <c r="E750" s="19"/>
      <c r="F750" s="19"/>
    </row>
    <row r="751" spans="1:6" x14ac:dyDescent="0.25">
      <c r="A751" s="19">
        <v>790</v>
      </c>
      <c r="B751" s="19" t="s">
        <v>3712</v>
      </c>
      <c r="C751" s="19" t="s">
        <v>3713</v>
      </c>
      <c r="D751" s="45">
        <v>1</v>
      </c>
      <c r="E751" s="19"/>
      <c r="F751" s="19"/>
    </row>
    <row r="752" spans="1:6" x14ac:dyDescent="0.25">
      <c r="A752" s="19">
        <v>791</v>
      </c>
      <c r="B752" s="19" t="s">
        <v>3714</v>
      </c>
      <c r="C752" s="19" t="s">
        <v>3715</v>
      </c>
      <c r="D752" s="45">
        <v>1</v>
      </c>
      <c r="E752" s="19"/>
      <c r="F752" s="19"/>
    </row>
    <row r="753" spans="1:6" x14ac:dyDescent="0.25">
      <c r="A753" s="19">
        <v>792</v>
      </c>
      <c r="B753" s="19" t="s">
        <v>3716</v>
      </c>
      <c r="C753" s="19" t="s">
        <v>3717</v>
      </c>
      <c r="D753" s="45">
        <v>1</v>
      </c>
      <c r="E753" s="19"/>
      <c r="F753" s="19"/>
    </row>
    <row r="754" spans="1:6" x14ac:dyDescent="0.25">
      <c r="A754" s="19">
        <v>793</v>
      </c>
      <c r="B754" s="19" t="s">
        <v>3718</v>
      </c>
      <c r="C754" s="19" t="s">
        <v>3719</v>
      </c>
      <c r="D754" s="45">
        <v>1</v>
      </c>
      <c r="E754" s="19"/>
      <c r="F754" s="19"/>
    </row>
    <row r="755" spans="1:6" x14ac:dyDescent="0.25">
      <c r="A755" s="19">
        <v>794</v>
      </c>
      <c r="B755" s="19" t="s">
        <v>3720</v>
      </c>
      <c r="C755" s="19" t="s">
        <v>3721</v>
      </c>
      <c r="D755" s="45">
        <v>1</v>
      </c>
      <c r="E755" s="19"/>
      <c r="F755" s="19"/>
    </row>
    <row r="756" spans="1:6" x14ac:dyDescent="0.25">
      <c r="A756" s="19">
        <v>795</v>
      </c>
      <c r="B756" s="19" t="s">
        <v>3722</v>
      </c>
      <c r="C756" s="19" t="s">
        <v>3723</v>
      </c>
      <c r="D756" s="45">
        <v>1</v>
      </c>
      <c r="E756" s="19"/>
      <c r="F756" s="19"/>
    </row>
    <row r="757" spans="1:6" x14ac:dyDescent="0.25">
      <c r="A757" s="19">
        <v>796</v>
      </c>
      <c r="B757" s="19" t="s">
        <v>3724</v>
      </c>
      <c r="C757" s="19" t="s">
        <v>3725</v>
      </c>
      <c r="D757" s="45">
        <v>1</v>
      </c>
      <c r="E757" s="19"/>
      <c r="F757" s="19"/>
    </row>
    <row r="758" spans="1:6" x14ac:dyDescent="0.25">
      <c r="A758" s="19">
        <v>797</v>
      </c>
      <c r="B758" s="19" t="s">
        <v>3726</v>
      </c>
      <c r="C758" s="19" t="s">
        <v>3727</v>
      </c>
      <c r="D758" s="45">
        <v>1</v>
      </c>
      <c r="E758" s="19"/>
      <c r="F758" s="19"/>
    </row>
    <row r="759" spans="1:6" x14ac:dyDescent="0.25">
      <c r="A759" s="19">
        <v>798</v>
      </c>
      <c r="B759" s="19" t="s">
        <v>3728</v>
      </c>
      <c r="C759" s="19" t="s">
        <v>3729</v>
      </c>
      <c r="D759" s="45">
        <v>1</v>
      </c>
      <c r="E759" s="19"/>
      <c r="F759" s="19"/>
    </row>
    <row r="760" spans="1:6" x14ac:dyDescent="0.25">
      <c r="A760" s="19">
        <v>799</v>
      </c>
      <c r="B760" s="19" t="s">
        <v>3730</v>
      </c>
      <c r="C760" s="19" t="s">
        <v>3731</v>
      </c>
      <c r="D760" s="45">
        <v>1</v>
      </c>
      <c r="E760" s="19"/>
      <c r="F760" s="19"/>
    </row>
    <row r="761" spans="1:6" x14ac:dyDescent="0.25">
      <c r="A761" s="19">
        <v>800</v>
      </c>
      <c r="B761" s="19" t="s">
        <v>3732</v>
      </c>
      <c r="C761" s="19" t="s">
        <v>3733</v>
      </c>
      <c r="D761" s="45">
        <v>1</v>
      </c>
      <c r="E761" s="19"/>
      <c r="F761" s="19"/>
    </row>
    <row r="762" spans="1:6" x14ac:dyDescent="0.25">
      <c r="A762" s="19">
        <v>801</v>
      </c>
      <c r="B762" s="19" t="s">
        <v>3734</v>
      </c>
      <c r="C762" s="19" t="s">
        <v>3735</v>
      </c>
      <c r="D762" s="45">
        <v>1</v>
      </c>
      <c r="E762" s="19"/>
      <c r="F762" s="19"/>
    </row>
    <row r="763" spans="1:6" x14ac:dyDescent="0.25">
      <c r="A763" s="19">
        <v>802</v>
      </c>
      <c r="B763" s="19" t="s">
        <v>3736</v>
      </c>
      <c r="C763" s="19" t="s">
        <v>3737</v>
      </c>
      <c r="D763" s="45">
        <v>1</v>
      </c>
      <c r="E763" s="19"/>
      <c r="F763" s="19"/>
    </row>
    <row r="764" spans="1:6" x14ac:dyDescent="0.25">
      <c r="A764" s="19">
        <v>803</v>
      </c>
      <c r="B764" s="19" t="s">
        <v>3738</v>
      </c>
      <c r="C764" s="19" t="s">
        <v>3739</v>
      </c>
      <c r="D764" s="45">
        <v>1</v>
      </c>
      <c r="E764" s="19"/>
      <c r="F764" s="19"/>
    </row>
    <row r="765" spans="1:6" x14ac:dyDescent="0.25">
      <c r="A765" s="19">
        <v>804</v>
      </c>
      <c r="B765" s="19" t="s">
        <v>3740</v>
      </c>
      <c r="C765" s="19" t="s">
        <v>3741</v>
      </c>
      <c r="D765" s="45">
        <v>1</v>
      </c>
      <c r="E765" s="19"/>
      <c r="F765" s="19"/>
    </row>
    <row r="766" spans="1:6" x14ac:dyDescent="0.25">
      <c r="A766" s="19">
        <v>805</v>
      </c>
      <c r="B766" s="19" t="s">
        <v>3742</v>
      </c>
      <c r="C766" s="19" t="s">
        <v>3743</v>
      </c>
      <c r="D766" s="45">
        <v>1</v>
      </c>
      <c r="E766" s="19"/>
      <c r="F766" s="19"/>
    </row>
    <row r="767" spans="1:6" x14ac:dyDescent="0.25">
      <c r="A767" s="19">
        <v>806</v>
      </c>
      <c r="B767" s="19" t="s">
        <v>3744</v>
      </c>
      <c r="C767" s="19" t="s">
        <v>3745</v>
      </c>
      <c r="D767" s="45">
        <v>1</v>
      </c>
      <c r="E767" s="19"/>
      <c r="F767" s="19"/>
    </row>
    <row r="768" spans="1:6" x14ac:dyDescent="0.25">
      <c r="A768" s="19">
        <v>807</v>
      </c>
      <c r="B768" s="19" t="s">
        <v>3746</v>
      </c>
      <c r="C768" s="19" t="s">
        <v>3747</v>
      </c>
      <c r="D768" s="45">
        <v>1</v>
      </c>
      <c r="E768" s="19"/>
      <c r="F768" s="19"/>
    </row>
    <row r="769" spans="1:6" x14ac:dyDescent="0.25">
      <c r="A769" s="19">
        <v>808</v>
      </c>
      <c r="B769" s="19" t="s">
        <v>3748</v>
      </c>
      <c r="C769" s="19" t="s">
        <v>3749</v>
      </c>
      <c r="D769" s="45">
        <v>1</v>
      </c>
      <c r="E769" s="19"/>
      <c r="F769" s="19"/>
    </row>
    <row r="770" spans="1:6" x14ac:dyDescent="0.25">
      <c r="A770" s="19">
        <v>809</v>
      </c>
      <c r="B770" s="19" t="s">
        <v>3750</v>
      </c>
      <c r="C770" s="19" t="s">
        <v>3751</v>
      </c>
      <c r="D770" s="45">
        <v>1</v>
      </c>
      <c r="E770" s="19"/>
      <c r="F770" s="19"/>
    </row>
    <row r="771" spans="1:6" x14ac:dyDescent="0.25">
      <c r="A771" s="19">
        <v>810</v>
      </c>
      <c r="B771" s="19" t="s">
        <v>3752</v>
      </c>
      <c r="C771" s="19" t="s">
        <v>3753</v>
      </c>
      <c r="D771" s="45">
        <v>1</v>
      </c>
      <c r="E771" s="19"/>
      <c r="F771" s="19"/>
    </row>
    <row r="772" spans="1:6" x14ac:dyDescent="0.25">
      <c r="A772" s="19">
        <v>811</v>
      </c>
      <c r="B772" s="19" t="s">
        <v>3754</v>
      </c>
      <c r="C772" s="19" t="s">
        <v>3755</v>
      </c>
      <c r="D772" s="45">
        <v>1</v>
      </c>
      <c r="E772" s="19"/>
      <c r="F772" s="19"/>
    </row>
    <row r="773" spans="1:6" x14ac:dyDescent="0.25">
      <c r="A773" s="19">
        <v>812</v>
      </c>
      <c r="B773" s="19" t="s">
        <v>3756</v>
      </c>
      <c r="C773" s="19" t="s">
        <v>3757</v>
      </c>
      <c r="D773" s="45">
        <v>1</v>
      </c>
      <c r="E773" s="19"/>
      <c r="F773" s="19"/>
    </row>
    <row r="774" spans="1:6" x14ac:dyDescent="0.25">
      <c r="A774" s="19">
        <v>813</v>
      </c>
      <c r="B774" s="19" t="s">
        <v>3758</v>
      </c>
      <c r="C774" s="19" t="s">
        <v>3759</v>
      </c>
      <c r="D774" s="45">
        <v>1</v>
      </c>
      <c r="E774" s="19"/>
      <c r="F774" s="19"/>
    </row>
    <row r="775" spans="1:6" x14ac:dyDescent="0.25">
      <c r="A775" s="19">
        <v>814</v>
      </c>
      <c r="B775" s="19" t="s">
        <v>3760</v>
      </c>
      <c r="C775" s="19" t="s">
        <v>3761</v>
      </c>
      <c r="D775" s="45">
        <v>1</v>
      </c>
      <c r="E775" s="19"/>
      <c r="F775" s="19"/>
    </row>
    <row r="776" spans="1:6" x14ac:dyDescent="0.25">
      <c r="A776" s="19">
        <v>815</v>
      </c>
      <c r="B776" s="19" t="s">
        <v>3762</v>
      </c>
      <c r="C776" s="19" t="s">
        <v>3763</v>
      </c>
      <c r="D776" s="45">
        <v>1</v>
      </c>
      <c r="E776" s="19"/>
      <c r="F776" s="19"/>
    </row>
    <row r="777" spans="1:6" x14ac:dyDescent="0.25">
      <c r="A777" s="19">
        <v>816</v>
      </c>
      <c r="B777" s="19" t="s">
        <v>3764</v>
      </c>
      <c r="C777" s="19" t="s">
        <v>3765</v>
      </c>
      <c r="D777" s="45">
        <v>1</v>
      </c>
      <c r="E777" s="19"/>
      <c r="F777" s="19"/>
    </row>
    <row r="778" spans="1:6" x14ac:dyDescent="0.25">
      <c r="A778" s="19">
        <v>817</v>
      </c>
      <c r="B778" s="19" t="s">
        <v>3766</v>
      </c>
      <c r="C778" s="19" t="s">
        <v>3767</v>
      </c>
      <c r="D778" s="45">
        <v>1</v>
      </c>
      <c r="E778" s="19"/>
      <c r="F778" s="19"/>
    </row>
    <row r="779" spans="1:6" x14ac:dyDescent="0.25">
      <c r="A779" s="19">
        <v>818</v>
      </c>
      <c r="B779" s="19" t="s">
        <v>3768</v>
      </c>
      <c r="C779" s="19" t="s">
        <v>3769</v>
      </c>
      <c r="D779" s="45">
        <v>1</v>
      </c>
      <c r="E779" s="19"/>
      <c r="F779" s="19"/>
    </row>
    <row r="780" spans="1:6" x14ac:dyDescent="0.25">
      <c r="A780" s="19">
        <v>819</v>
      </c>
      <c r="B780" s="19" t="s">
        <v>3770</v>
      </c>
      <c r="C780" s="19" t="s">
        <v>3771</v>
      </c>
      <c r="D780" s="45">
        <v>1</v>
      </c>
      <c r="E780" s="19"/>
      <c r="F780" s="19"/>
    </row>
    <row r="781" spans="1:6" x14ac:dyDescent="0.25">
      <c r="A781" s="19">
        <v>820</v>
      </c>
      <c r="B781" s="19" t="s">
        <v>3772</v>
      </c>
      <c r="C781" s="19" t="s">
        <v>3169</v>
      </c>
      <c r="D781" s="45">
        <v>1</v>
      </c>
      <c r="E781" s="19"/>
      <c r="F781" s="19"/>
    </row>
    <row r="782" spans="1:6" x14ac:dyDescent="0.25">
      <c r="A782" s="19">
        <v>821</v>
      </c>
      <c r="B782" s="19" t="s">
        <v>3773</v>
      </c>
      <c r="C782" s="19" t="s">
        <v>3774</v>
      </c>
      <c r="D782" s="45">
        <v>1</v>
      </c>
      <c r="E782" s="19"/>
      <c r="F782" s="19"/>
    </row>
    <row r="783" spans="1:6" x14ac:dyDescent="0.25">
      <c r="A783" s="19">
        <v>822</v>
      </c>
      <c r="B783" s="19" t="s">
        <v>3775</v>
      </c>
      <c r="C783" s="19" t="s">
        <v>3776</v>
      </c>
      <c r="D783" s="45">
        <v>1</v>
      </c>
      <c r="E783" s="19"/>
      <c r="F783" s="19"/>
    </row>
    <row r="784" spans="1:6" x14ac:dyDescent="0.25">
      <c r="A784" s="19">
        <v>823</v>
      </c>
      <c r="B784" s="19" t="s">
        <v>3777</v>
      </c>
      <c r="C784" s="19" t="s">
        <v>3778</v>
      </c>
      <c r="D784" s="45">
        <v>1</v>
      </c>
      <c r="E784" s="19"/>
      <c r="F784" s="19"/>
    </row>
    <row r="785" spans="1:6" x14ac:dyDescent="0.25">
      <c r="A785" s="19">
        <v>824</v>
      </c>
      <c r="B785" s="19" t="s">
        <v>3779</v>
      </c>
      <c r="C785" s="19" t="s">
        <v>3780</v>
      </c>
      <c r="D785" s="45">
        <v>1</v>
      </c>
      <c r="E785" s="19"/>
      <c r="F785" s="19"/>
    </row>
    <row r="786" spans="1:6" x14ac:dyDescent="0.25">
      <c r="A786" s="19">
        <v>825</v>
      </c>
      <c r="B786" s="19" t="s">
        <v>3781</v>
      </c>
      <c r="C786" s="19" t="s">
        <v>3782</v>
      </c>
      <c r="D786" s="45">
        <v>1</v>
      </c>
      <c r="E786" s="19"/>
      <c r="F786" s="19"/>
    </row>
    <row r="787" spans="1:6" x14ac:dyDescent="0.25">
      <c r="A787" s="19">
        <v>826</v>
      </c>
      <c r="B787" s="19" t="s">
        <v>3783</v>
      </c>
      <c r="C787" s="19" t="s">
        <v>3784</v>
      </c>
      <c r="D787" s="45">
        <v>1</v>
      </c>
      <c r="E787" s="19"/>
      <c r="F787" s="19"/>
    </row>
    <row r="788" spans="1:6" x14ac:dyDescent="0.25">
      <c r="A788" s="19">
        <v>827</v>
      </c>
      <c r="B788" s="19" t="s">
        <v>3785</v>
      </c>
      <c r="C788" s="19" t="s">
        <v>3786</v>
      </c>
      <c r="D788" s="45">
        <v>1</v>
      </c>
      <c r="E788" s="19"/>
      <c r="F788" s="19"/>
    </row>
    <row r="789" spans="1:6" x14ac:dyDescent="0.25">
      <c r="A789" s="19">
        <v>828</v>
      </c>
      <c r="B789" s="19" t="s">
        <v>3787</v>
      </c>
      <c r="C789" s="19" t="s">
        <v>3788</v>
      </c>
      <c r="D789" s="45">
        <v>1</v>
      </c>
      <c r="E789" s="19"/>
      <c r="F789" s="19"/>
    </row>
    <row r="790" spans="1:6" x14ac:dyDescent="0.25">
      <c r="A790" s="19">
        <v>829</v>
      </c>
      <c r="B790" s="19" t="s">
        <v>3789</v>
      </c>
      <c r="C790" s="19" t="s">
        <v>3201</v>
      </c>
      <c r="D790" s="45">
        <v>1</v>
      </c>
      <c r="E790" s="19"/>
      <c r="F790" s="19"/>
    </row>
    <row r="791" spans="1:6" x14ac:dyDescent="0.25">
      <c r="A791" s="19">
        <v>830</v>
      </c>
      <c r="B791" s="19" t="s">
        <v>3790</v>
      </c>
      <c r="C791" s="19" t="s">
        <v>3791</v>
      </c>
      <c r="D791" s="45">
        <v>1</v>
      </c>
      <c r="E791" s="19"/>
      <c r="F791" s="19"/>
    </row>
    <row r="792" spans="1:6" x14ac:dyDescent="0.25">
      <c r="A792" s="19">
        <v>831</v>
      </c>
      <c r="B792" s="19" t="s">
        <v>3792</v>
      </c>
      <c r="C792" s="19" t="s">
        <v>3793</v>
      </c>
      <c r="D792" s="45">
        <v>1</v>
      </c>
      <c r="E792" s="19"/>
      <c r="F792" s="19"/>
    </row>
    <row r="793" spans="1:6" x14ac:dyDescent="0.25">
      <c r="A793" s="19">
        <v>832</v>
      </c>
      <c r="B793" s="19" t="s">
        <v>3794</v>
      </c>
      <c r="C793" s="19" t="s">
        <v>11433</v>
      </c>
      <c r="D793" s="45">
        <v>1</v>
      </c>
      <c r="E793" s="19"/>
      <c r="F793" s="19"/>
    </row>
    <row r="794" spans="1:6" x14ac:dyDescent="0.25">
      <c r="A794" s="19">
        <v>833</v>
      </c>
      <c r="B794" s="19" t="s">
        <v>3796</v>
      </c>
      <c r="C794" s="19" t="s">
        <v>3797</v>
      </c>
      <c r="D794" s="45">
        <v>1</v>
      </c>
      <c r="E794" s="19"/>
      <c r="F794" s="19"/>
    </row>
    <row r="795" spans="1:6" x14ac:dyDescent="0.25">
      <c r="A795" s="19">
        <v>834</v>
      </c>
      <c r="B795" s="19" t="s">
        <v>3798</v>
      </c>
      <c r="C795" s="19" t="s">
        <v>3799</v>
      </c>
      <c r="D795" s="45">
        <v>1</v>
      </c>
      <c r="E795" s="19"/>
      <c r="F795" s="19"/>
    </row>
    <row r="796" spans="1:6" x14ac:dyDescent="0.25">
      <c r="A796" s="19">
        <v>835</v>
      </c>
      <c r="B796" s="19" t="s">
        <v>3800</v>
      </c>
      <c r="C796" s="19" t="s">
        <v>3801</v>
      </c>
      <c r="D796" s="45">
        <v>1</v>
      </c>
      <c r="E796" s="19"/>
      <c r="F796" s="19"/>
    </row>
    <row r="797" spans="1:6" x14ac:dyDescent="0.25">
      <c r="A797" s="19">
        <v>836</v>
      </c>
      <c r="B797" s="19" t="s">
        <v>3802</v>
      </c>
      <c r="C797" s="19" t="s">
        <v>3803</v>
      </c>
      <c r="D797" s="45">
        <v>1</v>
      </c>
      <c r="E797" s="19"/>
      <c r="F797" s="19"/>
    </row>
    <row r="798" spans="1:6" x14ac:dyDescent="0.25">
      <c r="A798" s="19">
        <v>837</v>
      </c>
      <c r="B798" s="19" t="s">
        <v>3804</v>
      </c>
      <c r="C798" s="19" t="s">
        <v>3805</v>
      </c>
      <c r="D798" s="45">
        <v>1</v>
      </c>
      <c r="E798" s="19"/>
      <c r="F798" s="19"/>
    </row>
    <row r="799" spans="1:6" x14ac:dyDescent="0.25">
      <c r="A799" s="19">
        <v>838</v>
      </c>
      <c r="B799" s="19" t="s">
        <v>3806</v>
      </c>
      <c r="C799" s="19" t="s">
        <v>3807</v>
      </c>
      <c r="D799" s="45">
        <v>1</v>
      </c>
      <c r="E799" s="19"/>
      <c r="F799" s="19"/>
    </row>
    <row r="800" spans="1:6" x14ac:dyDescent="0.25">
      <c r="A800" s="19">
        <v>839</v>
      </c>
      <c r="B800" s="19" t="s">
        <v>3808</v>
      </c>
      <c r="C800" s="19" t="s">
        <v>3809</v>
      </c>
      <c r="D800" s="45">
        <v>1</v>
      </c>
      <c r="E800" s="19"/>
      <c r="F800" s="19"/>
    </row>
    <row r="801" spans="1:6" x14ac:dyDescent="0.25">
      <c r="A801" s="19">
        <v>840</v>
      </c>
      <c r="B801" s="19" t="s">
        <v>3810</v>
      </c>
      <c r="C801" s="19" t="s">
        <v>3811</v>
      </c>
      <c r="D801" s="45">
        <v>1</v>
      </c>
      <c r="E801" s="19"/>
      <c r="F801" s="19"/>
    </row>
    <row r="802" spans="1:6" x14ac:dyDescent="0.25">
      <c r="A802" s="19">
        <v>841</v>
      </c>
      <c r="B802" s="19" t="s">
        <v>3812</v>
      </c>
      <c r="C802" s="19" t="s">
        <v>3813</v>
      </c>
      <c r="D802" s="45">
        <v>1</v>
      </c>
      <c r="E802" s="19"/>
      <c r="F802" s="19"/>
    </row>
    <row r="803" spans="1:6" x14ac:dyDescent="0.25">
      <c r="A803" s="19">
        <v>842</v>
      </c>
      <c r="B803" s="19" t="s">
        <v>3814</v>
      </c>
      <c r="C803" s="19" t="s">
        <v>3815</v>
      </c>
      <c r="D803" s="45">
        <v>1</v>
      </c>
      <c r="E803" s="19"/>
      <c r="F803" s="19"/>
    </row>
    <row r="804" spans="1:6" x14ac:dyDescent="0.25">
      <c r="A804" s="19">
        <v>843</v>
      </c>
      <c r="B804" s="19" t="s">
        <v>3816</v>
      </c>
      <c r="C804" s="19" t="s">
        <v>3817</v>
      </c>
      <c r="D804" s="45">
        <v>1</v>
      </c>
      <c r="E804" s="19"/>
      <c r="F804" s="19"/>
    </row>
    <row r="805" spans="1:6" x14ac:dyDescent="0.25">
      <c r="A805" s="19">
        <v>844</v>
      </c>
      <c r="B805" s="19" t="s">
        <v>3818</v>
      </c>
      <c r="C805" s="19" t="s">
        <v>3819</v>
      </c>
      <c r="D805" s="45">
        <v>1</v>
      </c>
      <c r="E805" s="19"/>
      <c r="F805" s="19"/>
    </row>
    <row r="806" spans="1:6" x14ac:dyDescent="0.25">
      <c r="A806" s="19">
        <v>845</v>
      </c>
      <c r="B806" s="19" t="s">
        <v>3820</v>
      </c>
      <c r="C806" s="19" t="s">
        <v>3821</v>
      </c>
      <c r="D806" s="45">
        <v>1</v>
      </c>
      <c r="E806" s="19"/>
      <c r="F806" s="19"/>
    </row>
    <row r="807" spans="1:6" x14ac:dyDescent="0.25">
      <c r="A807" s="19">
        <v>846</v>
      </c>
      <c r="B807" s="19" t="s">
        <v>3822</v>
      </c>
      <c r="C807" s="19" t="s">
        <v>3823</v>
      </c>
      <c r="D807" s="45">
        <v>1</v>
      </c>
      <c r="E807" s="19"/>
      <c r="F807" s="19"/>
    </row>
    <row r="808" spans="1:6" x14ac:dyDescent="0.25">
      <c r="A808" s="19">
        <v>847</v>
      </c>
      <c r="B808" s="19" t="s">
        <v>3824</v>
      </c>
      <c r="C808" s="19" t="s">
        <v>3825</v>
      </c>
      <c r="D808" s="45">
        <v>1</v>
      </c>
      <c r="E808" s="19"/>
      <c r="F808" s="19"/>
    </row>
    <row r="809" spans="1:6" x14ac:dyDescent="0.25">
      <c r="A809" s="19">
        <v>848</v>
      </c>
      <c r="B809" s="19" t="s">
        <v>3826</v>
      </c>
      <c r="C809" s="19" t="s">
        <v>3827</v>
      </c>
      <c r="D809" s="45">
        <v>1</v>
      </c>
      <c r="E809" s="19"/>
      <c r="F809" s="19"/>
    </row>
    <row r="810" spans="1:6" x14ac:dyDescent="0.25">
      <c r="A810" s="19">
        <v>298</v>
      </c>
      <c r="B810" s="19" t="s">
        <v>2906</v>
      </c>
      <c r="C810" s="19" t="s">
        <v>2906</v>
      </c>
      <c r="D810" s="45">
        <v>50</v>
      </c>
      <c r="E810" s="19"/>
      <c r="F810" s="19"/>
    </row>
    <row r="811" spans="1:6" x14ac:dyDescent="0.25">
      <c r="A811" s="19">
        <v>286</v>
      </c>
      <c r="B811" s="19" t="s">
        <v>3828</v>
      </c>
      <c r="C811" s="19" t="s">
        <v>3828</v>
      </c>
      <c r="D811" s="45">
        <v>1</v>
      </c>
      <c r="E811" s="19"/>
      <c r="F811" s="19"/>
    </row>
    <row r="812" spans="1:6" x14ac:dyDescent="0.25">
      <c r="A812" s="19">
        <v>191</v>
      </c>
      <c r="B812" s="19" t="s">
        <v>2565</v>
      </c>
      <c r="C812" s="19" t="s">
        <v>2565</v>
      </c>
      <c r="D812" s="45">
        <v>1</v>
      </c>
      <c r="E812" s="19"/>
      <c r="F812" s="19"/>
    </row>
    <row r="813" spans="1:6" x14ac:dyDescent="0.25">
      <c r="A813" s="19">
        <v>106</v>
      </c>
      <c r="B813" s="19" t="s">
        <v>3829</v>
      </c>
      <c r="C813" s="19" t="s">
        <v>3829</v>
      </c>
      <c r="D813" s="45">
        <v>1</v>
      </c>
      <c r="E813" s="19"/>
      <c r="F813" s="19"/>
    </row>
    <row r="814" spans="1:6" x14ac:dyDescent="0.25">
      <c r="A814" s="19">
        <v>261</v>
      </c>
      <c r="B814" s="19" t="s">
        <v>3830</v>
      </c>
      <c r="C814" s="19" t="s">
        <v>3830</v>
      </c>
      <c r="D814" s="45">
        <v>1</v>
      </c>
      <c r="E814" s="19"/>
      <c r="F814" s="19"/>
    </row>
    <row r="815" spans="1:6" x14ac:dyDescent="0.25">
      <c r="A815" s="19">
        <v>430</v>
      </c>
      <c r="B815" s="19" t="s">
        <v>3831</v>
      </c>
      <c r="C815" s="19" t="s">
        <v>3831</v>
      </c>
      <c r="D815" s="45">
        <v>1</v>
      </c>
      <c r="E815" s="19"/>
      <c r="F815" s="19"/>
    </row>
    <row r="816" spans="1:6" x14ac:dyDescent="0.25">
      <c r="A816" s="19">
        <v>699</v>
      </c>
      <c r="B816" s="19" t="s">
        <v>3862</v>
      </c>
      <c r="C816" s="19" t="s">
        <v>3862</v>
      </c>
      <c r="D816" s="45">
        <v>1</v>
      </c>
      <c r="E816" s="19"/>
      <c r="F816" s="19"/>
    </row>
    <row r="817" spans="1:6" x14ac:dyDescent="0.25">
      <c r="A817" s="19">
        <v>860</v>
      </c>
      <c r="B817" s="19" t="s">
        <v>11428</v>
      </c>
      <c r="C817" s="19" t="s">
        <v>11428</v>
      </c>
      <c r="D817" s="45">
        <v>6</v>
      </c>
      <c r="E817" s="19"/>
      <c r="F817" s="19"/>
    </row>
    <row r="818" spans="1:6" x14ac:dyDescent="0.25">
      <c r="A818" s="19">
        <v>857</v>
      </c>
      <c r="B818" s="19" t="s">
        <v>11454</v>
      </c>
      <c r="C818" s="19" t="s">
        <v>11454</v>
      </c>
      <c r="D818" s="45">
        <v>1</v>
      </c>
      <c r="E818" s="19"/>
      <c r="F818" s="19"/>
    </row>
    <row r="819" spans="1:6" x14ac:dyDescent="0.25">
      <c r="A819" s="19">
        <v>898</v>
      </c>
      <c r="B819" s="19" t="s">
        <v>11512</v>
      </c>
      <c r="C819" s="19" t="s">
        <v>11512</v>
      </c>
      <c r="D819" s="45">
        <v>1</v>
      </c>
      <c r="E819" s="19"/>
      <c r="F819" s="19"/>
    </row>
    <row r="820" spans="1:6" x14ac:dyDescent="0.25">
      <c r="A820" s="19" t="s">
        <v>12069</v>
      </c>
      <c r="B820" s="19" t="s">
        <v>3846</v>
      </c>
      <c r="C820" s="19" t="s">
        <v>3846</v>
      </c>
      <c r="D820" s="45">
        <v>1</v>
      </c>
      <c r="E820" s="19"/>
      <c r="F820" s="19"/>
    </row>
    <row r="821" spans="1:6" x14ac:dyDescent="0.25">
      <c r="A821" s="19">
        <v>890</v>
      </c>
      <c r="B821" s="19" t="s">
        <v>11496</v>
      </c>
      <c r="C821" s="19" t="s">
        <v>11496</v>
      </c>
      <c r="D821" s="45">
        <v>1</v>
      </c>
      <c r="E821" s="19"/>
      <c r="F821" s="19"/>
    </row>
    <row r="822" spans="1:6" x14ac:dyDescent="0.25">
      <c r="A822" s="19">
        <v>894</v>
      </c>
      <c r="B822" s="19" t="s">
        <v>11504</v>
      </c>
      <c r="C822" s="19" t="s">
        <v>11504</v>
      </c>
      <c r="D822" s="45">
        <v>1</v>
      </c>
      <c r="E822" s="19"/>
      <c r="F822" s="19"/>
    </row>
    <row r="823" spans="1:6" x14ac:dyDescent="0.25">
      <c r="A823" s="19">
        <v>893</v>
      </c>
      <c r="B823" s="19" t="s">
        <v>11502</v>
      </c>
      <c r="C823" s="19" t="s">
        <v>11502</v>
      </c>
      <c r="D823" s="45">
        <v>1</v>
      </c>
      <c r="E823" s="19"/>
      <c r="F823" s="19"/>
    </row>
    <row r="824" spans="1:6" x14ac:dyDescent="0.25">
      <c r="A824" s="19">
        <v>882</v>
      </c>
      <c r="B824" s="19" t="s">
        <v>11484</v>
      </c>
      <c r="C824" s="19" t="s">
        <v>11484</v>
      </c>
      <c r="D824" s="45">
        <v>1</v>
      </c>
      <c r="E824" s="19"/>
      <c r="F824" s="19"/>
    </row>
    <row r="825" spans="1:6" x14ac:dyDescent="0.25">
      <c r="A825" s="19">
        <v>887</v>
      </c>
      <c r="B825" s="19" t="s">
        <v>11492</v>
      </c>
      <c r="C825" s="19" t="s">
        <v>11492</v>
      </c>
      <c r="D825" s="45">
        <v>1</v>
      </c>
      <c r="E825" s="19"/>
      <c r="F825" s="19"/>
    </row>
    <row r="826" spans="1:6" x14ac:dyDescent="0.25">
      <c r="A826" s="19">
        <v>690</v>
      </c>
      <c r="B826" s="19" t="s">
        <v>3861</v>
      </c>
      <c r="C826" s="19" t="s">
        <v>3861</v>
      </c>
      <c r="D826" s="45">
        <v>1</v>
      </c>
      <c r="E826" s="19"/>
      <c r="F826" s="19"/>
    </row>
    <row r="827" spans="1:6" x14ac:dyDescent="0.25">
      <c r="A827" s="19">
        <v>856</v>
      </c>
      <c r="B827" s="19" t="s">
        <v>8673</v>
      </c>
      <c r="C827" s="19" t="s">
        <v>8673</v>
      </c>
      <c r="D827" s="45">
        <v>1</v>
      </c>
      <c r="E827" s="19"/>
      <c r="F827" s="19"/>
    </row>
    <row r="828" spans="1:6" x14ac:dyDescent="0.25">
      <c r="A828" s="19">
        <v>0</v>
      </c>
      <c r="B828" s="19" t="s">
        <v>12068</v>
      </c>
      <c r="C828" s="19" t="s">
        <v>12068</v>
      </c>
      <c r="D828" s="45">
        <v>50</v>
      </c>
      <c r="E828" s="19"/>
      <c r="F828" s="19"/>
    </row>
    <row r="829" spans="1:6" x14ac:dyDescent="0.25">
      <c r="A829" s="19">
        <v>831</v>
      </c>
      <c r="B829" s="19" t="s">
        <v>8524</v>
      </c>
      <c r="C829" s="19" t="s">
        <v>3793</v>
      </c>
      <c r="D829" s="45"/>
      <c r="E829" s="19"/>
      <c r="F829" s="19"/>
    </row>
    <row r="830" spans="1:6" x14ac:dyDescent="0.25">
      <c r="A830" s="19">
        <v>832</v>
      </c>
      <c r="B830" s="19" t="s">
        <v>4465</v>
      </c>
      <c r="C830" s="19" t="s">
        <v>3795</v>
      </c>
      <c r="D830" s="45"/>
      <c r="E830" s="19"/>
      <c r="F830" s="19"/>
    </row>
    <row r="831" spans="1:6" x14ac:dyDescent="0.25">
      <c r="A831" s="19">
        <v>849</v>
      </c>
      <c r="B831" s="19" t="s">
        <v>11445</v>
      </c>
      <c r="C831" s="19" t="s">
        <v>11444</v>
      </c>
      <c r="D831" s="45"/>
      <c r="E831" s="19"/>
      <c r="F831" s="19"/>
    </row>
    <row r="832" spans="1:6" x14ac:dyDescent="0.25">
      <c r="A832" s="19">
        <v>850</v>
      </c>
      <c r="B832" s="19" t="s">
        <v>11447</v>
      </c>
      <c r="C832" s="19" t="s">
        <v>11446</v>
      </c>
      <c r="D832" s="45"/>
      <c r="E832" s="19"/>
      <c r="F832" s="19"/>
    </row>
    <row r="833" spans="1:6" x14ac:dyDescent="0.25">
      <c r="A833" s="19">
        <v>851</v>
      </c>
      <c r="B833" s="19" t="s">
        <v>11449</v>
      </c>
      <c r="C833" s="19" t="s">
        <v>11448</v>
      </c>
      <c r="D833" s="45"/>
      <c r="E833" s="19"/>
      <c r="F833" s="19"/>
    </row>
    <row r="834" spans="1:6" x14ac:dyDescent="0.25">
      <c r="A834" s="19">
        <v>852</v>
      </c>
      <c r="B834" s="19" t="s">
        <v>11451</v>
      </c>
      <c r="C834" s="19" t="s">
        <v>11450</v>
      </c>
      <c r="D834" s="45"/>
      <c r="E834" s="19"/>
      <c r="F834" s="19"/>
    </row>
    <row r="835" spans="1:6" x14ac:dyDescent="0.25">
      <c r="A835" s="19">
        <v>853</v>
      </c>
      <c r="B835" s="19" t="s">
        <v>11453</v>
      </c>
      <c r="C835" s="19" t="s">
        <v>11452</v>
      </c>
      <c r="D835" s="45"/>
      <c r="E835" s="19"/>
      <c r="F835" s="19"/>
    </row>
    <row r="836" spans="1:6" x14ac:dyDescent="0.25">
      <c r="A836" s="19">
        <v>854</v>
      </c>
      <c r="B836" s="19" t="s">
        <v>8140</v>
      </c>
      <c r="C836" s="19" t="s">
        <v>11442</v>
      </c>
      <c r="D836" s="45"/>
      <c r="E836" s="19"/>
      <c r="F836" s="19"/>
    </row>
    <row r="837" spans="1:6" x14ac:dyDescent="0.25">
      <c r="A837" s="19">
        <v>856</v>
      </c>
      <c r="B837" s="19" t="s">
        <v>4723</v>
      </c>
      <c r="C837" s="19" t="s">
        <v>8673</v>
      </c>
      <c r="D837" s="45"/>
      <c r="E837" s="19"/>
      <c r="F837" s="19"/>
    </row>
    <row r="838" spans="1:6" x14ac:dyDescent="0.25">
      <c r="A838" s="19">
        <v>857</v>
      </c>
      <c r="B838" s="19" t="s">
        <v>11455</v>
      </c>
      <c r="C838" s="19" t="s">
        <v>11454</v>
      </c>
      <c r="D838" s="45"/>
      <c r="E838" s="19"/>
      <c r="F838" s="19"/>
    </row>
    <row r="839" spans="1:6" x14ac:dyDescent="0.25">
      <c r="A839" s="19">
        <v>858</v>
      </c>
      <c r="B839" s="19" t="s">
        <v>11457</v>
      </c>
      <c r="C839" s="19" t="s">
        <v>11456</v>
      </c>
      <c r="D839" s="45"/>
      <c r="E839" s="19"/>
      <c r="F839" s="19"/>
    </row>
    <row r="840" spans="1:6" x14ac:dyDescent="0.25">
      <c r="A840" s="19">
        <v>859</v>
      </c>
      <c r="B840" s="19" t="s">
        <v>4991</v>
      </c>
      <c r="C840" s="19" t="s">
        <v>11438</v>
      </c>
      <c r="D840" s="45"/>
      <c r="E840" s="19"/>
      <c r="F840" s="19"/>
    </row>
    <row r="841" spans="1:6" x14ac:dyDescent="0.25">
      <c r="A841" s="19">
        <v>860</v>
      </c>
      <c r="B841" s="19" t="s">
        <v>3943</v>
      </c>
      <c r="C841" s="19" t="s">
        <v>11428</v>
      </c>
      <c r="D841" s="45"/>
      <c r="E841" s="19"/>
      <c r="F841" s="19"/>
    </row>
    <row r="842" spans="1:6" x14ac:dyDescent="0.25">
      <c r="A842" s="19">
        <v>862</v>
      </c>
      <c r="B842" s="19" t="s">
        <v>11459</v>
      </c>
      <c r="C842" s="19" t="s">
        <v>11458</v>
      </c>
      <c r="D842" s="45"/>
      <c r="E842" s="19"/>
      <c r="F842" s="19"/>
    </row>
    <row r="843" spans="1:6" x14ac:dyDescent="0.25">
      <c r="A843" s="19">
        <v>863</v>
      </c>
      <c r="B843" s="19" t="s">
        <v>11461</v>
      </c>
      <c r="C843" s="19" t="s">
        <v>11460</v>
      </c>
      <c r="D843" s="45"/>
      <c r="E843" s="19"/>
      <c r="F843" s="19"/>
    </row>
    <row r="844" spans="1:6" x14ac:dyDescent="0.25">
      <c r="A844" s="19">
        <v>864</v>
      </c>
      <c r="B844" s="19" t="s">
        <v>11463</v>
      </c>
      <c r="C844" s="19" t="s">
        <v>11462</v>
      </c>
      <c r="D844" s="45"/>
      <c r="E844" s="19"/>
      <c r="F844" s="19"/>
    </row>
    <row r="845" spans="1:6" x14ac:dyDescent="0.25">
      <c r="A845" s="19">
        <v>866</v>
      </c>
      <c r="B845" s="19" t="s">
        <v>11465</v>
      </c>
      <c r="C845" s="19" t="s">
        <v>11464</v>
      </c>
      <c r="D845" s="45"/>
      <c r="E845" s="19"/>
      <c r="F845" s="19"/>
    </row>
    <row r="846" spans="1:6" x14ac:dyDescent="0.25">
      <c r="A846" s="19">
        <v>867</v>
      </c>
      <c r="B846" s="19" t="s">
        <v>11467</v>
      </c>
      <c r="C846" s="19" t="s">
        <v>11466</v>
      </c>
      <c r="D846" s="45"/>
      <c r="E846" s="19"/>
      <c r="F846" s="19"/>
    </row>
    <row r="847" spans="1:6" x14ac:dyDescent="0.25">
      <c r="A847" s="19">
        <v>868</v>
      </c>
      <c r="B847" s="19" t="s">
        <v>11469</v>
      </c>
      <c r="C847" s="19" t="s">
        <v>11468</v>
      </c>
      <c r="D847" s="45"/>
      <c r="E847" s="19"/>
      <c r="F847" s="19"/>
    </row>
    <row r="848" spans="1:6" x14ac:dyDescent="0.25">
      <c r="A848" s="19">
        <v>869</v>
      </c>
      <c r="B848" s="19" t="s">
        <v>11471</v>
      </c>
      <c r="C848" s="19" t="s">
        <v>11470</v>
      </c>
      <c r="D848" s="45"/>
      <c r="E848" s="19"/>
      <c r="F848" s="19"/>
    </row>
    <row r="849" spans="1:6" x14ac:dyDescent="0.25">
      <c r="A849" s="19">
        <v>870</v>
      </c>
      <c r="B849" s="19" t="s">
        <v>11473</v>
      </c>
      <c r="C849" s="19" t="s">
        <v>11472</v>
      </c>
      <c r="D849" s="45"/>
      <c r="E849" s="19"/>
      <c r="F849" s="19"/>
    </row>
    <row r="850" spans="1:6" x14ac:dyDescent="0.25">
      <c r="A850" s="19">
        <v>871</v>
      </c>
      <c r="B850" s="19" t="s">
        <v>11475</v>
      </c>
      <c r="C850" s="19" t="s">
        <v>11474</v>
      </c>
      <c r="D850" s="45"/>
      <c r="E850" s="19"/>
      <c r="F850" s="19"/>
    </row>
    <row r="851" spans="1:6" x14ac:dyDescent="0.25">
      <c r="A851" s="19">
        <v>872</v>
      </c>
      <c r="B851" s="19" t="s">
        <v>11477</v>
      </c>
      <c r="C851" s="19" t="s">
        <v>11476</v>
      </c>
      <c r="D851" s="45"/>
      <c r="E851" s="19"/>
      <c r="F851" s="19"/>
    </row>
    <row r="852" spans="1:6" x14ac:dyDescent="0.25">
      <c r="A852" s="19">
        <v>873</v>
      </c>
      <c r="B852" s="19" t="s">
        <v>11479</v>
      </c>
      <c r="C852" s="19" t="s">
        <v>11478</v>
      </c>
      <c r="D852" s="45"/>
      <c r="E852" s="19"/>
      <c r="F852" s="19"/>
    </row>
    <row r="853" spans="1:6" x14ac:dyDescent="0.25">
      <c r="A853" s="19">
        <v>874</v>
      </c>
      <c r="B853" s="19" t="s">
        <v>12559</v>
      </c>
      <c r="C853" s="19" t="s">
        <v>12567</v>
      </c>
      <c r="D853" s="45"/>
      <c r="E853" s="19"/>
      <c r="F853" s="19"/>
    </row>
    <row r="854" spans="1:6" x14ac:dyDescent="0.25">
      <c r="A854" s="19">
        <v>875</v>
      </c>
      <c r="B854" s="19" t="s">
        <v>11129</v>
      </c>
      <c r="C854" s="19" t="s">
        <v>11437</v>
      </c>
      <c r="D854" s="45"/>
      <c r="E854" s="19"/>
      <c r="F854" s="19"/>
    </row>
    <row r="855" spans="1:6" x14ac:dyDescent="0.25">
      <c r="A855" s="19">
        <v>876</v>
      </c>
      <c r="B855" s="19" t="s">
        <v>12560</v>
      </c>
      <c r="C855" s="19" t="s">
        <v>12568</v>
      </c>
      <c r="D855" s="45"/>
      <c r="E855" s="19"/>
      <c r="F855" s="19"/>
    </row>
    <row r="856" spans="1:6" x14ac:dyDescent="0.25">
      <c r="A856" s="19">
        <v>877</v>
      </c>
      <c r="B856" s="19" t="s">
        <v>11481</v>
      </c>
      <c r="C856" s="19" t="s">
        <v>11480</v>
      </c>
      <c r="D856" s="45"/>
      <c r="E856" s="19"/>
      <c r="F856" s="19"/>
    </row>
    <row r="857" spans="1:6" x14ac:dyDescent="0.25">
      <c r="A857" s="19">
        <v>880</v>
      </c>
      <c r="B857" s="19" t="s">
        <v>12308</v>
      </c>
      <c r="C857" s="19" t="s">
        <v>12569</v>
      </c>
      <c r="D857" s="45"/>
      <c r="E857" s="19"/>
      <c r="F857" s="19"/>
    </row>
    <row r="858" spans="1:6" x14ac:dyDescent="0.25">
      <c r="A858" s="19">
        <v>881</v>
      </c>
      <c r="B858" s="19" t="s">
        <v>11483</v>
      </c>
      <c r="C858" s="19" t="s">
        <v>11482</v>
      </c>
      <c r="D858" s="45"/>
      <c r="E858" s="19"/>
      <c r="F858" s="19"/>
    </row>
    <row r="859" spans="1:6" x14ac:dyDescent="0.25">
      <c r="A859" s="19">
        <v>882</v>
      </c>
      <c r="B859" s="19" t="s">
        <v>11485</v>
      </c>
      <c r="C859" s="19" t="s">
        <v>11484</v>
      </c>
      <c r="D859" s="45"/>
      <c r="E859" s="19"/>
      <c r="F859" s="19"/>
    </row>
    <row r="860" spans="1:6" x14ac:dyDescent="0.25">
      <c r="A860" s="19">
        <v>883</v>
      </c>
      <c r="B860" s="19" t="s">
        <v>11487</v>
      </c>
      <c r="C860" s="19" t="s">
        <v>11486</v>
      </c>
      <c r="D860" s="45"/>
      <c r="E860" s="19"/>
      <c r="F860" s="19"/>
    </row>
    <row r="861" spans="1:6" x14ac:dyDescent="0.25">
      <c r="A861" s="19">
        <v>884</v>
      </c>
      <c r="B861" s="19" t="s">
        <v>12561</v>
      </c>
      <c r="C861" s="19" t="s">
        <v>12570</v>
      </c>
      <c r="D861" s="45"/>
      <c r="E861" s="19"/>
      <c r="F861" s="19"/>
    </row>
    <row r="862" spans="1:6" x14ac:dyDescent="0.25">
      <c r="A862" s="19">
        <v>885</v>
      </c>
      <c r="B862" s="19" t="s">
        <v>11489</v>
      </c>
      <c r="C862" s="19" t="s">
        <v>11488</v>
      </c>
      <c r="D862" s="45"/>
      <c r="E862" s="19"/>
      <c r="F862" s="19"/>
    </row>
    <row r="863" spans="1:6" x14ac:dyDescent="0.25">
      <c r="A863" s="19">
        <v>886</v>
      </c>
      <c r="B863" s="19" t="s">
        <v>11491</v>
      </c>
      <c r="C863" s="19" t="s">
        <v>11490</v>
      </c>
      <c r="D863" s="45"/>
      <c r="E863" s="19"/>
      <c r="F863" s="19"/>
    </row>
    <row r="864" spans="1:6" x14ac:dyDescent="0.25">
      <c r="A864" s="19">
        <v>887</v>
      </c>
      <c r="B864" s="19" t="s">
        <v>11493</v>
      </c>
      <c r="C864" s="19" t="s">
        <v>11492</v>
      </c>
      <c r="D864" s="45"/>
      <c r="E864" s="19"/>
      <c r="F864" s="19"/>
    </row>
    <row r="865" spans="1:6" x14ac:dyDescent="0.25">
      <c r="A865" s="19">
        <v>888</v>
      </c>
      <c r="B865" s="19" t="s">
        <v>11495</v>
      </c>
      <c r="C865" s="19" t="s">
        <v>11494</v>
      </c>
      <c r="D865" s="45"/>
      <c r="E865" s="19"/>
      <c r="F865" s="19"/>
    </row>
    <row r="866" spans="1:6" x14ac:dyDescent="0.25">
      <c r="A866" s="19">
        <v>890</v>
      </c>
      <c r="B866" s="19" t="s">
        <v>11497</v>
      </c>
      <c r="C866" s="19" t="s">
        <v>11496</v>
      </c>
      <c r="D866" s="45"/>
      <c r="E866" s="19"/>
      <c r="F866" s="19"/>
    </row>
    <row r="867" spans="1:6" x14ac:dyDescent="0.25">
      <c r="A867" s="19">
        <v>891</v>
      </c>
      <c r="B867" s="19" t="s">
        <v>11499</v>
      </c>
      <c r="C867" s="19" t="s">
        <v>11498</v>
      </c>
      <c r="D867" s="45"/>
      <c r="E867" s="19"/>
      <c r="F867" s="19"/>
    </row>
    <row r="868" spans="1:6" x14ac:dyDescent="0.25">
      <c r="A868" s="19">
        <v>892</v>
      </c>
      <c r="B868" s="19" t="s">
        <v>11501</v>
      </c>
      <c r="C868" s="19" t="s">
        <v>11500</v>
      </c>
      <c r="D868" s="45"/>
      <c r="E868" s="19"/>
      <c r="F868" s="19"/>
    </row>
    <row r="869" spans="1:6" x14ac:dyDescent="0.25">
      <c r="A869" s="19">
        <v>893</v>
      </c>
      <c r="B869" s="19" t="s">
        <v>11503</v>
      </c>
      <c r="C869" s="19" t="s">
        <v>11502</v>
      </c>
      <c r="D869" s="45"/>
      <c r="E869" s="19"/>
      <c r="F869" s="19"/>
    </row>
    <row r="870" spans="1:6" x14ac:dyDescent="0.25">
      <c r="A870" s="19">
        <v>894</v>
      </c>
      <c r="B870" s="19" t="s">
        <v>11505</v>
      </c>
      <c r="C870" s="19" t="s">
        <v>11504</v>
      </c>
      <c r="D870" s="45"/>
      <c r="E870" s="19"/>
      <c r="F870" s="19"/>
    </row>
    <row r="871" spans="1:6" x14ac:dyDescent="0.25">
      <c r="A871" s="19">
        <v>895</v>
      </c>
      <c r="B871" s="19" t="s">
        <v>11507</v>
      </c>
      <c r="C871" s="19" t="s">
        <v>11506</v>
      </c>
      <c r="D871" s="45"/>
      <c r="E871" s="19"/>
      <c r="F871" s="19"/>
    </row>
    <row r="872" spans="1:6" x14ac:dyDescent="0.25">
      <c r="A872" s="19">
        <v>896</v>
      </c>
      <c r="B872" s="19" t="s">
        <v>11509</v>
      </c>
      <c r="C872" s="19" t="s">
        <v>11508</v>
      </c>
      <c r="D872" s="45"/>
      <c r="E872" s="19"/>
      <c r="F872" s="19"/>
    </row>
    <row r="873" spans="1:6" x14ac:dyDescent="0.25">
      <c r="A873" s="19">
        <v>897</v>
      </c>
      <c r="B873" s="19" t="s">
        <v>11511</v>
      </c>
      <c r="C873" s="19" t="s">
        <v>11510</v>
      </c>
      <c r="D873" s="45"/>
      <c r="E873" s="19"/>
      <c r="F873" s="19"/>
    </row>
    <row r="874" spans="1:6" x14ac:dyDescent="0.25">
      <c r="A874" s="19">
        <v>898</v>
      </c>
      <c r="B874" s="19" t="s">
        <v>11513</v>
      </c>
      <c r="C874" s="19" t="s">
        <v>11512</v>
      </c>
      <c r="D874" s="45"/>
      <c r="E874" s="19"/>
      <c r="F874" s="19"/>
    </row>
    <row r="875" spans="1:6" x14ac:dyDescent="0.25">
      <c r="A875" s="19">
        <v>899</v>
      </c>
      <c r="B875" s="19" t="s">
        <v>11515</v>
      </c>
      <c r="C875" s="19" t="s">
        <v>11514</v>
      </c>
      <c r="D875" s="45"/>
      <c r="E875" s="19"/>
      <c r="F875" s="19"/>
    </row>
    <row r="876" spans="1:6" x14ac:dyDescent="0.25">
      <c r="A876" s="19">
        <v>901</v>
      </c>
      <c r="B876" s="19" t="s">
        <v>11517</v>
      </c>
      <c r="C876" s="19" t="s">
        <v>11516</v>
      </c>
      <c r="D876" s="45"/>
      <c r="E876" s="19"/>
      <c r="F876" s="19"/>
    </row>
    <row r="877" spans="1:6" x14ac:dyDescent="0.25">
      <c r="A877" s="19">
        <v>902</v>
      </c>
      <c r="B877" s="19" t="s">
        <v>11519</v>
      </c>
      <c r="C877" s="19" t="s">
        <v>11518</v>
      </c>
      <c r="D877" s="45"/>
      <c r="E877" s="19"/>
      <c r="F877" s="19"/>
    </row>
    <row r="878" spans="1:6" x14ac:dyDescent="0.25">
      <c r="A878" s="19">
        <v>903</v>
      </c>
      <c r="B878" s="19" t="s">
        <v>11521</v>
      </c>
      <c r="C878" s="19" t="s">
        <v>11520</v>
      </c>
      <c r="D878" s="45"/>
      <c r="E878" s="19"/>
      <c r="F878" s="19"/>
    </row>
    <row r="879" spans="1:6" x14ac:dyDescent="0.25">
      <c r="A879" s="19">
        <v>904</v>
      </c>
      <c r="B879" s="19" t="s">
        <v>11523</v>
      </c>
      <c r="C879" s="19" t="s">
        <v>11522</v>
      </c>
      <c r="D879" s="45"/>
      <c r="E879" s="19"/>
      <c r="F879" s="19"/>
    </row>
    <row r="880" spans="1:6" x14ac:dyDescent="0.25">
      <c r="A880" s="19">
        <v>905</v>
      </c>
      <c r="B880" s="19" t="s">
        <v>12230</v>
      </c>
      <c r="C880" s="19" t="s">
        <v>12229</v>
      </c>
      <c r="D880" s="45"/>
      <c r="E880" s="19"/>
      <c r="F880" s="19"/>
    </row>
    <row r="881" spans="1:6" x14ac:dyDescent="0.25">
      <c r="A881" s="19">
        <v>906</v>
      </c>
      <c r="B881" s="19" t="s">
        <v>11810</v>
      </c>
      <c r="C881" s="19" t="s">
        <v>12200</v>
      </c>
      <c r="D881" s="45"/>
      <c r="E881" s="19"/>
      <c r="F881" s="19"/>
    </row>
    <row r="882" spans="1:6" x14ac:dyDescent="0.25">
      <c r="A882" s="19">
        <v>907</v>
      </c>
      <c r="B882" s="19" t="s">
        <v>11811</v>
      </c>
      <c r="C882" s="19" t="s">
        <v>12201</v>
      </c>
      <c r="D882" s="45"/>
      <c r="E882" s="19"/>
      <c r="F882" s="19"/>
    </row>
    <row r="883" spans="1:6" x14ac:dyDescent="0.25">
      <c r="A883" s="19">
        <v>908</v>
      </c>
      <c r="B883" s="19" t="s">
        <v>12207</v>
      </c>
      <c r="C883" s="19" t="s">
        <v>12206</v>
      </c>
      <c r="D883" s="45"/>
      <c r="E883" s="19"/>
      <c r="F883" s="19"/>
    </row>
    <row r="884" spans="1:6" x14ac:dyDescent="0.25">
      <c r="A884" s="19">
        <v>909</v>
      </c>
      <c r="B884" s="19" t="s">
        <v>12244</v>
      </c>
      <c r="C884" s="19" t="s">
        <v>12243</v>
      </c>
      <c r="D884" s="45"/>
      <c r="E884" s="19"/>
      <c r="F884" s="19"/>
    </row>
    <row r="885" spans="1:6" x14ac:dyDescent="0.25">
      <c r="A885" s="19">
        <v>910</v>
      </c>
      <c r="B885" s="19" t="s">
        <v>12212</v>
      </c>
      <c r="C885" s="19" t="s">
        <v>12211</v>
      </c>
      <c r="D885" s="45"/>
      <c r="E885" s="19"/>
      <c r="F885" s="19"/>
    </row>
    <row r="886" spans="1:6" x14ac:dyDescent="0.25">
      <c r="A886" s="19">
        <v>911</v>
      </c>
      <c r="B886" s="19" t="s">
        <v>12123</v>
      </c>
      <c r="C886" s="19" t="s">
        <v>12208</v>
      </c>
      <c r="D886" s="45"/>
      <c r="E886" s="19"/>
      <c r="F886" s="19"/>
    </row>
    <row r="887" spans="1:6" x14ac:dyDescent="0.25">
      <c r="A887" s="19">
        <v>912</v>
      </c>
      <c r="B887" s="19" t="s">
        <v>12210</v>
      </c>
      <c r="C887" s="19" t="s">
        <v>12209</v>
      </c>
      <c r="D887" s="45"/>
      <c r="E887" s="19"/>
      <c r="F887" s="19"/>
    </row>
    <row r="888" spans="1:6" x14ac:dyDescent="0.25">
      <c r="A888" s="19">
        <v>913</v>
      </c>
      <c r="B888" s="19" t="s">
        <v>12232</v>
      </c>
      <c r="C888" s="19" t="s">
        <v>12231</v>
      </c>
      <c r="D888" s="45"/>
      <c r="E888" s="19"/>
      <c r="F888" s="19"/>
    </row>
    <row r="889" spans="1:6" x14ac:dyDescent="0.25">
      <c r="A889" s="19">
        <v>914</v>
      </c>
      <c r="B889" s="19" t="s">
        <v>12213</v>
      </c>
      <c r="C889" s="19" t="s">
        <v>11426</v>
      </c>
      <c r="D889" s="45"/>
      <c r="E889" s="19"/>
      <c r="F889" s="19"/>
    </row>
    <row r="890" spans="1:6" x14ac:dyDescent="0.25">
      <c r="A890" s="19">
        <v>915</v>
      </c>
      <c r="B890" s="19" t="s">
        <v>12215</v>
      </c>
      <c r="C890" s="19" t="s">
        <v>12214</v>
      </c>
      <c r="D890" s="45"/>
      <c r="E890" s="19"/>
      <c r="F890" s="19"/>
    </row>
    <row r="891" spans="1:6" x14ac:dyDescent="0.25">
      <c r="A891" s="19">
        <v>916</v>
      </c>
      <c r="B891" s="19" t="s">
        <v>12217</v>
      </c>
      <c r="C891" s="19" t="s">
        <v>12216</v>
      </c>
      <c r="D891" s="45"/>
      <c r="E891" s="19"/>
      <c r="F891" s="19"/>
    </row>
    <row r="892" spans="1:6" x14ac:dyDescent="0.25">
      <c r="A892" s="19">
        <v>917</v>
      </c>
      <c r="B892" s="19" t="s">
        <v>12248</v>
      </c>
      <c r="C892" s="19" t="s">
        <v>12247</v>
      </c>
      <c r="D892" s="45"/>
      <c r="E892" s="19"/>
      <c r="F892" s="19"/>
    </row>
    <row r="893" spans="1:6" x14ac:dyDescent="0.25">
      <c r="A893" s="19">
        <v>918</v>
      </c>
      <c r="B893" s="19" t="s">
        <v>12121</v>
      </c>
      <c r="C893" s="19" t="s">
        <v>12249</v>
      </c>
      <c r="D893" s="45"/>
      <c r="E893" s="19"/>
      <c r="F893" s="19"/>
    </row>
    <row r="894" spans="1:6" x14ac:dyDescent="0.25">
      <c r="A894" s="19">
        <v>919</v>
      </c>
      <c r="B894" s="19" t="s">
        <v>12219</v>
      </c>
      <c r="C894" s="19" t="s">
        <v>12218</v>
      </c>
      <c r="D894" s="45"/>
      <c r="E894" s="19"/>
      <c r="F894" s="19"/>
    </row>
    <row r="895" spans="1:6" x14ac:dyDescent="0.25">
      <c r="A895" s="19">
        <v>920</v>
      </c>
      <c r="B895" s="19" t="s">
        <v>12234</v>
      </c>
      <c r="C895" s="19" t="s">
        <v>12233</v>
      </c>
      <c r="D895" s="45"/>
      <c r="E895" s="19"/>
      <c r="F895" s="19"/>
    </row>
    <row r="896" spans="1:6" x14ac:dyDescent="0.25">
      <c r="A896" s="19">
        <v>921</v>
      </c>
      <c r="B896" s="19" t="s">
        <v>12251</v>
      </c>
      <c r="C896" s="19" t="s">
        <v>12250</v>
      </c>
      <c r="D896" s="45"/>
      <c r="E896" s="19"/>
      <c r="F896" s="19"/>
    </row>
    <row r="897" spans="1:6" x14ac:dyDescent="0.25">
      <c r="A897" s="19">
        <v>922</v>
      </c>
      <c r="B897" s="19" t="s">
        <v>12236</v>
      </c>
      <c r="C897" s="19" t="s">
        <v>12235</v>
      </c>
      <c r="D897" s="45"/>
      <c r="E897" s="19"/>
      <c r="F897" s="19"/>
    </row>
    <row r="898" spans="1:6" x14ac:dyDescent="0.25">
      <c r="A898" s="19">
        <v>923</v>
      </c>
      <c r="B898" s="19" t="s">
        <v>12238</v>
      </c>
      <c r="C898" s="19" t="s">
        <v>12237</v>
      </c>
      <c r="D898" s="45"/>
      <c r="E898" s="19"/>
      <c r="F898" s="19"/>
    </row>
    <row r="899" spans="1:6" x14ac:dyDescent="0.25">
      <c r="A899" s="19">
        <v>924</v>
      </c>
      <c r="B899" s="19" t="s">
        <v>12246</v>
      </c>
      <c r="C899" s="19" t="s">
        <v>12245</v>
      </c>
      <c r="D899" s="45"/>
      <c r="E899" s="19"/>
      <c r="F899" s="19"/>
    </row>
    <row r="900" spans="1:6" x14ac:dyDescent="0.25">
      <c r="A900" s="19">
        <v>925</v>
      </c>
      <c r="B900" s="19" t="s">
        <v>12240</v>
      </c>
      <c r="C900" s="19" t="s">
        <v>12239</v>
      </c>
      <c r="D900" s="45"/>
      <c r="E900" s="19"/>
      <c r="F900" s="19"/>
    </row>
    <row r="901" spans="1:6" x14ac:dyDescent="0.25">
      <c r="A901" s="19">
        <v>926</v>
      </c>
      <c r="B901" s="19" t="s">
        <v>12253</v>
      </c>
      <c r="C901" s="19" t="s">
        <v>12252</v>
      </c>
      <c r="D901" s="45"/>
      <c r="E901" s="19"/>
      <c r="F901" s="19"/>
    </row>
    <row r="902" spans="1:6" x14ac:dyDescent="0.25">
      <c r="A902" s="19">
        <v>927</v>
      </c>
      <c r="B902" s="19" t="s">
        <v>12122</v>
      </c>
      <c r="C902" s="19" t="s">
        <v>12228</v>
      </c>
      <c r="D902" s="45"/>
      <c r="E902" s="19"/>
      <c r="F902" s="19"/>
    </row>
    <row r="903" spans="1:6" x14ac:dyDescent="0.25">
      <c r="A903" s="19">
        <v>928</v>
      </c>
      <c r="B903" s="19" t="s">
        <v>12221</v>
      </c>
      <c r="C903" s="19" t="s">
        <v>12220</v>
      </c>
      <c r="D903" s="45"/>
      <c r="E903" s="19"/>
      <c r="F903" s="19"/>
    </row>
    <row r="904" spans="1:6" x14ac:dyDescent="0.25">
      <c r="A904" s="19">
        <v>929</v>
      </c>
      <c r="B904" s="19" t="s">
        <v>12223</v>
      </c>
      <c r="C904" s="19" t="s">
        <v>12222</v>
      </c>
      <c r="D904" s="45"/>
      <c r="E904" s="19"/>
      <c r="F904" s="19"/>
    </row>
    <row r="905" spans="1:6" x14ac:dyDescent="0.25">
      <c r="A905" s="19">
        <v>930</v>
      </c>
      <c r="B905" s="19" t="s">
        <v>12242</v>
      </c>
      <c r="C905" s="19" t="s">
        <v>12241</v>
      </c>
      <c r="D905" s="45"/>
      <c r="E905" s="19"/>
      <c r="F905" s="19"/>
    </row>
    <row r="906" spans="1:6" x14ac:dyDescent="0.25">
      <c r="A906" s="19">
        <v>931</v>
      </c>
      <c r="B906" s="19" t="s">
        <v>12255</v>
      </c>
      <c r="C906" s="19" t="s">
        <v>12254</v>
      </c>
      <c r="D906" s="45"/>
      <c r="E906" s="19"/>
      <c r="F906" s="19"/>
    </row>
    <row r="907" spans="1:6" x14ac:dyDescent="0.25">
      <c r="A907" s="19">
        <v>932</v>
      </c>
      <c r="B907" s="19" t="s">
        <v>12225</v>
      </c>
      <c r="C907" s="19" t="s">
        <v>12224</v>
      </c>
      <c r="D907" s="45"/>
      <c r="E907" s="19"/>
      <c r="F907" s="19"/>
    </row>
    <row r="908" spans="1:6" x14ac:dyDescent="0.25">
      <c r="A908" s="19">
        <v>933</v>
      </c>
      <c r="B908" s="19" t="s">
        <v>12227</v>
      </c>
      <c r="C908" s="19" t="s">
        <v>12226</v>
      </c>
      <c r="D908" s="45"/>
      <c r="E908" s="19"/>
      <c r="F908" s="19"/>
    </row>
    <row r="909" spans="1:6" x14ac:dyDescent="0.25">
      <c r="A909" s="19">
        <v>934</v>
      </c>
      <c r="B909" s="19" t="s">
        <v>12257</v>
      </c>
      <c r="C909" s="19" t="s">
        <v>12256</v>
      </c>
      <c r="D909" s="45"/>
      <c r="E909" s="19"/>
      <c r="F909" s="19"/>
    </row>
    <row r="910" spans="1:6" x14ac:dyDescent="0.25">
      <c r="A910" s="19">
        <v>935</v>
      </c>
      <c r="B910" s="19" t="s">
        <v>12259</v>
      </c>
      <c r="C910" s="19" t="s">
        <v>12258</v>
      </c>
      <c r="D910" s="45"/>
      <c r="E910" s="19"/>
      <c r="F910" s="19"/>
    </row>
    <row r="911" spans="1:6" x14ac:dyDescent="0.25">
      <c r="A911" s="19">
        <v>936</v>
      </c>
      <c r="B911" s="19" t="s">
        <v>12261</v>
      </c>
      <c r="C911" s="19" t="s">
        <v>12260</v>
      </c>
      <c r="D911" s="45"/>
      <c r="E911" s="19"/>
      <c r="F911" s="19"/>
    </row>
    <row r="912" spans="1:6" x14ac:dyDescent="0.25">
      <c r="A912" s="19">
        <v>937</v>
      </c>
      <c r="B912" s="19" t="s">
        <v>12203</v>
      </c>
      <c r="C912" s="19" t="s">
        <v>12202</v>
      </c>
      <c r="D912" s="45"/>
      <c r="E912" s="19"/>
      <c r="F912" s="19"/>
    </row>
    <row r="913" spans="1:6" x14ac:dyDescent="0.25">
      <c r="A913" s="19">
        <v>938</v>
      </c>
      <c r="B913" s="19" t="s">
        <v>12205</v>
      </c>
      <c r="C913" s="19" t="s">
        <v>12204</v>
      </c>
      <c r="D913" s="45"/>
      <c r="E913" s="19"/>
      <c r="F913" s="19"/>
    </row>
    <row r="914" spans="1:6" x14ac:dyDescent="0.25">
      <c r="A914" s="19">
        <v>939</v>
      </c>
      <c r="B914" s="19" t="s">
        <v>12263</v>
      </c>
      <c r="C914" s="19" t="s">
        <v>12262</v>
      </c>
      <c r="D914" s="45"/>
      <c r="E914" s="19"/>
      <c r="F914" s="19"/>
    </row>
    <row r="915" spans="1:6" x14ac:dyDescent="0.25">
      <c r="A915" s="19">
        <v>940</v>
      </c>
      <c r="B915" s="19" t="s">
        <v>12265</v>
      </c>
      <c r="C915" s="19" t="s">
        <v>12264</v>
      </c>
      <c r="D915" s="45"/>
      <c r="E915" s="19"/>
      <c r="F915" s="19"/>
    </row>
    <row r="916" spans="1:6" x14ac:dyDescent="0.25">
      <c r="A916" s="19">
        <v>941</v>
      </c>
      <c r="B916" s="19" t="s">
        <v>12267</v>
      </c>
      <c r="C916" s="19" t="s">
        <v>12266</v>
      </c>
      <c r="D916" s="45"/>
      <c r="E916" s="19"/>
      <c r="F916" s="19"/>
    </row>
    <row r="917" spans="1:6" x14ac:dyDescent="0.25">
      <c r="A917" s="19">
        <v>942</v>
      </c>
      <c r="B917" s="19" t="s">
        <v>12269</v>
      </c>
      <c r="C917" s="19" t="s">
        <v>12268</v>
      </c>
      <c r="D917" s="45"/>
      <c r="E917" s="19"/>
      <c r="F917" s="19"/>
    </row>
    <row r="918" spans="1:6" x14ac:dyDescent="0.25">
      <c r="A918" s="19">
        <v>943</v>
      </c>
      <c r="B918" s="19" t="s">
        <v>12271</v>
      </c>
      <c r="C918" s="19" t="s">
        <v>12270</v>
      </c>
      <c r="D918" s="45"/>
      <c r="E918" s="19"/>
      <c r="F918" s="19"/>
    </row>
    <row r="919" spans="1:6" x14ac:dyDescent="0.25">
      <c r="A919" s="19">
        <v>944</v>
      </c>
      <c r="B919" s="19" t="s">
        <v>12273</v>
      </c>
      <c r="C919" s="19" t="s">
        <v>12272</v>
      </c>
      <c r="D919" s="45"/>
      <c r="E919" s="19"/>
      <c r="F919" s="19"/>
    </row>
    <row r="920" spans="1:6" x14ac:dyDescent="0.25">
      <c r="A920" s="19">
        <v>945</v>
      </c>
      <c r="B920" s="19" t="s">
        <v>12275</v>
      </c>
      <c r="C920" s="19" t="s">
        <v>12274</v>
      </c>
      <c r="D920" s="45"/>
      <c r="E920" s="19"/>
      <c r="F920" s="19"/>
    </row>
    <row r="921" spans="1:6" x14ac:dyDescent="0.25">
      <c r="A921" s="19">
        <v>946</v>
      </c>
      <c r="B921" s="19" t="s">
        <v>12277</v>
      </c>
      <c r="C921" s="19" t="s">
        <v>12276</v>
      </c>
      <c r="D921" s="45"/>
      <c r="E921" s="19"/>
      <c r="F921" s="19"/>
    </row>
    <row r="922" spans="1:6" x14ac:dyDescent="0.25">
      <c r="A922" s="19">
        <v>947</v>
      </c>
      <c r="B922" s="19" t="s">
        <v>12279</v>
      </c>
      <c r="C922" s="19" t="s">
        <v>12278</v>
      </c>
      <c r="D922" s="45"/>
      <c r="E922" s="19"/>
      <c r="F922" s="19"/>
    </row>
    <row r="923" spans="1:6" x14ac:dyDescent="0.25">
      <c r="A923" s="19">
        <v>948</v>
      </c>
      <c r="B923" s="19" t="s">
        <v>12281</v>
      </c>
      <c r="C923" s="19" t="s">
        <v>12280</v>
      </c>
      <c r="D923" s="45"/>
      <c r="E923" s="19"/>
      <c r="F923" s="19"/>
    </row>
    <row r="924" spans="1:6" x14ac:dyDescent="0.25">
      <c r="A924" s="19">
        <v>949</v>
      </c>
      <c r="B924" s="19" t="s">
        <v>12283</v>
      </c>
      <c r="C924" s="19" t="s">
        <v>12282</v>
      </c>
      <c r="D924" s="45"/>
      <c r="E924" s="19"/>
      <c r="F924" s="19"/>
    </row>
    <row r="925" spans="1:6" x14ac:dyDescent="0.25">
      <c r="A925" s="19">
        <v>950</v>
      </c>
      <c r="B925" s="19" t="s">
        <v>12285</v>
      </c>
      <c r="C925" s="19" t="s">
        <v>12284</v>
      </c>
      <c r="D925" s="45"/>
      <c r="E925" s="19"/>
      <c r="F925" s="19"/>
    </row>
    <row r="926" spans="1:6" x14ac:dyDescent="0.25">
      <c r="A926" s="19">
        <v>954</v>
      </c>
      <c r="B926" s="19" t="s">
        <v>12476</v>
      </c>
      <c r="C926" s="19" t="s">
        <v>12475</v>
      </c>
      <c r="D926" s="45"/>
      <c r="E926" s="19"/>
      <c r="F926" s="19"/>
    </row>
    <row r="927" spans="1:6" x14ac:dyDescent="0.25">
      <c r="A927" s="19">
        <v>955</v>
      </c>
      <c r="B927" s="19" t="s">
        <v>12478</v>
      </c>
      <c r="C927" s="19" t="s">
        <v>12477</v>
      </c>
      <c r="D927" s="45"/>
      <c r="E927" s="19"/>
      <c r="F927" s="19"/>
    </row>
    <row r="928" spans="1:6" x14ac:dyDescent="0.25">
      <c r="A928" s="19">
        <v>956</v>
      </c>
      <c r="B928" s="19" t="s">
        <v>12480</v>
      </c>
      <c r="C928" s="19" t="s">
        <v>12479</v>
      </c>
      <c r="D928" s="45"/>
      <c r="E928" s="19"/>
      <c r="F928" s="19"/>
    </row>
    <row r="929" spans="1:6" x14ac:dyDescent="0.25">
      <c r="A929" s="19">
        <v>957</v>
      </c>
      <c r="B929" s="19" t="s">
        <v>12482</v>
      </c>
      <c r="C929" s="19" t="s">
        <v>12481</v>
      </c>
      <c r="D929" s="45"/>
      <c r="E929" s="19"/>
      <c r="F929" s="19"/>
    </row>
    <row r="930" spans="1:6" x14ac:dyDescent="0.25">
      <c r="A930" s="19">
        <v>958</v>
      </c>
      <c r="B930" s="19" t="s">
        <v>12484</v>
      </c>
      <c r="C930" s="19" t="s">
        <v>12483</v>
      </c>
      <c r="D930" s="45"/>
      <c r="E930" s="19"/>
      <c r="F930" s="19"/>
    </row>
    <row r="931" spans="1:6" x14ac:dyDescent="0.25">
      <c r="A931" s="19">
        <v>959</v>
      </c>
      <c r="B931" s="19" t="s">
        <v>12486</v>
      </c>
      <c r="C931" s="19" t="s">
        <v>12485</v>
      </c>
      <c r="D931" s="45"/>
      <c r="E931" s="19"/>
      <c r="F931" s="19"/>
    </row>
    <row r="932" spans="1:6" x14ac:dyDescent="0.25">
      <c r="A932" s="19">
        <v>960</v>
      </c>
      <c r="B932" s="19" t="s">
        <v>12488</v>
      </c>
      <c r="C932" s="19" t="s">
        <v>12487</v>
      </c>
      <c r="D932" s="45"/>
      <c r="E932" s="19"/>
      <c r="F932" s="19"/>
    </row>
    <row r="933" spans="1:6" x14ac:dyDescent="0.25">
      <c r="A933" s="19">
        <v>961</v>
      </c>
      <c r="B933" s="19" t="s">
        <v>12490</v>
      </c>
      <c r="C933" s="19" t="s">
        <v>12489</v>
      </c>
      <c r="D933" s="45"/>
      <c r="E933" s="19"/>
      <c r="F933" s="19"/>
    </row>
    <row r="934" spans="1:6" x14ac:dyDescent="0.25">
      <c r="A934" s="19">
        <v>962</v>
      </c>
      <c r="B934" s="19" t="s">
        <v>12492</v>
      </c>
      <c r="C934" s="19" t="s">
        <v>12491</v>
      </c>
      <c r="D934" s="45"/>
      <c r="E934" s="19"/>
      <c r="F934" s="19"/>
    </row>
    <row r="935" spans="1:6" x14ac:dyDescent="0.25">
      <c r="A935" s="19">
        <v>963</v>
      </c>
      <c r="B935" s="19" t="s">
        <v>12494</v>
      </c>
      <c r="C935" s="19" t="s">
        <v>12493</v>
      </c>
      <c r="D935" s="45"/>
      <c r="E935" s="19"/>
      <c r="F935" s="19"/>
    </row>
    <row r="936" spans="1:6" x14ac:dyDescent="0.25">
      <c r="A936" s="19">
        <v>964</v>
      </c>
      <c r="B936" s="19" t="s">
        <v>12496</v>
      </c>
      <c r="C936" s="19" t="s">
        <v>12495</v>
      </c>
      <c r="D936" s="45"/>
      <c r="E936" s="19"/>
      <c r="F936" s="19"/>
    </row>
    <row r="937" spans="1:6" x14ac:dyDescent="0.25">
      <c r="A937" s="19">
        <v>965</v>
      </c>
      <c r="B937" s="19" t="s">
        <v>12498</v>
      </c>
      <c r="C937" s="19" t="s">
        <v>12497</v>
      </c>
      <c r="D937" s="45"/>
      <c r="E937" s="19"/>
      <c r="F937" s="19"/>
    </row>
    <row r="938" spans="1:6" x14ac:dyDescent="0.25">
      <c r="A938" s="19">
        <v>966</v>
      </c>
      <c r="B938" s="19" t="s">
        <v>12500</v>
      </c>
      <c r="C938" s="19" t="s">
        <v>12499</v>
      </c>
      <c r="D938" s="45"/>
      <c r="E938" s="19"/>
      <c r="F938" s="19"/>
    </row>
    <row r="939" spans="1:6" x14ac:dyDescent="0.25">
      <c r="A939" s="19">
        <v>967</v>
      </c>
      <c r="B939" s="19" t="s">
        <v>12502</v>
      </c>
      <c r="C939" s="19" t="s">
        <v>12501</v>
      </c>
      <c r="D939" s="45"/>
      <c r="E939" s="19"/>
      <c r="F939" s="19"/>
    </row>
    <row r="940" spans="1:6" x14ac:dyDescent="0.25">
      <c r="A940" s="19">
        <v>968</v>
      </c>
      <c r="B940" s="19" t="s">
        <v>12504</v>
      </c>
      <c r="C940" s="19" t="s">
        <v>12503</v>
      </c>
      <c r="D940" s="45"/>
      <c r="E940" s="19"/>
      <c r="F940" s="19"/>
    </row>
    <row r="941" spans="1:6" x14ac:dyDescent="0.25">
      <c r="A941" s="19">
        <v>969</v>
      </c>
      <c r="B941" s="19" t="s">
        <v>12506</v>
      </c>
      <c r="C941" s="19" t="s">
        <v>12505</v>
      </c>
      <c r="D941" s="45"/>
      <c r="E941" s="19"/>
      <c r="F941" s="19"/>
    </row>
    <row r="942" spans="1:6" x14ac:dyDescent="0.25">
      <c r="A942" s="19">
        <v>970</v>
      </c>
      <c r="B942" s="19" t="s">
        <v>12508</v>
      </c>
      <c r="C942" s="19" t="s">
        <v>12507</v>
      </c>
      <c r="D942" s="45"/>
      <c r="E942" s="19"/>
      <c r="F942" s="19"/>
    </row>
    <row r="943" spans="1:6" x14ac:dyDescent="0.25">
      <c r="A943" s="19">
        <v>971</v>
      </c>
      <c r="B943" s="19" t="s">
        <v>12562</v>
      </c>
      <c r="C943" s="19" t="s">
        <v>12571</v>
      </c>
      <c r="D943" s="45"/>
      <c r="E943" s="19"/>
      <c r="F943" s="19"/>
    </row>
    <row r="944" spans="1:6" x14ac:dyDescent="0.25">
      <c r="A944" s="19">
        <v>972</v>
      </c>
      <c r="B944" s="19" t="s">
        <v>12563</v>
      </c>
      <c r="C944" s="19" t="s">
        <v>12572</v>
      </c>
      <c r="D944" s="45"/>
      <c r="E944" s="19"/>
      <c r="F944" s="19"/>
    </row>
    <row r="945" spans="1:6" x14ac:dyDescent="0.25">
      <c r="A945" s="19">
        <v>973</v>
      </c>
      <c r="B945" s="19" t="s">
        <v>12564</v>
      </c>
      <c r="C945" s="19" t="s">
        <v>12573</v>
      </c>
      <c r="D945" s="45"/>
      <c r="E945" s="19"/>
      <c r="F945" s="19"/>
    </row>
    <row r="946" spans="1:6" x14ac:dyDescent="0.25">
      <c r="A946" s="19">
        <v>974</v>
      </c>
      <c r="B946" s="19" t="s">
        <v>12565</v>
      </c>
      <c r="C946" s="19" t="s">
        <v>12574</v>
      </c>
      <c r="D946" s="45"/>
      <c r="E946" s="19"/>
      <c r="F946" s="19"/>
    </row>
    <row r="947" spans="1:6" x14ac:dyDescent="0.25">
      <c r="A947" s="19">
        <v>975</v>
      </c>
      <c r="B947" s="19" t="s">
        <v>12566</v>
      </c>
      <c r="C947" s="19" t="s">
        <v>12575</v>
      </c>
      <c r="D947" s="45"/>
      <c r="E947" s="19"/>
      <c r="F947" s="19"/>
    </row>
    <row r="948" spans="1:6" x14ac:dyDescent="0.25">
      <c r="A948" s="19"/>
      <c r="B948" s="19"/>
      <c r="C948" s="19"/>
      <c r="D948" s="45"/>
      <c r="E948" s="19"/>
      <c r="F948" s="19"/>
    </row>
    <row r="949" spans="1:6" x14ac:dyDescent="0.25">
      <c r="A949" s="19">
        <v>977</v>
      </c>
      <c r="B949" s="19" t="s">
        <v>12796</v>
      </c>
      <c r="C949" s="19" t="s">
        <v>12795</v>
      </c>
      <c r="D949" s="45">
        <v>1</v>
      </c>
      <c r="E949" s="19"/>
      <c r="F949" s="19"/>
    </row>
    <row r="950" spans="1:6" x14ac:dyDescent="0.25">
      <c r="A950" s="19">
        <v>978</v>
      </c>
      <c r="B950" s="19" t="s">
        <v>12798</v>
      </c>
      <c r="C950" s="19" t="s">
        <v>12797</v>
      </c>
      <c r="D950" s="45">
        <v>1</v>
      </c>
      <c r="E950" s="19"/>
      <c r="F950" s="19"/>
    </row>
    <row r="951" spans="1:6" x14ac:dyDescent="0.25">
      <c r="A951" s="19">
        <v>979</v>
      </c>
      <c r="B951" s="19" t="s">
        <v>12800</v>
      </c>
      <c r="C951" s="19" t="s">
        <v>12799</v>
      </c>
      <c r="D951" s="45">
        <v>1</v>
      </c>
      <c r="E951" s="19"/>
      <c r="F951" s="19"/>
    </row>
    <row r="952" spans="1:6" x14ac:dyDescent="0.25">
      <c r="A952" s="19">
        <v>980</v>
      </c>
      <c r="B952" s="19" t="s">
        <v>12802</v>
      </c>
      <c r="C952" s="19" t="s">
        <v>12801</v>
      </c>
      <c r="D952" s="45">
        <v>1</v>
      </c>
      <c r="E952" s="19"/>
      <c r="F952" s="19"/>
    </row>
    <row r="953" spans="1:6" x14ac:dyDescent="0.25">
      <c r="A953" s="19">
        <v>981</v>
      </c>
      <c r="B953" s="19" t="s">
        <v>12804</v>
      </c>
      <c r="C953" s="19" t="s">
        <v>12803</v>
      </c>
      <c r="D953" s="45">
        <v>1</v>
      </c>
      <c r="E953" s="19"/>
      <c r="F953" s="19"/>
    </row>
    <row r="954" spans="1:6" x14ac:dyDescent="0.25">
      <c r="A954" s="19">
        <v>982</v>
      </c>
      <c r="B954" s="19" t="s">
        <v>12806</v>
      </c>
      <c r="C954" s="19" t="s">
        <v>12805</v>
      </c>
      <c r="D954" s="45">
        <v>1</v>
      </c>
      <c r="E954" s="19"/>
      <c r="F954" s="19"/>
    </row>
    <row r="955" spans="1:6" x14ac:dyDescent="0.25">
      <c r="A955" s="19">
        <v>984</v>
      </c>
      <c r="B955" s="19" t="s">
        <v>12808</v>
      </c>
      <c r="C955" s="19" t="s">
        <v>12807</v>
      </c>
      <c r="D955" s="45">
        <v>1</v>
      </c>
      <c r="E955" s="19"/>
      <c r="F955" s="19"/>
    </row>
    <row r="956" spans="1:6" x14ac:dyDescent="0.25">
      <c r="A956" s="19">
        <v>985</v>
      </c>
      <c r="B956" s="19" t="s">
        <v>12810</v>
      </c>
      <c r="C956" s="19" t="s">
        <v>12809</v>
      </c>
      <c r="D956" s="45">
        <v>1</v>
      </c>
      <c r="E956" s="19"/>
      <c r="F956" s="19"/>
    </row>
    <row r="957" spans="1:6" x14ac:dyDescent="0.25">
      <c r="A957" s="19">
        <v>986</v>
      </c>
      <c r="B957" s="19" t="s">
        <v>12812</v>
      </c>
      <c r="C957" s="19" t="s">
        <v>12811</v>
      </c>
      <c r="D957" s="45">
        <v>1</v>
      </c>
      <c r="E957" s="19"/>
      <c r="F957" s="19"/>
    </row>
    <row r="958" spans="1:6" x14ac:dyDescent="0.25">
      <c r="A958" s="19">
        <v>987</v>
      </c>
      <c r="B958" s="19" t="s">
        <v>12814</v>
      </c>
      <c r="C958" s="19" t="s">
        <v>12813</v>
      </c>
      <c r="D958" s="45">
        <v>1</v>
      </c>
      <c r="E958" s="19"/>
      <c r="F958" s="19"/>
    </row>
    <row r="959" spans="1:6" x14ac:dyDescent="0.25">
      <c r="A959" s="19">
        <v>989</v>
      </c>
      <c r="B959" s="19" t="s">
        <v>12817</v>
      </c>
      <c r="C959" s="19" t="s">
        <v>12816</v>
      </c>
      <c r="D959" s="45">
        <v>1</v>
      </c>
      <c r="E959" s="19"/>
      <c r="F959" s="19"/>
    </row>
    <row r="960" spans="1:6" x14ac:dyDescent="0.25">
      <c r="A960" s="19">
        <v>990</v>
      </c>
      <c r="B960" s="19" t="s">
        <v>12819</v>
      </c>
      <c r="C960" s="19" t="s">
        <v>12818</v>
      </c>
      <c r="D960" s="45">
        <v>1</v>
      </c>
      <c r="E960" s="19"/>
      <c r="F960" s="19"/>
    </row>
    <row r="961" spans="1:6" x14ac:dyDescent="0.25">
      <c r="A961" s="19">
        <v>991</v>
      </c>
      <c r="B961" s="19" t="s">
        <v>12821</v>
      </c>
      <c r="C961" s="19" t="s">
        <v>12820</v>
      </c>
      <c r="D961" s="45">
        <v>1</v>
      </c>
      <c r="E961" s="19"/>
      <c r="F961" s="19"/>
    </row>
    <row r="962" spans="1:6" x14ac:dyDescent="0.25">
      <c r="A962" s="19">
        <v>992</v>
      </c>
      <c r="B962" s="19" t="s">
        <v>12822</v>
      </c>
      <c r="C962" s="19" t="s">
        <v>11441</v>
      </c>
      <c r="D962" s="45">
        <v>1</v>
      </c>
      <c r="E962" s="19"/>
      <c r="F962" s="19"/>
    </row>
    <row r="963" spans="1:6" x14ac:dyDescent="0.25">
      <c r="A963" s="19">
        <v>993</v>
      </c>
      <c r="B963" s="19" t="s">
        <v>12824</v>
      </c>
      <c r="C963" s="19" t="s">
        <v>12823</v>
      </c>
      <c r="D963" s="45">
        <v>1</v>
      </c>
      <c r="E963" s="19"/>
      <c r="F963" s="19"/>
    </row>
    <row r="964" spans="1:6" x14ac:dyDescent="0.25">
      <c r="A964" s="19">
        <v>994</v>
      </c>
      <c r="B964" s="19" t="s">
        <v>12826</v>
      </c>
      <c r="C964" s="19" t="s">
        <v>12825</v>
      </c>
      <c r="D964" s="45">
        <v>1</v>
      </c>
      <c r="E964" s="19"/>
      <c r="F964" s="19"/>
    </row>
    <row r="965" spans="1:6" x14ac:dyDescent="0.25">
      <c r="A965" s="19">
        <v>995</v>
      </c>
      <c r="B965" s="19" t="s">
        <v>12828</v>
      </c>
      <c r="C965" s="19" t="s">
        <v>12827</v>
      </c>
      <c r="D965" s="45">
        <v>1</v>
      </c>
      <c r="E965" s="19"/>
      <c r="F965" s="19"/>
    </row>
    <row r="966" spans="1:6" x14ac:dyDescent="0.25">
      <c r="A966" s="19">
        <v>996</v>
      </c>
      <c r="B966" s="19" t="s">
        <v>13424</v>
      </c>
      <c r="C966" s="19" t="s">
        <v>13423</v>
      </c>
      <c r="D966" s="45">
        <v>1</v>
      </c>
      <c r="E966" s="19"/>
      <c r="F966" s="19"/>
    </row>
    <row r="967" spans="1:6" x14ac:dyDescent="0.25">
      <c r="A967" s="19">
        <v>997</v>
      </c>
      <c r="B967" s="19" t="s">
        <v>13426</v>
      </c>
      <c r="C967" s="19" t="s">
        <v>13425</v>
      </c>
      <c r="D967" s="45">
        <v>1</v>
      </c>
      <c r="E967" s="19"/>
      <c r="F967" s="19"/>
    </row>
    <row r="968" spans="1:6" x14ac:dyDescent="0.25">
      <c r="A968" s="19">
        <v>998</v>
      </c>
      <c r="B968" s="19" t="s">
        <v>13428</v>
      </c>
      <c r="C968" s="19" t="s">
        <v>13427</v>
      </c>
      <c r="D968" s="45">
        <v>1</v>
      </c>
      <c r="E968" s="19"/>
      <c r="F968" s="19"/>
    </row>
    <row r="969" spans="1:6" x14ac:dyDescent="0.25">
      <c r="A969" s="19">
        <v>999</v>
      </c>
      <c r="B969" s="19" t="s">
        <v>13430</v>
      </c>
      <c r="C969" s="19" t="s">
        <v>13429</v>
      </c>
      <c r="D969" s="45">
        <v>1</v>
      </c>
      <c r="E969" s="19"/>
      <c r="F969" s="19"/>
    </row>
    <row r="970" spans="1:6" x14ac:dyDescent="0.25">
      <c r="A970" s="19">
        <v>1000</v>
      </c>
      <c r="B970" s="19" t="s">
        <v>13432</v>
      </c>
      <c r="C970" s="19" t="s">
        <v>13431</v>
      </c>
      <c r="D970" s="45">
        <v>1</v>
      </c>
      <c r="E970" s="19"/>
      <c r="F970" s="19"/>
    </row>
    <row r="971" spans="1:6" x14ac:dyDescent="0.25">
      <c r="A971" s="19">
        <v>1001</v>
      </c>
      <c r="B971" s="19" t="s">
        <v>13434</v>
      </c>
      <c r="C971" s="19" t="s">
        <v>13433</v>
      </c>
      <c r="D971" s="45">
        <v>1</v>
      </c>
      <c r="E971" s="19"/>
      <c r="F971" s="19"/>
    </row>
    <row r="972" spans="1:6" x14ac:dyDescent="0.25">
      <c r="A972" s="19">
        <v>1002</v>
      </c>
      <c r="B972" s="19" t="s">
        <v>13436</v>
      </c>
      <c r="C972" s="19" t="s">
        <v>13435</v>
      </c>
      <c r="D972" s="45">
        <v>1</v>
      </c>
      <c r="E972" s="19"/>
      <c r="F972" s="19"/>
    </row>
    <row r="973" spans="1:6" x14ac:dyDescent="0.25">
      <c r="A973" s="19">
        <v>1003</v>
      </c>
      <c r="B973" s="19" t="s">
        <v>13438</v>
      </c>
      <c r="C973" s="19" t="s">
        <v>13437</v>
      </c>
      <c r="D973" s="45">
        <v>1</v>
      </c>
      <c r="E973" s="19"/>
      <c r="F973" s="19"/>
    </row>
    <row r="974" spans="1:6" x14ac:dyDescent="0.25">
      <c r="A974" s="19">
        <v>1004</v>
      </c>
      <c r="B974" s="19" t="s">
        <v>13512</v>
      </c>
      <c r="C974" s="19" t="s">
        <v>13439</v>
      </c>
      <c r="D974" s="45">
        <v>1</v>
      </c>
      <c r="E974" s="19"/>
      <c r="F974" s="19"/>
    </row>
    <row r="975" spans="1:6" x14ac:dyDescent="0.25">
      <c r="A975" s="19">
        <v>1005</v>
      </c>
      <c r="B975" s="19" t="s">
        <v>13441</v>
      </c>
      <c r="C975" s="19" t="s">
        <v>13440</v>
      </c>
      <c r="D975" s="45">
        <v>1</v>
      </c>
      <c r="E975" s="19"/>
      <c r="F975" s="19"/>
    </row>
    <row r="976" spans="1:6" x14ac:dyDescent="0.25">
      <c r="A976" s="19">
        <v>1006</v>
      </c>
      <c r="B976" s="19" t="s">
        <v>13443</v>
      </c>
      <c r="C976" s="19" t="s">
        <v>13442</v>
      </c>
      <c r="D976" s="45">
        <v>1</v>
      </c>
      <c r="E976" s="19"/>
      <c r="F976" s="19"/>
    </row>
    <row r="977" spans="1:6" x14ac:dyDescent="0.25">
      <c r="A977" s="19">
        <v>1007</v>
      </c>
      <c r="B977" s="19" t="s">
        <v>13445</v>
      </c>
      <c r="C977" s="19" t="s">
        <v>13444</v>
      </c>
      <c r="D977" s="45">
        <v>1</v>
      </c>
      <c r="E977" s="19"/>
      <c r="F977" s="19"/>
    </row>
    <row r="978" spans="1:6" x14ac:dyDescent="0.25">
      <c r="A978" s="19">
        <v>1008</v>
      </c>
      <c r="B978" s="19" t="s">
        <v>13447</v>
      </c>
      <c r="C978" s="19" t="s">
        <v>13446</v>
      </c>
      <c r="D978" s="45">
        <v>1</v>
      </c>
      <c r="E978" s="19"/>
      <c r="F978" s="19"/>
    </row>
    <row r="979" spans="1:6" x14ac:dyDescent="0.25">
      <c r="A979" s="19">
        <v>1011</v>
      </c>
      <c r="B979" s="19" t="s">
        <v>13449</v>
      </c>
      <c r="C979" s="19" t="s">
        <v>13448</v>
      </c>
      <c r="D979" s="45">
        <v>1</v>
      </c>
      <c r="E979" s="19"/>
      <c r="F979" s="19"/>
    </row>
    <row r="980" spans="1:6" x14ac:dyDescent="0.25">
      <c r="A980" s="19">
        <v>1012</v>
      </c>
      <c r="B980" s="19" t="s">
        <v>13451</v>
      </c>
      <c r="C980" s="19" t="s">
        <v>13450</v>
      </c>
      <c r="D980" s="45">
        <v>1</v>
      </c>
      <c r="E980" s="19"/>
      <c r="F980" s="19"/>
    </row>
    <row r="981" spans="1:6" x14ac:dyDescent="0.25">
      <c r="A981" s="19">
        <v>1013</v>
      </c>
      <c r="B981" s="19" t="s">
        <v>13486</v>
      </c>
      <c r="C981" s="19" t="s">
        <v>13485</v>
      </c>
      <c r="D981" s="45">
        <v>1</v>
      </c>
      <c r="E981" s="19"/>
      <c r="F981" s="19"/>
    </row>
    <row r="982" spans="1:6" x14ac:dyDescent="0.25">
      <c r="A982" s="19">
        <v>1014</v>
      </c>
      <c r="B982" s="19" t="s">
        <v>13453</v>
      </c>
      <c r="C982" s="19" t="s">
        <v>13452</v>
      </c>
      <c r="D982" s="45">
        <v>1</v>
      </c>
      <c r="E982" s="19"/>
      <c r="F982" s="19"/>
    </row>
    <row r="983" spans="1:6" x14ac:dyDescent="0.25">
      <c r="A983" s="19">
        <v>1015</v>
      </c>
      <c r="B983" s="19" t="s">
        <v>13455</v>
      </c>
      <c r="C983" s="19" t="s">
        <v>13454</v>
      </c>
      <c r="D983" s="45">
        <v>1</v>
      </c>
      <c r="E983" s="19"/>
      <c r="F983" s="19"/>
    </row>
    <row r="984" spans="1:6" x14ac:dyDescent="0.25">
      <c r="A984" s="19">
        <v>1016</v>
      </c>
      <c r="B984" s="19" t="s">
        <v>13457</v>
      </c>
      <c r="C984" s="19" t="s">
        <v>13456</v>
      </c>
      <c r="D984" s="45">
        <v>1</v>
      </c>
      <c r="E984" s="19"/>
      <c r="F984" s="19"/>
    </row>
    <row r="985" spans="1:6" x14ac:dyDescent="0.25">
      <c r="A985" s="19">
        <v>1017</v>
      </c>
      <c r="B985" s="19" t="s">
        <v>13459</v>
      </c>
      <c r="C985" s="19" t="s">
        <v>13458</v>
      </c>
      <c r="D985" s="45">
        <v>1</v>
      </c>
      <c r="E985" s="19"/>
      <c r="F985" s="19"/>
    </row>
    <row r="986" spans="1:6" x14ac:dyDescent="0.25">
      <c r="A986" s="19">
        <v>1018</v>
      </c>
      <c r="B986" s="19" t="s">
        <v>13461</v>
      </c>
      <c r="C986" s="19" t="s">
        <v>13460</v>
      </c>
      <c r="D986" s="45">
        <v>1</v>
      </c>
      <c r="E986" s="19"/>
      <c r="F986" s="19"/>
    </row>
    <row r="987" spans="1:6" x14ac:dyDescent="0.25">
      <c r="A987" s="19">
        <v>1019</v>
      </c>
      <c r="B987" s="19" t="s">
        <v>13463</v>
      </c>
      <c r="C987" s="19" t="s">
        <v>13462</v>
      </c>
      <c r="D987" s="45">
        <v>1</v>
      </c>
      <c r="E987" s="19"/>
      <c r="F987" s="19"/>
    </row>
    <row r="988" spans="1:6" x14ac:dyDescent="0.25">
      <c r="A988" s="19">
        <v>1020</v>
      </c>
      <c r="B988" s="19" t="s">
        <v>13465</v>
      </c>
      <c r="C988" s="19" t="s">
        <v>13464</v>
      </c>
      <c r="D988" s="45">
        <v>1</v>
      </c>
      <c r="E988" s="19"/>
      <c r="F988" s="19"/>
    </row>
    <row r="989" spans="1:6" x14ac:dyDescent="0.25">
      <c r="A989" s="19">
        <v>1021</v>
      </c>
      <c r="B989" s="19" t="s">
        <v>13513</v>
      </c>
      <c r="C989" s="19" t="s">
        <v>13466</v>
      </c>
      <c r="D989" s="45">
        <v>1</v>
      </c>
      <c r="E989" s="19"/>
      <c r="F989" s="19"/>
    </row>
    <row r="990" spans="1:6" x14ac:dyDescent="0.25">
      <c r="A990" s="19">
        <v>1022</v>
      </c>
      <c r="B990" s="19" t="s">
        <v>13468</v>
      </c>
      <c r="C990" s="19" t="s">
        <v>13467</v>
      </c>
      <c r="D990" s="45">
        <v>1</v>
      </c>
      <c r="E990" s="19"/>
      <c r="F990" s="19"/>
    </row>
    <row r="991" spans="1:6" x14ac:dyDescent="0.25">
      <c r="A991" s="19">
        <v>1023</v>
      </c>
      <c r="B991" s="19" t="s">
        <v>13470</v>
      </c>
      <c r="C991" s="19" t="s">
        <v>13469</v>
      </c>
      <c r="D991" s="45">
        <v>1</v>
      </c>
      <c r="E991" s="19"/>
      <c r="F991" s="19"/>
    </row>
    <row r="992" spans="1:6" x14ac:dyDescent="0.25">
      <c r="A992" s="19">
        <v>1024</v>
      </c>
      <c r="B992" s="19" t="s">
        <v>13472</v>
      </c>
      <c r="C992" s="19" t="s">
        <v>13471</v>
      </c>
      <c r="D992" s="45">
        <v>1</v>
      </c>
      <c r="E992" s="19"/>
      <c r="F992" s="19"/>
    </row>
    <row r="993" spans="1:6" x14ac:dyDescent="0.25">
      <c r="A993" s="19">
        <v>1025</v>
      </c>
      <c r="B993" s="19" t="s">
        <v>13474</v>
      </c>
      <c r="C993" s="19" t="s">
        <v>13473</v>
      </c>
      <c r="D993" s="45">
        <v>1</v>
      </c>
      <c r="E993" s="19"/>
      <c r="F993" s="19"/>
    </row>
    <row r="994" spans="1:6" x14ac:dyDescent="0.25">
      <c r="A994" s="19">
        <v>1026</v>
      </c>
      <c r="B994" s="19" t="s">
        <v>13514</v>
      </c>
      <c r="C994" s="19" t="s">
        <v>13475</v>
      </c>
      <c r="D994" s="45">
        <v>1</v>
      </c>
      <c r="E994" s="19"/>
      <c r="F994" s="19"/>
    </row>
    <row r="995" spans="1:6" x14ac:dyDescent="0.25">
      <c r="A995" s="19">
        <v>1027</v>
      </c>
      <c r="B995" s="19" t="s">
        <v>13477</v>
      </c>
      <c r="C995" s="19" t="s">
        <v>13476</v>
      </c>
      <c r="D995" s="45">
        <v>1</v>
      </c>
      <c r="E995" s="19"/>
      <c r="F995" s="19"/>
    </row>
    <row r="996" spans="1:6" x14ac:dyDescent="0.25">
      <c r="A996" s="19">
        <v>1028</v>
      </c>
      <c r="B996" s="19" t="s">
        <v>13300</v>
      </c>
      <c r="C996" s="19" t="s">
        <v>13478</v>
      </c>
      <c r="D996" s="45">
        <v>1</v>
      </c>
      <c r="E996" s="19"/>
      <c r="F996" s="19"/>
    </row>
    <row r="997" spans="1:6" x14ac:dyDescent="0.25">
      <c r="A997" s="19">
        <v>1029</v>
      </c>
      <c r="B997" s="19" t="s">
        <v>13480</v>
      </c>
      <c r="C997" s="19" t="s">
        <v>13479</v>
      </c>
      <c r="D997" s="45">
        <v>1</v>
      </c>
      <c r="E997" s="19"/>
      <c r="F997" s="19"/>
    </row>
    <row r="998" spans="1:6" x14ac:dyDescent="0.25">
      <c r="A998" s="19">
        <v>1030</v>
      </c>
      <c r="B998" s="19" t="s">
        <v>13482</v>
      </c>
      <c r="C998" s="19" t="s">
        <v>13481</v>
      </c>
      <c r="D998" s="45">
        <v>1</v>
      </c>
      <c r="E998" s="19"/>
      <c r="F998" s="19"/>
    </row>
    <row r="999" spans="1:6" x14ac:dyDescent="0.25">
      <c r="A999" s="19">
        <v>1031</v>
      </c>
      <c r="B999" s="19" t="s">
        <v>13484</v>
      </c>
      <c r="C999" s="19" t="s">
        <v>13483</v>
      </c>
      <c r="D999" s="45">
        <v>1</v>
      </c>
      <c r="E999" s="19"/>
      <c r="F999" s="19"/>
    </row>
    <row r="1000" spans="1:6" x14ac:dyDescent="0.25">
      <c r="A1000" s="19">
        <v>1033</v>
      </c>
      <c r="B1000" s="19" t="s">
        <v>13488</v>
      </c>
      <c r="C1000" s="19" t="s">
        <v>13487</v>
      </c>
      <c r="D1000" s="45">
        <v>1</v>
      </c>
      <c r="E1000" s="19"/>
      <c r="F1000" s="19"/>
    </row>
    <row r="1001" spans="1:6" x14ac:dyDescent="0.25">
      <c r="A1001" s="19">
        <v>1034</v>
      </c>
      <c r="B1001" s="19" t="s">
        <v>13490</v>
      </c>
      <c r="C1001" s="19" t="s">
        <v>13489</v>
      </c>
      <c r="D1001" s="45">
        <v>1</v>
      </c>
      <c r="E1001" s="19"/>
      <c r="F1001" s="19"/>
    </row>
    <row r="1002" spans="1:6" x14ac:dyDescent="0.25">
      <c r="A1002" s="19">
        <v>1035</v>
      </c>
      <c r="B1002" s="19" t="s">
        <v>13492</v>
      </c>
      <c r="C1002" s="19" t="s">
        <v>13491</v>
      </c>
      <c r="D1002" s="45">
        <v>1</v>
      </c>
      <c r="E1002" s="19"/>
      <c r="F1002" s="19"/>
    </row>
    <row r="1003" spans="1:6" x14ac:dyDescent="0.25">
      <c r="A1003" s="19">
        <v>1036</v>
      </c>
      <c r="B1003" s="19" t="s">
        <v>13494</v>
      </c>
      <c r="C1003" s="19" t="s">
        <v>13493</v>
      </c>
      <c r="D1003" s="45">
        <v>1</v>
      </c>
      <c r="E1003" s="19"/>
      <c r="F1003" s="19"/>
    </row>
    <row r="1004" spans="1:6" x14ac:dyDescent="0.25">
      <c r="A1004" s="19">
        <v>1037</v>
      </c>
      <c r="B1004" s="19" t="s">
        <v>13506</v>
      </c>
      <c r="C1004" s="19" t="s">
        <v>13505</v>
      </c>
      <c r="D1004" s="45">
        <v>1</v>
      </c>
      <c r="E1004" s="19"/>
      <c r="F1004" s="19"/>
    </row>
    <row r="1005" spans="1:6" x14ac:dyDescent="0.25">
      <c r="A1005" s="19">
        <v>1038</v>
      </c>
      <c r="B1005" s="19" t="s">
        <v>13496</v>
      </c>
      <c r="C1005" s="19" t="s">
        <v>13495</v>
      </c>
      <c r="D1005" s="45">
        <v>1</v>
      </c>
      <c r="E1005" s="19"/>
      <c r="F1005" s="19"/>
    </row>
    <row r="1006" spans="1:6" x14ac:dyDescent="0.25">
      <c r="A1006" s="19">
        <v>1039</v>
      </c>
      <c r="B1006" s="19" t="s">
        <v>13498</v>
      </c>
      <c r="C1006" s="19" t="s">
        <v>13497</v>
      </c>
      <c r="D1006" s="45">
        <v>1</v>
      </c>
      <c r="E1006" s="19"/>
      <c r="F1006" s="19"/>
    </row>
    <row r="1007" spans="1:6" x14ac:dyDescent="0.25">
      <c r="A1007" s="19">
        <v>1040</v>
      </c>
      <c r="B1007" s="19" t="s">
        <v>13500</v>
      </c>
      <c r="C1007" s="19" t="s">
        <v>13499</v>
      </c>
      <c r="D1007" s="45">
        <v>1</v>
      </c>
      <c r="E1007" s="19"/>
      <c r="F1007" s="19"/>
    </row>
    <row r="1008" spans="1:6" x14ac:dyDescent="0.25">
      <c r="A1008" s="19">
        <v>1041</v>
      </c>
      <c r="B1008" s="19" t="s">
        <v>13502</v>
      </c>
      <c r="C1008" s="19" t="s">
        <v>13501</v>
      </c>
      <c r="D1008" s="45">
        <v>1</v>
      </c>
      <c r="E1008" s="19"/>
      <c r="F1008" s="19"/>
    </row>
    <row r="1009" spans="1:6" x14ac:dyDescent="0.25">
      <c r="A1009" s="19">
        <v>1042</v>
      </c>
      <c r="B1009" s="19" t="s">
        <v>13504</v>
      </c>
      <c r="C1009" s="19" t="s">
        <v>13503</v>
      </c>
      <c r="D1009" s="45">
        <v>1</v>
      </c>
      <c r="E1009" s="19"/>
      <c r="F1009" s="19"/>
    </row>
    <row r="1010" spans="1:6" x14ac:dyDescent="0.25">
      <c r="A1010" s="19">
        <v>1043</v>
      </c>
      <c r="B1010" s="19" t="s">
        <v>13515</v>
      </c>
      <c r="C1010" s="19" t="s">
        <v>13516</v>
      </c>
      <c r="D1010" s="45">
        <v>1</v>
      </c>
      <c r="E1010" s="19"/>
      <c r="F1010" s="19"/>
    </row>
    <row r="1011" spans="1:6" x14ac:dyDescent="0.25">
      <c r="A1011" s="19">
        <v>1044</v>
      </c>
      <c r="B1011" s="19" t="s">
        <v>13508</v>
      </c>
      <c r="C1011" s="19" t="s">
        <v>13507</v>
      </c>
      <c r="D1011" s="45">
        <v>1</v>
      </c>
      <c r="E1011" s="19"/>
      <c r="F1011" s="19"/>
    </row>
    <row r="1012" spans="1:6" x14ac:dyDescent="0.25">
      <c r="A1012" s="19">
        <v>1045</v>
      </c>
      <c r="B1012" s="19" t="s">
        <v>13510</v>
      </c>
      <c r="C1012" s="19" t="s">
        <v>13509</v>
      </c>
      <c r="D1012" s="45">
        <v>1</v>
      </c>
      <c r="E1012" s="19"/>
      <c r="F1012" s="19"/>
    </row>
    <row r="1013" spans="1:6" x14ac:dyDescent="0.25">
      <c r="A1013" s="19">
        <v>583</v>
      </c>
      <c r="B1013" s="19" t="s">
        <v>3859</v>
      </c>
      <c r="C1013" s="19" t="s">
        <v>3315</v>
      </c>
      <c r="D1013" s="45">
        <v>1</v>
      </c>
      <c r="E1013" s="19"/>
      <c r="F1013" s="19"/>
    </row>
    <row r="1014" spans="1:6" x14ac:dyDescent="0.25">
      <c r="A1014" s="19" t="s">
        <v>13889</v>
      </c>
      <c r="B1014" s="19" t="s">
        <v>10913</v>
      </c>
      <c r="C1014" s="19" t="s">
        <v>10913</v>
      </c>
      <c r="D1014" s="45">
        <v>50</v>
      </c>
      <c r="E1014" s="19"/>
      <c r="F1014" s="19"/>
    </row>
    <row r="1015" spans="1:6" x14ac:dyDescent="0.25">
      <c r="A1015" s="19" t="s">
        <v>13889</v>
      </c>
      <c r="B1015" s="19" t="s">
        <v>7739</v>
      </c>
      <c r="C1015" s="19" t="s">
        <v>7739</v>
      </c>
      <c r="D1015" s="45">
        <v>50</v>
      </c>
      <c r="E1015" s="19"/>
      <c r="F1015" s="19"/>
    </row>
    <row r="1016" spans="1:6" x14ac:dyDescent="0.25">
      <c r="A1016" s="19">
        <v>19</v>
      </c>
      <c r="B1016" s="19" t="s">
        <v>2236</v>
      </c>
      <c r="C1016" s="19" t="s">
        <v>13890</v>
      </c>
      <c r="D1016" s="45">
        <v>16</v>
      </c>
      <c r="E1016" s="19"/>
      <c r="F1016" s="19"/>
    </row>
    <row r="1017" spans="1:6" x14ac:dyDescent="0.25">
      <c r="A1017" s="19" t="s">
        <v>13889</v>
      </c>
      <c r="B1017" s="19" t="s">
        <v>2369</v>
      </c>
      <c r="C1017" s="19" t="s">
        <v>2369</v>
      </c>
      <c r="D1017" s="45">
        <v>50</v>
      </c>
      <c r="E1017" s="19"/>
      <c r="F1017" s="19"/>
    </row>
    <row r="1018" spans="1:6" x14ac:dyDescent="0.25">
      <c r="A1018" s="19">
        <v>112</v>
      </c>
      <c r="B1018" s="19" t="s">
        <v>2412</v>
      </c>
      <c r="C1018" s="19" t="s">
        <v>2412</v>
      </c>
      <c r="D1018" s="45">
        <v>1</v>
      </c>
      <c r="E1018" s="19"/>
      <c r="F1018" s="19"/>
    </row>
    <row r="1019" spans="1:6" x14ac:dyDescent="0.25">
      <c r="A1019" s="19" t="s">
        <v>13889</v>
      </c>
      <c r="B1019" s="19" t="s">
        <v>13889</v>
      </c>
      <c r="C1019" s="19" t="s">
        <v>13889</v>
      </c>
      <c r="D1019" s="45">
        <v>50</v>
      </c>
      <c r="E1019" s="19"/>
      <c r="F1019" s="19"/>
    </row>
    <row r="1020" spans="1:6" x14ac:dyDescent="0.25">
      <c r="A1020" s="19">
        <v>1046</v>
      </c>
      <c r="B1020" s="19" t="s">
        <v>13585</v>
      </c>
      <c r="C1020" s="19" t="s">
        <v>13586</v>
      </c>
      <c r="D1020" s="45">
        <v>1</v>
      </c>
      <c r="E1020" s="19"/>
      <c r="F1020" s="19"/>
    </row>
    <row r="1021" spans="1:6" x14ac:dyDescent="0.25">
      <c r="A1021" s="19">
        <v>1047</v>
      </c>
      <c r="B1021" s="19" t="s">
        <v>13587</v>
      </c>
      <c r="C1021" s="19" t="s">
        <v>13588</v>
      </c>
      <c r="D1021" s="45">
        <v>1</v>
      </c>
      <c r="E1021" s="19"/>
      <c r="F1021" s="19"/>
    </row>
    <row r="1022" spans="1:6" x14ac:dyDescent="0.25">
      <c r="A1022" s="19">
        <v>1048</v>
      </c>
      <c r="B1022" s="19" t="s">
        <v>13589</v>
      </c>
      <c r="C1022" s="19" t="s">
        <v>13590</v>
      </c>
      <c r="D1022" s="45">
        <v>1</v>
      </c>
      <c r="E1022" s="19"/>
      <c r="F1022" s="19"/>
    </row>
    <row r="1023" spans="1:6" x14ac:dyDescent="0.25">
      <c r="A1023" s="19">
        <v>1049</v>
      </c>
      <c r="B1023" s="19" t="s">
        <v>13591</v>
      </c>
      <c r="C1023" s="19" t="s">
        <v>13592</v>
      </c>
      <c r="D1023" s="45">
        <v>1</v>
      </c>
      <c r="E1023" s="19"/>
      <c r="F1023" s="19"/>
    </row>
    <row r="1024" spans="1:6" x14ac:dyDescent="0.25">
      <c r="A1024" s="19">
        <v>1050</v>
      </c>
      <c r="B1024" s="19" t="s">
        <v>13593</v>
      </c>
      <c r="C1024" s="19" t="s">
        <v>13594</v>
      </c>
      <c r="D1024" s="45">
        <v>1</v>
      </c>
      <c r="E1024" s="19"/>
      <c r="F1024" s="19"/>
    </row>
    <row r="1025" spans="1:6" x14ac:dyDescent="0.25">
      <c r="A1025" s="19">
        <v>1051</v>
      </c>
      <c r="B1025" s="19" t="s">
        <v>13595</v>
      </c>
      <c r="C1025" s="19" t="s">
        <v>13596</v>
      </c>
      <c r="D1025" s="45">
        <v>1</v>
      </c>
      <c r="E1025" s="19"/>
      <c r="F1025" s="19"/>
    </row>
    <row r="1026" spans="1:6" x14ac:dyDescent="0.25">
      <c r="A1026" s="19">
        <v>1052</v>
      </c>
      <c r="B1026" s="19" t="s">
        <v>13597</v>
      </c>
      <c r="C1026" s="19" t="s">
        <v>13598</v>
      </c>
      <c r="D1026" s="45">
        <v>1</v>
      </c>
      <c r="E1026" s="19"/>
      <c r="F1026" s="19"/>
    </row>
    <row r="1027" spans="1:6" x14ac:dyDescent="0.25">
      <c r="A1027" s="19">
        <v>1053</v>
      </c>
      <c r="B1027" s="19" t="s">
        <v>13599</v>
      </c>
      <c r="C1027" s="19" t="s">
        <v>13600</v>
      </c>
      <c r="D1027" s="45">
        <v>1</v>
      </c>
      <c r="E1027" s="19"/>
      <c r="F1027" s="19"/>
    </row>
    <row r="1028" spans="1:6" x14ac:dyDescent="0.25">
      <c r="A1028" s="19">
        <v>1056</v>
      </c>
      <c r="B1028" s="19" t="s">
        <v>13601</v>
      </c>
      <c r="C1028" s="19" t="s">
        <v>13602</v>
      </c>
      <c r="D1028" s="45">
        <v>1</v>
      </c>
      <c r="E1028" s="19"/>
      <c r="F1028" s="19"/>
    </row>
    <row r="1029" spans="1:6" x14ac:dyDescent="0.25">
      <c r="A1029" s="19">
        <v>1057</v>
      </c>
      <c r="B1029" s="19" t="s">
        <v>13603</v>
      </c>
      <c r="C1029" s="19" t="s">
        <v>13604</v>
      </c>
      <c r="D1029" s="45">
        <v>1</v>
      </c>
      <c r="E1029" s="19"/>
      <c r="F1029" s="19"/>
    </row>
    <row r="1030" spans="1:6" x14ac:dyDescent="0.25">
      <c r="A1030" s="19">
        <v>1058</v>
      </c>
      <c r="B1030" s="19" t="s">
        <v>13605</v>
      </c>
      <c r="C1030" s="19" t="s">
        <v>13606</v>
      </c>
      <c r="D1030" s="45">
        <v>1</v>
      </c>
      <c r="E1030" s="19"/>
      <c r="F1030" s="19"/>
    </row>
    <row r="1031" spans="1:6" x14ac:dyDescent="0.25">
      <c r="A1031" s="19">
        <v>1059</v>
      </c>
      <c r="B1031" s="19" t="s">
        <v>13607</v>
      </c>
      <c r="C1031" s="19" t="s">
        <v>13608</v>
      </c>
      <c r="D1031" s="45">
        <v>1</v>
      </c>
      <c r="E1031" s="19"/>
      <c r="F1031" s="19"/>
    </row>
    <row r="1032" spans="1:6" x14ac:dyDescent="0.25">
      <c r="A1032" s="19">
        <v>1060</v>
      </c>
      <c r="B1032" s="19" t="s">
        <v>13609</v>
      </c>
      <c r="C1032" s="19" t="s">
        <v>13610</v>
      </c>
      <c r="D1032" s="45">
        <v>1</v>
      </c>
      <c r="E1032" s="19"/>
      <c r="F1032" s="19"/>
    </row>
    <row r="1033" spans="1:6" x14ac:dyDescent="0.25">
      <c r="A1033" s="19">
        <v>1061</v>
      </c>
      <c r="B1033" s="19" t="s">
        <v>13611</v>
      </c>
      <c r="C1033" s="19" t="s">
        <v>13612</v>
      </c>
      <c r="D1033" s="45">
        <v>1</v>
      </c>
      <c r="E1033" s="19"/>
      <c r="F1033" s="19"/>
    </row>
    <row r="1034" spans="1:6" x14ac:dyDescent="0.25">
      <c r="A1034" s="19">
        <v>1062</v>
      </c>
      <c r="B1034" s="19" t="s">
        <v>13613</v>
      </c>
      <c r="C1034" s="19" t="s">
        <v>13614</v>
      </c>
      <c r="D1034" s="45">
        <v>1</v>
      </c>
      <c r="E1034" s="19"/>
      <c r="F1034" s="19"/>
    </row>
    <row r="1035" spans="1:6" x14ac:dyDescent="0.25">
      <c r="A1035" s="19">
        <v>1064</v>
      </c>
      <c r="B1035" s="19" t="s">
        <v>13615</v>
      </c>
      <c r="C1035" s="19" t="s">
        <v>13616</v>
      </c>
      <c r="D1035" s="45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5" sqref="C5"/>
    </sheetView>
  </sheetViews>
  <sheetFormatPr defaultColWidth="28.42578125" defaultRowHeight="15" x14ac:dyDescent="0.25"/>
  <cols>
    <col min="3" max="3" width="28.42578125" style="50"/>
    <col min="4" max="6" width="28.42578125" style="18"/>
  </cols>
  <sheetData>
    <row r="1" spans="1:6" x14ac:dyDescent="0.25">
      <c r="A1" s="8" t="s">
        <v>3865</v>
      </c>
      <c r="B1" s="9"/>
      <c r="C1" s="47"/>
      <c r="D1" s="10"/>
      <c r="E1" s="11"/>
    </row>
    <row r="2" spans="1:6" ht="15.75" thickBot="1" x14ac:dyDescent="0.3">
      <c r="A2" s="12" t="s">
        <v>3866</v>
      </c>
      <c r="B2" s="13"/>
      <c r="C2" s="48"/>
      <c r="D2" s="14"/>
      <c r="E2" s="11"/>
    </row>
    <row r="3" spans="1:6" x14ac:dyDescent="0.25">
      <c r="A3" s="15" t="s">
        <v>3867</v>
      </c>
      <c r="B3" s="15" t="s">
        <v>3845</v>
      </c>
      <c r="C3" s="49" t="s">
        <v>13891</v>
      </c>
      <c r="D3" s="16" t="s">
        <v>13892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50">
        <v>357</v>
      </c>
      <c r="D4" s="52">
        <v>200</v>
      </c>
      <c r="E4" s="18">
        <v>0</v>
      </c>
      <c r="F4" s="18">
        <v>72686</v>
      </c>
    </row>
    <row r="5" spans="1:6" x14ac:dyDescent="0.25">
      <c r="A5" t="s">
        <v>13893</v>
      </c>
      <c r="B5" t="s">
        <v>2992</v>
      </c>
      <c r="C5" s="50">
        <v>417</v>
      </c>
      <c r="D5" s="52">
        <v>125</v>
      </c>
      <c r="E5" s="18">
        <v>0</v>
      </c>
      <c r="F5" s="18">
        <v>72686</v>
      </c>
    </row>
    <row r="6" spans="1:6" x14ac:dyDescent="0.25">
      <c r="A6" t="s">
        <v>2706</v>
      </c>
      <c r="B6" t="s">
        <v>2705</v>
      </c>
      <c r="C6" s="50">
        <v>269</v>
      </c>
      <c r="D6" s="52">
        <v>125</v>
      </c>
      <c r="E6" s="18">
        <v>0</v>
      </c>
      <c r="F6" s="18">
        <v>72686</v>
      </c>
    </row>
    <row r="7" spans="1:6" x14ac:dyDescent="0.25">
      <c r="A7" t="s">
        <v>13894</v>
      </c>
      <c r="B7" t="s">
        <v>2869</v>
      </c>
      <c r="C7" s="50">
        <v>355</v>
      </c>
      <c r="D7" s="52">
        <v>125</v>
      </c>
      <c r="E7" s="18">
        <v>0</v>
      </c>
      <c r="F7" s="18">
        <v>72686</v>
      </c>
    </row>
    <row r="8" spans="1:6" x14ac:dyDescent="0.25">
      <c r="A8" t="s">
        <v>13442</v>
      </c>
      <c r="B8" t="s">
        <v>13443</v>
      </c>
      <c r="C8" s="50">
        <v>1006</v>
      </c>
      <c r="D8" s="52">
        <v>100</v>
      </c>
      <c r="E8" s="18">
        <v>41647</v>
      </c>
      <c r="F8" s="18">
        <v>72686</v>
      </c>
    </row>
    <row r="9" spans="1:6" x14ac:dyDescent="0.25">
      <c r="A9" t="s">
        <v>13895</v>
      </c>
      <c r="B9" t="s">
        <v>3469</v>
      </c>
      <c r="C9" s="50">
        <v>664</v>
      </c>
      <c r="D9" s="52">
        <v>125</v>
      </c>
      <c r="E9" s="18">
        <v>41895</v>
      </c>
      <c r="F9" s="18">
        <v>72686</v>
      </c>
    </row>
    <row r="10" spans="1:6" x14ac:dyDescent="0.25">
      <c r="A10" t="s">
        <v>13896</v>
      </c>
      <c r="B10" t="s">
        <v>3593</v>
      </c>
      <c r="C10" s="50">
        <v>728</v>
      </c>
      <c r="D10" s="52">
        <v>100</v>
      </c>
      <c r="E10" s="18">
        <v>41921</v>
      </c>
      <c r="F10" s="18">
        <v>72686</v>
      </c>
    </row>
    <row r="11" spans="1:6" x14ac:dyDescent="0.25">
      <c r="A11" t="s">
        <v>3567</v>
      </c>
      <c r="B11" t="s">
        <v>3566</v>
      </c>
      <c r="C11" s="50">
        <v>714</v>
      </c>
      <c r="D11" s="52">
        <v>125</v>
      </c>
      <c r="E11" s="18">
        <v>41921</v>
      </c>
      <c r="F11" s="18">
        <v>72686</v>
      </c>
    </row>
    <row r="12" spans="1:6" x14ac:dyDescent="0.25">
      <c r="A12" t="s">
        <v>2847</v>
      </c>
      <c r="B12" t="s">
        <v>2846</v>
      </c>
      <c r="C12" s="50">
        <v>343</v>
      </c>
      <c r="D12" s="52">
        <v>100</v>
      </c>
      <c r="E12" s="18">
        <v>41983</v>
      </c>
      <c r="F12" s="18">
        <v>72686</v>
      </c>
    </row>
    <row r="13" spans="1:6" x14ac:dyDescent="0.25">
      <c r="A13" t="s">
        <v>13897</v>
      </c>
      <c r="B13" t="s">
        <v>2553</v>
      </c>
      <c r="C13" s="50">
        <v>185</v>
      </c>
      <c r="D13" s="52">
        <v>100</v>
      </c>
      <c r="E13" s="18">
        <v>41967</v>
      </c>
      <c r="F13" s="18">
        <v>72686</v>
      </c>
    </row>
    <row r="14" spans="1:6" x14ac:dyDescent="0.25">
      <c r="A14" t="s">
        <v>3588</v>
      </c>
      <c r="B14" t="s">
        <v>3587</v>
      </c>
      <c r="C14" s="50">
        <v>725</v>
      </c>
      <c r="D14" s="52">
        <v>100</v>
      </c>
      <c r="E14" s="18">
        <v>41921</v>
      </c>
      <c r="F14" s="18">
        <v>42006</v>
      </c>
    </row>
    <row r="15" spans="1:6" x14ac:dyDescent="0.25">
      <c r="A15" t="s">
        <v>3737</v>
      </c>
      <c r="B15" t="s">
        <v>3736</v>
      </c>
      <c r="C15" s="50">
        <v>802</v>
      </c>
      <c r="D15" s="52">
        <v>100</v>
      </c>
      <c r="E15" s="18">
        <v>41947</v>
      </c>
      <c r="F15" s="18">
        <v>72686</v>
      </c>
    </row>
    <row r="16" spans="1:6" x14ac:dyDescent="0.25">
      <c r="A16" t="s">
        <v>13898</v>
      </c>
      <c r="B16" t="s">
        <v>3002</v>
      </c>
      <c r="C16" s="50">
        <v>422</v>
      </c>
      <c r="D16" s="52">
        <v>125</v>
      </c>
      <c r="E16" s="18">
        <v>41937</v>
      </c>
      <c r="F16" s="18">
        <v>72686</v>
      </c>
    </row>
    <row r="17" spans="1:6" x14ac:dyDescent="0.25">
      <c r="A17" t="s">
        <v>3015</v>
      </c>
      <c r="B17" t="s">
        <v>3014</v>
      </c>
      <c r="C17" s="50">
        <v>428</v>
      </c>
      <c r="D17" s="52">
        <v>125</v>
      </c>
      <c r="E17" s="18">
        <v>41937</v>
      </c>
      <c r="F17" s="18">
        <v>72686</v>
      </c>
    </row>
    <row r="18" spans="1:6" x14ac:dyDescent="0.25">
      <c r="A18" t="s">
        <v>3569</v>
      </c>
      <c r="B18" t="s">
        <v>3568</v>
      </c>
      <c r="C18" s="50">
        <v>715</v>
      </c>
      <c r="D18" s="52">
        <v>100</v>
      </c>
      <c r="E18" s="18">
        <v>41918</v>
      </c>
      <c r="F18" s="18">
        <v>72686</v>
      </c>
    </row>
    <row r="19" spans="1:6" x14ac:dyDescent="0.25">
      <c r="A19" t="s">
        <v>13899</v>
      </c>
      <c r="B19" t="s">
        <v>3696</v>
      </c>
      <c r="C19" s="50">
        <v>782</v>
      </c>
      <c r="D19" s="52">
        <v>125</v>
      </c>
      <c r="E19" s="18">
        <v>41922</v>
      </c>
      <c r="F19" s="18">
        <v>42016</v>
      </c>
    </row>
    <row r="20" spans="1:6" x14ac:dyDescent="0.25">
      <c r="A20" t="s">
        <v>3683</v>
      </c>
      <c r="B20" t="s">
        <v>3682</v>
      </c>
      <c r="C20" s="50">
        <v>775</v>
      </c>
      <c r="D20" s="52">
        <v>100</v>
      </c>
      <c r="E20" s="18">
        <v>41939</v>
      </c>
      <c r="F20" s="18">
        <v>72686</v>
      </c>
    </row>
    <row r="21" spans="1:6" x14ac:dyDescent="0.25">
      <c r="A21" t="s">
        <v>13900</v>
      </c>
      <c r="B21" t="s">
        <v>3554</v>
      </c>
      <c r="C21" s="50">
        <v>707</v>
      </c>
      <c r="D21" s="52">
        <v>100</v>
      </c>
      <c r="E21" s="18">
        <v>41920</v>
      </c>
      <c r="F21" s="18">
        <v>72686</v>
      </c>
    </row>
    <row r="22" spans="1:6" x14ac:dyDescent="0.25">
      <c r="A22" t="s">
        <v>3635</v>
      </c>
      <c r="B22" t="s">
        <v>3634</v>
      </c>
      <c r="C22" s="50">
        <v>750</v>
      </c>
      <c r="D22" s="52">
        <v>125</v>
      </c>
      <c r="E22" s="18">
        <v>41933</v>
      </c>
      <c r="F22" s="18">
        <v>72686</v>
      </c>
    </row>
    <row r="23" spans="1:6" x14ac:dyDescent="0.25">
      <c r="A23" t="s">
        <v>13901</v>
      </c>
      <c r="B23" t="s">
        <v>3312</v>
      </c>
      <c r="C23" s="50">
        <v>582</v>
      </c>
      <c r="D23" s="52">
        <v>100</v>
      </c>
      <c r="E23" s="18">
        <v>41852</v>
      </c>
      <c r="F23" s="18">
        <v>72686</v>
      </c>
    </row>
    <row r="24" spans="1:6" x14ac:dyDescent="0.25">
      <c r="A24" t="s">
        <v>3413</v>
      </c>
      <c r="B24" t="s">
        <v>3412</v>
      </c>
      <c r="C24" s="50">
        <v>635</v>
      </c>
      <c r="D24" s="52">
        <v>100</v>
      </c>
      <c r="E24" s="18">
        <v>41881</v>
      </c>
      <c r="F24" s="18">
        <v>72686</v>
      </c>
    </row>
    <row r="25" spans="1:6" x14ac:dyDescent="0.25">
      <c r="A25" t="s">
        <v>3753</v>
      </c>
      <c r="B25" t="s">
        <v>3752</v>
      </c>
      <c r="C25" s="50">
        <v>810</v>
      </c>
      <c r="D25" s="52">
        <v>100</v>
      </c>
      <c r="E25" s="18">
        <v>0</v>
      </c>
      <c r="F25" s="18">
        <v>72686</v>
      </c>
    </row>
    <row r="26" spans="1:6" x14ac:dyDescent="0.25">
      <c r="A26" t="s">
        <v>13902</v>
      </c>
      <c r="B26" t="s">
        <v>3308</v>
      </c>
      <c r="C26" s="50">
        <v>580</v>
      </c>
      <c r="D26" s="52">
        <v>125</v>
      </c>
      <c r="E26" s="18">
        <v>41821</v>
      </c>
      <c r="F26" s="18">
        <v>72686</v>
      </c>
    </row>
    <row r="27" spans="1:6" x14ac:dyDescent="0.25">
      <c r="A27" t="s">
        <v>3472</v>
      </c>
      <c r="B27" t="s">
        <v>3471</v>
      </c>
      <c r="C27" s="50">
        <v>665</v>
      </c>
      <c r="D27" s="52">
        <v>100</v>
      </c>
      <c r="E27" s="18">
        <v>41821</v>
      </c>
      <c r="F27" s="18">
        <v>72686</v>
      </c>
    </row>
    <row r="28" spans="1:6" x14ac:dyDescent="0.25">
      <c r="A28" t="s">
        <v>3778</v>
      </c>
      <c r="B28" t="s">
        <v>3777</v>
      </c>
      <c r="C28" s="50">
        <v>823</v>
      </c>
      <c r="D28" s="52">
        <v>100</v>
      </c>
      <c r="E28" s="18">
        <v>41932</v>
      </c>
      <c r="F28" s="18">
        <v>72686</v>
      </c>
    </row>
    <row r="29" spans="1:6" x14ac:dyDescent="0.25">
      <c r="A29" t="s">
        <v>2841</v>
      </c>
      <c r="B29" t="s">
        <v>2840</v>
      </c>
      <c r="C29" s="50">
        <v>340</v>
      </c>
      <c r="D29" s="52">
        <v>100</v>
      </c>
      <c r="E29" s="18">
        <v>41861</v>
      </c>
      <c r="F29" s="18">
        <v>72686</v>
      </c>
    </row>
    <row r="30" spans="1:6" x14ac:dyDescent="0.25">
      <c r="A30" t="s">
        <v>13903</v>
      </c>
      <c r="B30" t="s">
        <v>3485</v>
      </c>
      <c r="C30" s="50">
        <v>672</v>
      </c>
      <c r="D30" s="52">
        <v>125</v>
      </c>
      <c r="E30" s="18">
        <v>41911</v>
      </c>
      <c r="F30" s="18">
        <v>72686</v>
      </c>
    </row>
    <row r="31" spans="1:6" x14ac:dyDescent="0.25">
      <c r="A31" t="s">
        <v>3863</v>
      </c>
      <c r="B31" t="s">
        <v>3550</v>
      </c>
      <c r="C31" s="50">
        <v>705</v>
      </c>
      <c r="D31" s="52">
        <v>100</v>
      </c>
      <c r="E31" s="18">
        <v>41920</v>
      </c>
      <c r="F31" s="18">
        <v>72686</v>
      </c>
    </row>
    <row r="32" spans="1:6" x14ac:dyDescent="0.25">
      <c r="A32" t="s">
        <v>11442</v>
      </c>
      <c r="B32" t="s">
        <v>8140</v>
      </c>
      <c r="C32" s="50">
        <v>854</v>
      </c>
      <c r="D32" s="52">
        <v>100</v>
      </c>
      <c r="E32" s="18">
        <v>41953</v>
      </c>
      <c r="F32" s="18">
        <v>72686</v>
      </c>
    </row>
    <row r="33" spans="1:6" x14ac:dyDescent="0.25">
      <c r="A33" t="s">
        <v>13904</v>
      </c>
      <c r="B33" t="s">
        <v>11511</v>
      </c>
      <c r="C33" s="50">
        <v>897</v>
      </c>
      <c r="D33" s="52">
        <v>100</v>
      </c>
      <c r="E33" s="18">
        <v>41982</v>
      </c>
      <c r="F33" s="18">
        <v>72686</v>
      </c>
    </row>
    <row r="34" spans="1:6" x14ac:dyDescent="0.25">
      <c r="A34" t="s">
        <v>11454</v>
      </c>
      <c r="B34" t="s">
        <v>13905</v>
      </c>
      <c r="C34" s="50">
        <v>857</v>
      </c>
      <c r="D34" s="52">
        <v>125</v>
      </c>
      <c r="E34" s="18">
        <v>41956</v>
      </c>
      <c r="F34" s="18">
        <v>72686</v>
      </c>
    </row>
    <row r="35" spans="1:6" x14ac:dyDescent="0.25">
      <c r="A35" t="s">
        <v>12200</v>
      </c>
      <c r="B35" t="s">
        <v>11810</v>
      </c>
      <c r="C35" s="50">
        <v>906</v>
      </c>
      <c r="D35" s="52">
        <v>100</v>
      </c>
      <c r="E35" s="18">
        <v>41962</v>
      </c>
      <c r="F35" s="18">
        <v>72686</v>
      </c>
    </row>
    <row r="36" spans="1:6" x14ac:dyDescent="0.25">
      <c r="A36" t="s">
        <v>12201</v>
      </c>
      <c r="B36" t="s">
        <v>13906</v>
      </c>
      <c r="C36" s="50">
        <v>907</v>
      </c>
      <c r="D36" s="52">
        <v>100</v>
      </c>
      <c r="E36" s="18">
        <v>41961</v>
      </c>
      <c r="F36" s="18">
        <v>72686</v>
      </c>
    </row>
    <row r="37" spans="1:6" x14ac:dyDescent="0.25">
      <c r="A37" t="s">
        <v>11464</v>
      </c>
      <c r="B37" t="s">
        <v>11465</v>
      </c>
      <c r="C37" s="50">
        <v>866</v>
      </c>
      <c r="D37" s="52">
        <v>100</v>
      </c>
      <c r="E37" s="18">
        <v>41961</v>
      </c>
      <c r="F37" s="18">
        <v>72686</v>
      </c>
    </row>
    <row r="38" spans="1:6" x14ac:dyDescent="0.25">
      <c r="A38" t="s">
        <v>11458</v>
      </c>
      <c r="B38" t="s">
        <v>13907</v>
      </c>
      <c r="C38" s="50">
        <v>862</v>
      </c>
      <c r="D38" s="52">
        <v>100</v>
      </c>
      <c r="E38" s="18">
        <v>41961</v>
      </c>
      <c r="F38" s="18">
        <v>72686</v>
      </c>
    </row>
    <row r="39" spans="1:6" x14ac:dyDescent="0.25">
      <c r="A39" t="s">
        <v>12202</v>
      </c>
      <c r="B39" t="s">
        <v>13908</v>
      </c>
      <c r="C39" s="50">
        <v>937</v>
      </c>
      <c r="D39" s="52">
        <v>100</v>
      </c>
      <c r="E39" s="18">
        <v>41962</v>
      </c>
      <c r="F39" s="18">
        <v>72686</v>
      </c>
    </row>
    <row r="40" spans="1:6" x14ac:dyDescent="0.25">
      <c r="B40" t="s">
        <v>2275</v>
      </c>
      <c r="C40" s="50">
        <v>40</v>
      </c>
      <c r="D40" s="52">
        <v>125</v>
      </c>
      <c r="E40" s="18">
        <v>41934</v>
      </c>
      <c r="F40" s="18">
        <v>72686</v>
      </c>
    </row>
    <row r="41" spans="1:6" x14ac:dyDescent="0.25">
      <c r="B41" t="s">
        <v>2610</v>
      </c>
      <c r="C41" s="50">
        <v>218</v>
      </c>
      <c r="D41" s="52">
        <v>125</v>
      </c>
      <c r="E41" s="18">
        <v>41936</v>
      </c>
      <c r="F41" s="18">
        <v>72686</v>
      </c>
    </row>
    <row r="42" spans="1:6" x14ac:dyDescent="0.25">
      <c r="B42" t="s">
        <v>2705</v>
      </c>
      <c r="C42" s="50">
        <v>269</v>
      </c>
      <c r="D42" s="52">
        <v>100</v>
      </c>
      <c r="E42" s="18">
        <v>0</v>
      </c>
      <c r="F42" s="18">
        <v>72686</v>
      </c>
    </row>
    <row r="43" spans="1:6" x14ac:dyDescent="0.25">
      <c r="B43" t="s">
        <v>2711</v>
      </c>
      <c r="C43" s="50">
        <v>272</v>
      </c>
      <c r="D43" s="52">
        <v>100</v>
      </c>
      <c r="E43" s="18">
        <v>0</v>
      </c>
      <c r="F43" s="18">
        <v>72686</v>
      </c>
    </row>
    <row r="44" spans="1:6" x14ac:dyDescent="0.25">
      <c r="B44" t="s">
        <v>2640</v>
      </c>
      <c r="C44" s="50">
        <v>234</v>
      </c>
      <c r="D44" s="52">
        <v>125</v>
      </c>
      <c r="E44" s="18">
        <v>41936</v>
      </c>
      <c r="F44" s="18">
        <v>72686</v>
      </c>
    </row>
    <row r="45" spans="1:6" x14ac:dyDescent="0.25">
      <c r="B45" t="s">
        <v>2840</v>
      </c>
      <c r="C45" s="50">
        <v>340</v>
      </c>
      <c r="D45" s="52">
        <v>100</v>
      </c>
      <c r="E45" s="18">
        <v>0</v>
      </c>
      <c r="F45" s="18">
        <v>72686</v>
      </c>
    </row>
    <row r="46" spans="1:6" x14ac:dyDescent="0.25">
      <c r="B46" t="s">
        <v>2873</v>
      </c>
      <c r="C46" s="50">
        <v>357</v>
      </c>
      <c r="D46" s="52">
        <v>200</v>
      </c>
      <c r="E46" s="18">
        <v>0</v>
      </c>
      <c r="F46" s="18">
        <v>72686</v>
      </c>
    </row>
    <row r="47" spans="1:6" x14ac:dyDescent="0.25">
      <c r="B47" t="s">
        <v>2869</v>
      </c>
      <c r="C47" s="50">
        <v>355</v>
      </c>
      <c r="D47" s="52">
        <v>125</v>
      </c>
      <c r="E47" s="18">
        <v>0</v>
      </c>
      <c r="F47" s="18">
        <v>72686</v>
      </c>
    </row>
    <row r="48" spans="1:6" x14ac:dyDescent="0.25">
      <c r="B48" t="s">
        <v>2838</v>
      </c>
      <c r="C48" s="50">
        <v>339</v>
      </c>
      <c r="D48" s="52">
        <v>100</v>
      </c>
      <c r="E48" s="18">
        <v>0</v>
      </c>
      <c r="F48" s="18">
        <v>72686</v>
      </c>
    </row>
    <row r="49" spans="2:6" x14ac:dyDescent="0.25">
      <c r="B49" t="s">
        <v>2949</v>
      </c>
      <c r="C49" s="50">
        <v>395</v>
      </c>
      <c r="D49" s="52">
        <v>100</v>
      </c>
      <c r="E49" s="18">
        <v>0</v>
      </c>
      <c r="F49" s="18">
        <v>72686</v>
      </c>
    </row>
    <row r="50" spans="2:6" x14ac:dyDescent="0.25">
      <c r="B50" t="s">
        <v>2955</v>
      </c>
      <c r="C50" s="50">
        <v>398</v>
      </c>
      <c r="D50" s="52">
        <v>100</v>
      </c>
      <c r="E50" s="18">
        <v>0</v>
      </c>
      <c r="F50" s="18">
        <v>72686</v>
      </c>
    </row>
    <row r="51" spans="2:6" x14ac:dyDescent="0.25">
      <c r="B51" t="s">
        <v>2953</v>
      </c>
      <c r="C51" s="50">
        <v>397</v>
      </c>
      <c r="D51" s="52">
        <v>100</v>
      </c>
      <c r="E51" s="18">
        <v>0</v>
      </c>
      <c r="F51" s="18">
        <v>72686</v>
      </c>
    </row>
    <row r="52" spans="2:6" x14ac:dyDescent="0.25">
      <c r="B52" t="s">
        <v>3014</v>
      </c>
      <c r="C52" s="50">
        <v>428</v>
      </c>
      <c r="D52" s="52">
        <v>100</v>
      </c>
      <c r="E52" s="18">
        <v>41937</v>
      </c>
      <c r="F52" s="18">
        <v>72686</v>
      </c>
    </row>
    <row r="53" spans="2:6" x14ac:dyDescent="0.25">
      <c r="B53" t="s">
        <v>3002</v>
      </c>
      <c r="C53" s="50">
        <v>422</v>
      </c>
      <c r="D53" s="52">
        <v>125</v>
      </c>
      <c r="E53" s="18">
        <v>41937</v>
      </c>
      <c r="F53" s="18">
        <v>72686</v>
      </c>
    </row>
    <row r="54" spans="2:6" x14ac:dyDescent="0.25">
      <c r="B54" t="s">
        <v>3100</v>
      </c>
      <c r="C54" s="50">
        <v>472</v>
      </c>
      <c r="D54" s="52">
        <v>100</v>
      </c>
      <c r="E54" s="18">
        <v>0</v>
      </c>
      <c r="F54" s="18">
        <v>72686</v>
      </c>
    </row>
    <row r="55" spans="2:6" x14ac:dyDescent="0.25">
      <c r="B55" t="s">
        <v>2992</v>
      </c>
      <c r="C55" s="50">
        <v>417</v>
      </c>
      <c r="D55" s="52">
        <v>125</v>
      </c>
      <c r="E55" s="18">
        <v>0</v>
      </c>
      <c r="F55" s="18">
        <v>72686</v>
      </c>
    </row>
    <row r="56" spans="2:6" x14ac:dyDescent="0.25">
      <c r="B56" t="s">
        <v>3308</v>
      </c>
      <c r="C56" s="50">
        <v>580</v>
      </c>
      <c r="D56" s="52">
        <v>125</v>
      </c>
      <c r="E56" s="18">
        <v>0</v>
      </c>
      <c r="F56" s="18">
        <v>72686</v>
      </c>
    </row>
    <row r="57" spans="2:6" x14ac:dyDescent="0.25">
      <c r="B57" t="s">
        <v>3312</v>
      </c>
      <c r="C57" s="50">
        <v>582</v>
      </c>
      <c r="D57" s="52">
        <v>100</v>
      </c>
      <c r="E57" s="18">
        <v>0</v>
      </c>
      <c r="F57" s="18">
        <v>72686</v>
      </c>
    </row>
    <row r="58" spans="2:6" x14ac:dyDescent="0.25">
      <c r="B58" t="s">
        <v>3296</v>
      </c>
      <c r="C58" s="50">
        <v>574</v>
      </c>
      <c r="D58" s="52">
        <v>100</v>
      </c>
      <c r="E58" s="18">
        <v>0</v>
      </c>
      <c r="F58" s="18">
        <v>72686</v>
      </c>
    </row>
    <row r="59" spans="2:6" x14ac:dyDescent="0.25">
      <c r="B59" t="s">
        <v>2918</v>
      </c>
      <c r="C59" s="50">
        <v>379</v>
      </c>
      <c r="D59" s="52">
        <v>125</v>
      </c>
      <c r="E59" s="18">
        <v>41852</v>
      </c>
      <c r="F59" s="18">
        <v>41944</v>
      </c>
    </row>
    <row r="60" spans="2:6" x14ac:dyDescent="0.25">
      <c r="B60" t="s">
        <v>3142</v>
      </c>
      <c r="C60" s="50">
        <v>493</v>
      </c>
      <c r="D60" s="52">
        <v>100</v>
      </c>
      <c r="E60" s="18">
        <v>0</v>
      </c>
      <c r="F60" s="18">
        <v>72686</v>
      </c>
    </row>
    <row r="61" spans="2:6" x14ac:dyDescent="0.25">
      <c r="B61" t="s">
        <v>3248</v>
      </c>
      <c r="C61" s="50">
        <v>548</v>
      </c>
      <c r="D61" s="52">
        <v>100</v>
      </c>
      <c r="E61" s="18">
        <v>0</v>
      </c>
      <c r="F61" s="18">
        <v>72686</v>
      </c>
    </row>
    <row r="62" spans="2:6" x14ac:dyDescent="0.25">
      <c r="B62" t="s">
        <v>3412</v>
      </c>
      <c r="C62" s="50">
        <v>635</v>
      </c>
      <c r="D62" s="52">
        <v>100</v>
      </c>
      <c r="E62" s="18">
        <v>0</v>
      </c>
      <c r="F62" s="18">
        <v>72686</v>
      </c>
    </row>
    <row r="63" spans="2:6" x14ac:dyDescent="0.25">
      <c r="B63" t="s">
        <v>3062</v>
      </c>
      <c r="C63" s="50">
        <v>453</v>
      </c>
      <c r="D63" s="52">
        <v>100</v>
      </c>
      <c r="E63" s="18">
        <v>0</v>
      </c>
      <c r="F63" s="18">
        <v>72686</v>
      </c>
    </row>
    <row r="64" spans="2:6" x14ac:dyDescent="0.25">
      <c r="B64" t="s">
        <v>3471</v>
      </c>
      <c r="C64" s="50">
        <v>665</v>
      </c>
      <c r="D64" s="52">
        <v>100</v>
      </c>
      <c r="E64" s="18">
        <v>0</v>
      </c>
      <c r="F64" s="18">
        <v>72686</v>
      </c>
    </row>
    <row r="65" spans="2:6" x14ac:dyDescent="0.25">
      <c r="B65" t="s">
        <v>3485</v>
      </c>
      <c r="C65" s="50">
        <v>672</v>
      </c>
      <c r="D65" s="52">
        <v>125</v>
      </c>
      <c r="E65" s="18">
        <v>0</v>
      </c>
      <c r="F65" s="18">
        <v>72686</v>
      </c>
    </row>
    <row r="66" spans="2:6" x14ac:dyDescent="0.25">
      <c r="B66" t="s">
        <v>3550</v>
      </c>
      <c r="C66" s="50">
        <v>705</v>
      </c>
      <c r="D66" s="52">
        <v>100</v>
      </c>
      <c r="E66" s="18">
        <v>0</v>
      </c>
      <c r="F66" s="18">
        <v>72686</v>
      </c>
    </row>
    <row r="67" spans="2:6" x14ac:dyDescent="0.25">
      <c r="B67" t="s">
        <v>3404</v>
      </c>
      <c r="C67" s="50">
        <v>631</v>
      </c>
      <c r="D67" s="52">
        <v>100</v>
      </c>
      <c r="E67" s="18">
        <v>41963</v>
      </c>
      <c r="F67" s="18">
        <v>72686</v>
      </c>
    </row>
    <row r="68" spans="2:6" x14ac:dyDescent="0.25">
      <c r="B68" t="s">
        <v>3554</v>
      </c>
      <c r="C68" s="50">
        <v>707</v>
      </c>
      <c r="D68" s="52">
        <v>100</v>
      </c>
      <c r="E68" s="18">
        <v>0</v>
      </c>
      <c r="F68" s="18">
        <v>72686</v>
      </c>
    </row>
    <row r="69" spans="2:6" x14ac:dyDescent="0.25">
      <c r="B69" t="s">
        <v>3568</v>
      </c>
      <c r="C69" s="50">
        <v>715</v>
      </c>
      <c r="D69" s="52">
        <v>100</v>
      </c>
      <c r="E69" s="18">
        <v>0</v>
      </c>
      <c r="F69" s="18">
        <v>72686</v>
      </c>
    </row>
    <row r="70" spans="2:6" x14ac:dyDescent="0.25">
      <c r="B70" t="s">
        <v>3320</v>
      </c>
      <c r="C70" s="50">
        <v>586</v>
      </c>
      <c r="D70" s="52">
        <v>100</v>
      </c>
      <c r="E70" s="18">
        <v>41963</v>
      </c>
      <c r="F70" s="18">
        <v>72686</v>
      </c>
    </row>
    <row r="71" spans="2:6" x14ac:dyDescent="0.25">
      <c r="B71" t="s">
        <v>3469</v>
      </c>
      <c r="C71" s="50">
        <v>664</v>
      </c>
      <c r="D71" s="52">
        <v>125</v>
      </c>
      <c r="E71" s="18">
        <v>0</v>
      </c>
      <c r="F71" s="18">
        <v>72686</v>
      </c>
    </row>
    <row r="72" spans="2:6" x14ac:dyDescent="0.25">
      <c r="B72" t="s">
        <v>2867</v>
      </c>
      <c r="C72" s="50">
        <v>354</v>
      </c>
      <c r="D72" s="52">
        <v>125</v>
      </c>
      <c r="E72" s="18">
        <v>0</v>
      </c>
      <c r="F72" s="18">
        <v>72686</v>
      </c>
    </row>
    <row r="73" spans="2:6" x14ac:dyDescent="0.25">
      <c r="B73" t="s">
        <v>3636</v>
      </c>
      <c r="C73" s="50">
        <v>751</v>
      </c>
      <c r="D73" s="52">
        <v>100</v>
      </c>
      <c r="E73" s="18">
        <v>0</v>
      </c>
      <c r="F73" s="18">
        <v>72686</v>
      </c>
    </row>
    <row r="74" spans="2:6" x14ac:dyDescent="0.25">
      <c r="B74" t="s">
        <v>3563</v>
      </c>
      <c r="C74" s="50">
        <v>712</v>
      </c>
      <c r="D74" s="52">
        <v>100</v>
      </c>
      <c r="E74" s="18">
        <v>0</v>
      </c>
      <c r="F74" s="18">
        <v>72686</v>
      </c>
    </row>
    <row r="75" spans="2:6" x14ac:dyDescent="0.25">
      <c r="B75" t="s">
        <v>3591</v>
      </c>
      <c r="C75" s="50">
        <v>727</v>
      </c>
      <c r="D75" s="52">
        <v>100</v>
      </c>
      <c r="E75" s="18">
        <v>0</v>
      </c>
      <c r="F75" s="18">
        <v>72686</v>
      </c>
    </row>
    <row r="76" spans="2:6" x14ac:dyDescent="0.25">
      <c r="B76" t="s">
        <v>3746</v>
      </c>
      <c r="C76" s="50">
        <v>807</v>
      </c>
      <c r="D76" s="52">
        <v>125</v>
      </c>
      <c r="E76" s="18">
        <v>0</v>
      </c>
      <c r="F76" s="18">
        <v>72686</v>
      </c>
    </row>
    <row r="77" spans="2:6" x14ac:dyDescent="0.25">
      <c r="D77" s="52"/>
    </row>
    <row r="78" spans="2:6" x14ac:dyDescent="0.25">
      <c r="D78" s="52"/>
    </row>
    <row r="79" spans="2:6" x14ac:dyDescent="0.25">
      <c r="D79" s="52"/>
    </row>
    <row r="80" spans="2:6" x14ac:dyDescent="0.25">
      <c r="D80" s="52"/>
    </row>
    <row r="81" spans="4:4" x14ac:dyDescent="0.25">
      <c r="D81" s="52"/>
    </row>
    <row r="82" spans="4:4" x14ac:dyDescent="0.25">
      <c r="D82" s="52"/>
    </row>
    <row r="83" spans="4:4" x14ac:dyDescent="0.25">
      <c r="D83" s="52"/>
    </row>
    <row r="84" spans="4:4" x14ac:dyDescent="0.25">
      <c r="D84" s="52"/>
    </row>
    <row r="85" spans="4:4" x14ac:dyDescent="0.25">
      <c r="D85" s="52"/>
    </row>
    <row r="86" spans="4:4" x14ac:dyDescent="0.25">
      <c r="D86" s="52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C18"/>
  <sheetViews>
    <sheetView workbookViewId="0">
      <selection activeCell="B19" sqref="B19"/>
    </sheetView>
  </sheetViews>
  <sheetFormatPr defaultRowHeight="15" x14ac:dyDescent="0.25"/>
  <cols>
    <col min="2" max="2" width="19.85546875" bestFit="1" customWidth="1"/>
  </cols>
  <sheetData>
    <row r="1" spans="1:3" s="7" customFormat="1" x14ac:dyDescent="0.25">
      <c r="A1" s="5" t="s">
        <v>2221</v>
      </c>
      <c r="B1" s="5" t="s">
        <v>3832</v>
      </c>
      <c r="C1" s="5" t="s">
        <v>3833</v>
      </c>
    </row>
    <row r="2" spans="1:3" x14ac:dyDescent="0.25">
      <c r="A2">
        <v>1</v>
      </c>
      <c r="B2" t="s">
        <v>3834</v>
      </c>
      <c r="C2">
        <v>200</v>
      </c>
    </row>
    <row r="3" spans="1:3" x14ac:dyDescent="0.25">
      <c r="A3">
        <v>2</v>
      </c>
      <c r="B3" t="s">
        <v>3835</v>
      </c>
      <c r="C3">
        <v>270</v>
      </c>
    </row>
    <row r="4" spans="1:3" x14ac:dyDescent="0.25">
      <c r="A4">
        <v>3</v>
      </c>
      <c r="B4" t="s">
        <v>3836</v>
      </c>
      <c r="C4">
        <v>280</v>
      </c>
    </row>
    <row r="5" spans="1:3" x14ac:dyDescent="0.25">
      <c r="A5">
        <v>4</v>
      </c>
      <c r="B5" t="s">
        <v>3837</v>
      </c>
      <c r="C5">
        <v>280</v>
      </c>
    </row>
    <row r="6" spans="1:3" x14ac:dyDescent="0.25">
      <c r="A6">
        <v>5</v>
      </c>
      <c r="B6" t="s">
        <v>3838</v>
      </c>
      <c r="C6">
        <v>350</v>
      </c>
    </row>
    <row r="7" spans="1:3" x14ac:dyDescent="0.25">
      <c r="A7">
        <v>6</v>
      </c>
      <c r="B7" t="s">
        <v>3839</v>
      </c>
      <c r="C7">
        <v>250</v>
      </c>
    </row>
    <row r="8" spans="1:3" x14ac:dyDescent="0.25">
      <c r="A8">
        <v>7</v>
      </c>
      <c r="B8" t="s">
        <v>3840</v>
      </c>
      <c r="C8">
        <v>425</v>
      </c>
    </row>
    <row r="9" spans="1:3" x14ac:dyDescent="0.25">
      <c r="A9">
        <v>8</v>
      </c>
      <c r="B9" t="s">
        <v>2440</v>
      </c>
      <c r="C9">
        <v>200</v>
      </c>
    </row>
    <row r="10" spans="1:3" x14ac:dyDescent="0.25">
      <c r="A10">
        <v>9</v>
      </c>
      <c r="B10" t="s">
        <v>3841</v>
      </c>
      <c r="C10">
        <v>400</v>
      </c>
    </row>
    <row r="11" spans="1:3" x14ac:dyDescent="0.25">
      <c r="A11">
        <v>10</v>
      </c>
      <c r="B11" t="s">
        <v>2238</v>
      </c>
      <c r="C11">
        <v>100</v>
      </c>
    </row>
    <row r="12" spans="1:3" x14ac:dyDescent="0.25">
      <c r="A12">
        <v>13</v>
      </c>
      <c r="B12" t="s">
        <v>3842</v>
      </c>
      <c r="C12">
        <v>50</v>
      </c>
    </row>
    <row r="13" spans="1:3" x14ac:dyDescent="0.25">
      <c r="A13">
        <v>14</v>
      </c>
      <c r="B13" t="s">
        <v>3843</v>
      </c>
      <c r="C13">
        <v>300</v>
      </c>
    </row>
    <row r="14" spans="1:3" x14ac:dyDescent="0.25">
      <c r="A14">
        <v>15</v>
      </c>
      <c r="B14" t="s">
        <v>3844</v>
      </c>
      <c r="C14">
        <v>250</v>
      </c>
    </row>
    <row r="15" spans="1:3" x14ac:dyDescent="0.25">
      <c r="A15">
        <v>50</v>
      </c>
      <c r="C15">
        <v>0</v>
      </c>
    </row>
    <row r="16" spans="1:3" x14ac:dyDescent="0.25">
      <c r="A16">
        <v>16</v>
      </c>
      <c r="B16" t="s">
        <v>13909</v>
      </c>
      <c r="C16">
        <v>350</v>
      </c>
    </row>
    <row r="17" spans="1:3" x14ac:dyDescent="0.25">
      <c r="A17">
        <v>21</v>
      </c>
      <c r="B17" t="s">
        <v>13910</v>
      </c>
      <c r="C17">
        <v>265</v>
      </c>
    </row>
    <row r="18" spans="1:3" x14ac:dyDescent="0.25">
      <c r="A18">
        <v>22</v>
      </c>
      <c r="B18" t="s">
        <v>13913</v>
      </c>
      <c r="C18" t="s">
        <v>13912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Historical</vt:lpstr>
      <vt:lpstr>Testing</vt:lpstr>
      <vt:lpstr>Debug</vt:lpstr>
      <vt:lpstr>Wayne'sWorld</vt:lpstr>
      <vt:lpstr>Nate's Evolution</vt:lpstr>
      <vt:lpstr>Docs Signed Input</vt:lpstr>
      <vt:lpstr>Master Input</vt:lpstr>
      <vt:lpstr>RepID.PayScale.Status </vt:lpstr>
      <vt:lpstr>Marketing</vt:lpstr>
      <vt:lpstr>Payscales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Ezra</cp:lastModifiedBy>
  <dcterms:created xsi:type="dcterms:W3CDTF">2014-12-12T21:38:57Z</dcterms:created>
  <dcterms:modified xsi:type="dcterms:W3CDTF">2015-02-13T16:51:17Z</dcterms:modified>
</cp:coreProperties>
</file>